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84306803\Documents\HEC\2-500 Base\Séances avec notes\Solutionnaire\"/>
    </mc:Choice>
  </mc:AlternateContent>
  <bookViews>
    <workbookView xWindow="0" yWindow="0" windowWidth="24000" windowHeight="9735" activeTab="1"/>
  </bookViews>
  <sheets>
    <sheet name="Prévisions" sheetId="2" r:id="rId1"/>
    <sheet name="Cumulative" sheetId="4" r:id="rId2"/>
    <sheet name="EQM" sheetId="1" r:id="rId3"/>
    <sheet name="Ventes" sheetId="3" r:id="rId4"/>
  </sheets>
  <externalReferences>
    <externalReference r:id="rId5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4" l="1"/>
  <c r="F18" i="4"/>
  <c r="E18" i="4"/>
  <c r="D18" i="4"/>
  <c r="C18" i="4"/>
  <c r="G17" i="4"/>
  <c r="F17" i="4"/>
  <c r="E17" i="4"/>
  <c r="D17" i="4"/>
  <c r="C17" i="4"/>
  <c r="G16" i="4"/>
  <c r="F16" i="4"/>
  <c r="E16" i="4"/>
  <c r="D16" i="4"/>
  <c r="C16" i="4"/>
  <c r="G15" i="4"/>
  <c r="F15" i="4"/>
  <c r="E15" i="4"/>
  <c r="D15" i="4"/>
  <c r="C15" i="4"/>
  <c r="G14" i="4"/>
  <c r="F14" i="4"/>
  <c r="E14" i="4"/>
  <c r="D14" i="4"/>
  <c r="C14" i="4"/>
  <c r="G13" i="4"/>
  <c r="F13" i="4"/>
  <c r="E13" i="4"/>
  <c r="D13" i="4"/>
  <c r="C13" i="4"/>
  <c r="G12" i="4"/>
  <c r="F12" i="4"/>
  <c r="E12" i="4"/>
  <c r="D12" i="4"/>
  <c r="C12" i="4"/>
  <c r="G11" i="4"/>
  <c r="F11" i="4"/>
  <c r="E11" i="4"/>
  <c r="D11" i="4"/>
  <c r="C11" i="4"/>
  <c r="G10" i="4"/>
  <c r="F10" i="4"/>
  <c r="E10" i="4"/>
  <c r="D10" i="4"/>
  <c r="C10" i="4"/>
  <c r="G9" i="4"/>
  <c r="F9" i="4"/>
  <c r="E9" i="4"/>
  <c r="D9" i="4"/>
  <c r="C9" i="4"/>
  <c r="G8" i="4"/>
  <c r="F8" i="4"/>
  <c r="E8" i="4"/>
  <c r="D8" i="4"/>
  <c r="C8" i="4"/>
  <c r="G7" i="4"/>
  <c r="G19" i="4" s="1"/>
  <c r="F7" i="4"/>
  <c r="F19" i="4" s="1"/>
  <c r="E7" i="4"/>
  <c r="E19" i="4" s="1"/>
  <c r="D7" i="4"/>
  <c r="D19" i="4" s="1"/>
  <c r="C7" i="4"/>
  <c r="C19" i="4" s="1"/>
  <c r="C8" i="1" l="1"/>
  <c r="D8" i="1"/>
  <c r="E8" i="1"/>
  <c r="F8" i="1"/>
  <c r="G8" i="1"/>
  <c r="C9" i="1"/>
  <c r="D9" i="1"/>
  <c r="E9" i="1"/>
  <c r="F9" i="1"/>
  <c r="G9" i="1"/>
  <c r="C10" i="1"/>
  <c r="D10" i="1"/>
  <c r="E10" i="1"/>
  <c r="F10" i="1"/>
  <c r="G10" i="1"/>
  <c r="C11" i="1"/>
  <c r="D11" i="1"/>
  <c r="E11" i="1"/>
  <c r="F11" i="1"/>
  <c r="G11" i="1"/>
  <c r="C12" i="1"/>
  <c r="D12" i="1"/>
  <c r="E12" i="1"/>
  <c r="F12" i="1"/>
  <c r="G12" i="1"/>
  <c r="C13" i="1"/>
  <c r="D13" i="1"/>
  <c r="E13" i="1"/>
  <c r="F13" i="1"/>
  <c r="G13" i="1"/>
  <c r="C14" i="1"/>
  <c r="D14" i="1"/>
  <c r="E14" i="1"/>
  <c r="F14" i="1"/>
  <c r="G14" i="1"/>
  <c r="C15" i="1"/>
  <c r="D15" i="1"/>
  <c r="E15" i="1"/>
  <c r="F15" i="1"/>
  <c r="G15" i="1"/>
  <c r="C16" i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D7" i="1"/>
  <c r="E7" i="1"/>
  <c r="F7" i="1"/>
  <c r="G7" i="1"/>
  <c r="F11" i="2" l="1"/>
  <c r="D19" i="1" l="1"/>
  <c r="E19" i="1"/>
  <c r="F19" i="1"/>
  <c r="G19" i="1"/>
  <c r="C19" i="1"/>
  <c r="C7" i="1"/>
  <c r="F12" i="2" l="1"/>
  <c r="G12" i="2"/>
  <c r="F13" i="2"/>
  <c r="F14" i="2" s="1"/>
  <c r="F15" i="2" s="1"/>
  <c r="F16" i="2" s="1"/>
  <c r="F17" i="2" s="1"/>
  <c r="F18" i="2" s="1"/>
  <c r="F19" i="2" s="1"/>
  <c r="F20" i="2" s="1"/>
  <c r="F21" i="2" s="1"/>
  <c r="F22" i="2" s="1"/>
  <c r="G13" i="2"/>
  <c r="G14" i="2" s="1"/>
  <c r="G15" i="2" s="1"/>
  <c r="G16" i="2" s="1"/>
  <c r="G17" i="2" s="1"/>
  <c r="G18" i="2" s="1"/>
  <c r="G19" i="2" s="1"/>
  <c r="G20" i="2" s="1"/>
  <c r="G21" i="2" s="1"/>
  <c r="G22" i="2" s="1"/>
  <c r="G11" i="2"/>
  <c r="E12" i="2"/>
  <c r="E13" i="2"/>
  <c r="E14" i="2"/>
  <c r="E15" i="2"/>
  <c r="E16" i="2"/>
  <c r="E17" i="2"/>
  <c r="E18" i="2"/>
  <c r="E19" i="2"/>
  <c r="E20" i="2"/>
  <c r="E21" i="2"/>
  <c r="E22" i="2"/>
  <c r="E11" i="2"/>
  <c r="D12" i="2"/>
  <c r="D13" i="2"/>
  <c r="D14" i="2"/>
  <c r="D15" i="2"/>
  <c r="D16" i="2"/>
  <c r="D17" i="2"/>
  <c r="D18" i="2"/>
  <c r="D19" i="2"/>
  <c r="D20" i="2"/>
  <c r="D21" i="2"/>
  <c r="D22" i="2"/>
  <c r="D11" i="2"/>
  <c r="C12" i="2"/>
  <c r="C13" i="2"/>
  <c r="C14" i="2"/>
  <c r="C15" i="2"/>
  <c r="C16" i="2"/>
  <c r="C17" i="2"/>
  <c r="C18" i="2"/>
  <c r="C19" i="2"/>
  <c r="C20" i="2"/>
  <c r="C21" i="2"/>
  <c r="C22" i="2"/>
  <c r="C11" i="2"/>
</calcChain>
</file>

<file path=xl/sharedStrings.xml><?xml version="1.0" encoding="utf-8"?>
<sst xmlns="http://schemas.openxmlformats.org/spreadsheetml/2006/main" count="50" uniqueCount="22">
  <si>
    <t>Exercice D-Roll, livre, page 78</t>
  </si>
  <si>
    <t>Mois</t>
  </si>
  <si>
    <t>Ventes prévues</t>
  </si>
  <si>
    <t>α = 0,5</t>
  </si>
  <si>
    <t>Mobile</t>
  </si>
  <si>
    <t>k = 4</t>
  </si>
  <si>
    <t>k = 3</t>
  </si>
  <si>
    <t>Lissage</t>
  </si>
  <si>
    <t>Pondérée</t>
  </si>
  <si>
    <t>Ventes  réalisées</t>
  </si>
  <si>
    <t>Lissage*</t>
  </si>
  <si>
    <t>* Ces données proviennent de l'exemple de la page 68.</t>
  </si>
  <si>
    <t>Calcul des prévisions</t>
  </si>
  <si>
    <t>Calcul de l'erreur quadratique moyenne</t>
  </si>
  <si>
    <t>Erreur quadratique</t>
  </si>
  <si>
    <t>Moyenne</t>
  </si>
  <si>
    <t>=arrondi(moyenne(B8:B10);0)</t>
  </si>
  <si>
    <t>=arrondi(moyenne(B7:B10);0)</t>
  </si>
  <si>
    <t>50-25-15-10</t>
  </si>
  <si>
    <t>=arrondi(F$6*$B10+(1-F$6)*F10;0)</t>
  </si>
  <si>
    <t>=($B7-Prévisions!C11)^2</t>
  </si>
  <si>
    <t>La majorité des erreurs sont négatives… La prévision sur-estime la demande.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</si>
</sst>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 wrapText="1"/>
    </xf>
    <xf numFmtId="0" fontId="0" fillId="0" borderId="0" xfId="0" quotePrefix="1"/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Ventes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Prévisions!$B$7:$B$22</c:f>
              <c:numCache>
                <c:formatCode>General</c:formatCode>
                <c:ptCount val="16"/>
                <c:pt idx="0">
                  <c:v>16980</c:v>
                </c:pt>
                <c:pt idx="1">
                  <c:v>17280</c:v>
                </c:pt>
                <c:pt idx="2">
                  <c:v>17030</c:v>
                </c:pt>
                <c:pt idx="3" formatCode="#,##0">
                  <c:v>17230</c:v>
                </c:pt>
                <c:pt idx="4" formatCode="#,##0">
                  <c:v>16950</c:v>
                </c:pt>
                <c:pt idx="5" formatCode="#,##0">
                  <c:v>16540</c:v>
                </c:pt>
                <c:pt idx="6" formatCode="#,##0">
                  <c:v>16750</c:v>
                </c:pt>
                <c:pt idx="7" formatCode="#,##0">
                  <c:v>17020</c:v>
                </c:pt>
                <c:pt idx="8" formatCode="#,##0">
                  <c:v>16740</c:v>
                </c:pt>
                <c:pt idx="9" formatCode="#,##0">
                  <c:v>16420</c:v>
                </c:pt>
                <c:pt idx="10" formatCode="#,##0">
                  <c:v>16650</c:v>
                </c:pt>
                <c:pt idx="11" formatCode="#,##0">
                  <c:v>16450</c:v>
                </c:pt>
                <c:pt idx="12" formatCode="#,##0">
                  <c:v>16230</c:v>
                </c:pt>
                <c:pt idx="13" formatCode="#,##0">
                  <c:v>16360</c:v>
                </c:pt>
                <c:pt idx="14" formatCode="#,##0">
                  <c:v>16400</c:v>
                </c:pt>
                <c:pt idx="15" formatCode="#,##0">
                  <c:v>16320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176208"/>
        <c:axId val="518176600"/>
      </c:lineChart>
      <c:catAx>
        <c:axId val="518176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8176600"/>
        <c:crosses val="autoZero"/>
        <c:auto val="1"/>
        <c:lblAlgn val="ctr"/>
        <c:lblOffset val="100"/>
        <c:noMultiLvlLbl val="0"/>
      </c:catAx>
      <c:valAx>
        <c:axId val="51817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817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84306803/Documents/HEC/2-500%20Base/S&#233;ances%20avec%20notes/Version%20&#233;tudiante/S&#233;ance%202e%20-%20DRoll%20feuille%20de%20trava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évisions"/>
      <sheetName val="Cumulative"/>
      <sheetName val="EQM"/>
    </sheetNames>
    <sheetDataSet>
      <sheetData sheetId="0">
        <row r="11">
          <cell r="C11">
            <v>17180</v>
          </cell>
          <cell r="D11">
            <v>17130</v>
          </cell>
          <cell r="E11">
            <v>17163</v>
          </cell>
          <cell r="F11">
            <v>17080</v>
          </cell>
          <cell r="G11">
            <v>17159</v>
          </cell>
        </row>
        <row r="12">
          <cell r="C12">
            <v>17070</v>
          </cell>
          <cell r="D12">
            <v>17123</v>
          </cell>
          <cell r="E12">
            <v>17065</v>
          </cell>
          <cell r="F12">
            <v>17054</v>
          </cell>
          <cell r="G12">
            <v>17055</v>
          </cell>
        </row>
        <row r="13">
          <cell r="C13">
            <v>16907</v>
          </cell>
          <cell r="D13">
            <v>16938</v>
          </cell>
          <cell r="E13">
            <v>16795</v>
          </cell>
          <cell r="F13">
            <v>16951</v>
          </cell>
          <cell r="G13">
            <v>16798</v>
          </cell>
        </row>
        <row r="14">
          <cell r="C14">
            <v>16747</v>
          </cell>
          <cell r="D14">
            <v>16868</v>
          </cell>
          <cell r="E14">
            <v>16776</v>
          </cell>
          <cell r="F14">
            <v>16911</v>
          </cell>
          <cell r="G14">
            <v>16774</v>
          </cell>
        </row>
        <row r="15">
          <cell r="C15">
            <v>16770</v>
          </cell>
          <cell r="D15">
            <v>16815</v>
          </cell>
          <cell r="E15">
            <v>16874</v>
          </cell>
          <cell r="F15">
            <v>16933</v>
          </cell>
          <cell r="G15">
            <v>16897</v>
          </cell>
        </row>
        <row r="16">
          <cell r="C16">
            <v>16837</v>
          </cell>
          <cell r="D16">
            <v>16763</v>
          </cell>
          <cell r="E16">
            <v>16792</v>
          </cell>
          <cell r="F16">
            <v>16894</v>
          </cell>
          <cell r="G16">
            <v>16819</v>
          </cell>
        </row>
        <row r="17">
          <cell r="C17">
            <v>16727</v>
          </cell>
          <cell r="D17">
            <v>16733</v>
          </cell>
          <cell r="E17">
            <v>16623</v>
          </cell>
          <cell r="F17">
            <v>16799</v>
          </cell>
          <cell r="G17">
            <v>16620</v>
          </cell>
        </row>
        <row r="18">
          <cell r="C18">
            <v>16603</v>
          </cell>
          <cell r="D18">
            <v>16708</v>
          </cell>
          <cell r="E18">
            <v>16643</v>
          </cell>
          <cell r="F18">
            <v>16769</v>
          </cell>
          <cell r="G18">
            <v>16635</v>
          </cell>
        </row>
        <row r="19">
          <cell r="C19">
            <v>16507</v>
          </cell>
          <cell r="D19">
            <v>16565</v>
          </cell>
          <cell r="E19">
            <v>16525</v>
          </cell>
          <cell r="F19">
            <v>16705</v>
          </cell>
          <cell r="G19">
            <v>16543</v>
          </cell>
        </row>
        <row r="20">
          <cell r="C20">
            <v>16443</v>
          </cell>
          <cell r="D20">
            <v>16438</v>
          </cell>
          <cell r="E20">
            <v>16367</v>
          </cell>
          <cell r="F20">
            <v>16610</v>
          </cell>
          <cell r="G20">
            <v>16387</v>
          </cell>
        </row>
        <row r="21">
          <cell r="C21">
            <v>16347</v>
          </cell>
          <cell r="D21">
            <v>16423</v>
          </cell>
          <cell r="E21">
            <v>16370</v>
          </cell>
          <cell r="F21">
            <v>16560</v>
          </cell>
          <cell r="G21">
            <v>16374</v>
          </cell>
        </row>
        <row r="22">
          <cell r="C22">
            <v>16330</v>
          </cell>
          <cell r="D22">
            <v>16360</v>
          </cell>
          <cell r="E22">
            <v>16370</v>
          </cell>
          <cell r="F22">
            <v>16528</v>
          </cell>
          <cell r="G22">
            <v>16387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showGridLines="0" workbookViewId="0">
      <selection activeCell="F15" sqref="F15"/>
    </sheetView>
  </sheetViews>
  <sheetFormatPr baseColWidth="10" defaultRowHeight="15" x14ac:dyDescent="0.2"/>
  <sheetData>
    <row r="1" spans="1:7" ht="18" x14ac:dyDescent="0.25">
      <c r="A1" s="2" t="s">
        <v>0</v>
      </c>
    </row>
    <row r="3" spans="1:7" ht="15.75" x14ac:dyDescent="0.25">
      <c r="A3" s="1" t="s">
        <v>12</v>
      </c>
    </row>
    <row r="4" spans="1:7" s="3" customFormat="1" ht="20.100000000000001" customHeight="1" x14ac:dyDescent="0.2">
      <c r="A4" s="16" t="s">
        <v>1</v>
      </c>
      <c r="B4" s="19" t="s">
        <v>9</v>
      </c>
      <c r="C4" s="22" t="s">
        <v>2</v>
      </c>
      <c r="D4" s="22"/>
      <c r="E4" s="22"/>
      <c r="F4" s="22"/>
      <c r="G4" s="23"/>
    </row>
    <row r="5" spans="1:7" s="3" customFormat="1" ht="20.100000000000001" customHeight="1" x14ac:dyDescent="0.2">
      <c r="A5" s="17"/>
      <c r="B5" s="20"/>
      <c r="C5" s="4" t="s">
        <v>4</v>
      </c>
      <c r="D5" s="4" t="s">
        <v>4</v>
      </c>
      <c r="E5" s="4" t="s">
        <v>8</v>
      </c>
      <c r="F5" s="4" t="s">
        <v>10</v>
      </c>
      <c r="G5" s="4" t="s">
        <v>10</v>
      </c>
    </row>
    <row r="6" spans="1:7" s="3" customFormat="1" ht="20.100000000000001" customHeight="1" x14ac:dyDescent="0.2">
      <c r="A6" s="18"/>
      <c r="B6" s="21"/>
      <c r="C6" s="5" t="s">
        <v>6</v>
      </c>
      <c r="D6" s="5" t="s">
        <v>5</v>
      </c>
      <c r="E6" s="5" t="s">
        <v>5</v>
      </c>
      <c r="F6" s="5">
        <v>0.2</v>
      </c>
      <c r="G6" s="5">
        <v>0.5</v>
      </c>
    </row>
    <row r="7" spans="1:7" s="3" customFormat="1" ht="20.100000000000001" customHeight="1" x14ac:dyDescent="0.2">
      <c r="A7" s="13">
        <v>12</v>
      </c>
      <c r="B7" s="14">
        <v>16980</v>
      </c>
      <c r="C7" s="12"/>
      <c r="D7" s="12"/>
      <c r="E7" s="12"/>
      <c r="F7" s="12"/>
      <c r="G7" s="12"/>
    </row>
    <row r="8" spans="1:7" s="3" customFormat="1" ht="20.100000000000001" customHeight="1" x14ac:dyDescent="0.2">
      <c r="A8" s="13">
        <v>13</v>
      </c>
      <c r="B8" s="14">
        <v>17280</v>
      </c>
      <c r="C8" s="12"/>
      <c r="D8" s="12"/>
      <c r="E8" s="12"/>
      <c r="F8" s="12"/>
      <c r="G8" s="12"/>
    </row>
    <row r="9" spans="1:7" s="3" customFormat="1" ht="20.100000000000001" customHeight="1" x14ac:dyDescent="0.2">
      <c r="A9" s="13">
        <v>14</v>
      </c>
      <c r="B9" s="14">
        <v>17030</v>
      </c>
      <c r="C9" s="12"/>
      <c r="D9" s="12"/>
      <c r="E9" s="12"/>
      <c r="F9" s="12"/>
      <c r="G9" s="12"/>
    </row>
    <row r="10" spans="1:7" s="3" customFormat="1" ht="20.100000000000001" customHeight="1" x14ac:dyDescent="0.2">
      <c r="A10" s="6">
        <v>15</v>
      </c>
      <c r="B10" s="7">
        <v>17230</v>
      </c>
      <c r="C10" s="7"/>
      <c r="D10" s="7"/>
      <c r="E10" s="7"/>
      <c r="F10" s="7">
        <v>17043</v>
      </c>
      <c r="G10" s="7">
        <v>17088</v>
      </c>
    </row>
    <row r="11" spans="1:7" s="3" customFormat="1" ht="20.100000000000001" customHeight="1" x14ac:dyDescent="0.2">
      <c r="A11" s="8">
        <v>16</v>
      </c>
      <c r="B11" s="9">
        <v>16950</v>
      </c>
      <c r="C11" s="9">
        <f>ROUND(AVERAGE(B8:B10),0)</f>
        <v>17180</v>
      </c>
      <c r="D11" s="9">
        <f>ROUND(AVERAGE(B7:B10),0)</f>
        <v>17130</v>
      </c>
      <c r="E11" s="9">
        <f>ROUND(0.5*B10+0.25*B9+0.15*B8+0.1*B7,0)</f>
        <v>17163</v>
      </c>
      <c r="F11" s="9">
        <f>ROUND(F$6*$B10+(1-F$6)*F10,0)</f>
        <v>17080</v>
      </c>
      <c r="G11" s="9">
        <f>ROUND(G$6*$B10+(1-G$6)*G10,0)</f>
        <v>17159</v>
      </c>
    </row>
    <row r="12" spans="1:7" s="3" customFormat="1" ht="20.100000000000001" customHeight="1" x14ac:dyDescent="0.2">
      <c r="A12" s="8">
        <v>17</v>
      </c>
      <c r="B12" s="9">
        <v>16540</v>
      </c>
      <c r="C12" s="9">
        <f t="shared" ref="C12:C22" si="0">ROUND(AVERAGE(B9:B11),0)</f>
        <v>17070</v>
      </c>
      <c r="D12" s="9">
        <f t="shared" ref="D12:D22" si="1">ROUND(AVERAGE(B8:B11),0)</f>
        <v>17123</v>
      </c>
      <c r="E12" s="9">
        <f t="shared" ref="E12:E22" si="2">ROUND(0.5*B11+0.25*B10+0.15*B9+0.1*B8,0)</f>
        <v>17065</v>
      </c>
      <c r="F12" s="9">
        <f t="shared" ref="F12:F22" si="3">ROUND(F$6*$B11+(1-F$6)*F11,0)</f>
        <v>17054</v>
      </c>
      <c r="G12" s="9">
        <f t="shared" ref="G12:G22" si="4">ROUND(G$6*$B11+(1-G$6)*G11,0)</f>
        <v>17055</v>
      </c>
    </row>
    <row r="13" spans="1:7" s="3" customFormat="1" ht="20.100000000000001" customHeight="1" x14ac:dyDescent="0.2">
      <c r="A13" s="8">
        <v>18</v>
      </c>
      <c r="B13" s="9">
        <v>16750</v>
      </c>
      <c r="C13" s="9">
        <f t="shared" si="0"/>
        <v>16907</v>
      </c>
      <c r="D13" s="9">
        <f t="shared" si="1"/>
        <v>16938</v>
      </c>
      <c r="E13" s="9">
        <f t="shared" si="2"/>
        <v>16795</v>
      </c>
      <c r="F13" s="9">
        <f t="shared" si="3"/>
        <v>16951</v>
      </c>
      <c r="G13" s="9">
        <f t="shared" si="4"/>
        <v>16798</v>
      </c>
    </row>
    <row r="14" spans="1:7" s="3" customFormat="1" ht="20.100000000000001" customHeight="1" x14ac:dyDescent="0.2">
      <c r="A14" s="8">
        <v>19</v>
      </c>
      <c r="B14" s="9">
        <v>17020</v>
      </c>
      <c r="C14" s="9">
        <f t="shared" si="0"/>
        <v>16747</v>
      </c>
      <c r="D14" s="9">
        <f t="shared" si="1"/>
        <v>16868</v>
      </c>
      <c r="E14" s="9">
        <f t="shared" si="2"/>
        <v>16776</v>
      </c>
      <c r="F14" s="9">
        <f t="shared" si="3"/>
        <v>16911</v>
      </c>
      <c r="G14" s="9">
        <f t="shared" si="4"/>
        <v>16774</v>
      </c>
    </row>
    <row r="15" spans="1:7" s="3" customFormat="1" ht="20.100000000000001" customHeight="1" x14ac:dyDescent="0.2">
      <c r="A15" s="8">
        <v>20</v>
      </c>
      <c r="B15" s="9">
        <v>16740</v>
      </c>
      <c r="C15" s="9">
        <f t="shared" si="0"/>
        <v>16770</v>
      </c>
      <c r="D15" s="9">
        <f t="shared" si="1"/>
        <v>16815</v>
      </c>
      <c r="E15" s="9">
        <f t="shared" si="2"/>
        <v>16874</v>
      </c>
      <c r="F15" s="9">
        <f t="shared" si="3"/>
        <v>16933</v>
      </c>
      <c r="G15" s="9">
        <f t="shared" si="4"/>
        <v>16897</v>
      </c>
    </row>
    <row r="16" spans="1:7" s="3" customFormat="1" ht="20.100000000000001" customHeight="1" x14ac:dyDescent="0.2">
      <c r="A16" s="8">
        <v>21</v>
      </c>
      <c r="B16" s="9">
        <v>16420</v>
      </c>
      <c r="C16" s="9">
        <f t="shared" si="0"/>
        <v>16837</v>
      </c>
      <c r="D16" s="9">
        <f t="shared" si="1"/>
        <v>16763</v>
      </c>
      <c r="E16" s="9">
        <f t="shared" si="2"/>
        <v>16792</v>
      </c>
      <c r="F16" s="9">
        <f t="shared" si="3"/>
        <v>16894</v>
      </c>
      <c r="G16" s="9">
        <f t="shared" si="4"/>
        <v>16819</v>
      </c>
    </row>
    <row r="17" spans="1:7" s="3" customFormat="1" ht="20.100000000000001" customHeight="1" x14ac:dyDescent="0.2">
      <c r="A17" s="8">
        <v>22</v>
      </c>
      <c r="B17" s="9">
        <v>16650</v>
      </c>
      <c r="C17" s="9">
        <f t="shared" si="0"/>
        <v>16727</v>
      </c>
      <c r="D17" s="9">
        <f t="shared" si="1"/>
        <v>16733</v>
      </c>
      <c r="E17" s="9">
        <f t="shared" si="2"/>
        <v>16623</v>
      </c>
      <c r="F17" s="9">
        <f t="shared" si="3"/>
        <v>16799</v>
      </c>
      <c r="G17" s="9">
        <f t="shared" si="4"/>
        <v>16620</v>
      </c>
    </row>
    <row r="18" spans="1:7" s="3" customFormat="1" ht="20.100000000000001" customHeight="1" x14ac:dyDescent="0.2">
      <c r="A18" s="8">
        <v>23</v>
      </c>
      <c r="B18" s="9">
        <v>16450</v>
      </c>
      <c r="C18" s="9">
        <f t="shared" si="0"/>
        <v>16603</v>
      </c>
      <c r="D18" s="9">
        <f t="shared" si="1"/>
        <v>16708</v>
      </c>
      <c r="E18" s="9">
        <f t="shared" si="2"/>
        <v>16643</v>
      </c>
      <c r="F18" s="9">
        <f t="shared" si="3"/>
        <v>16769</v>
      </c>
      <c r="G18" s="9">
        <f t="shared" si="4"/>
        <v>16635</v>
      </c>
    </row>
    <row r="19" spans="1:7" s="3" customFormat="1" ht="20.100000000000001" customHeight="1" x14ac:dyDescent="0.2">
      <c r="A19" s="8">
        <v>24</v>
      </c>
      <c r="B19" s="9">
        <v>16230</v>
      </c>
      <c r="C19" s="9">
        <f t="shared" si="0"/>
        <v>16507</v>
      </c>
      <c r="D19" s="9">
        <f t="shared" si="1"/>
        <v>16565</v>
      </c>
      <c r="E19" s="9">
        <f t="shared" si="2"/>
        <v>16525</v>
      </c>
      <c r="F19" s="9">
        <f t="shared" si="3"/>
        <v>16705</v>
      </c>
      <c r="G19" s="9">
        <f t="shared" si="4"/>
        <v>16543</v>
      </c>
    </row>
    <row r="20" spans="1:7" s="3" customFormat="1" ht="20.100000000000001" customHeight="1" x14ac:dyDescent="0.2">
      <c r="A20" s="8">
        <v>25</v>
      </c>
      <c r="B20" s="9">
        <v>16360</v>
      </c>
      <c r="C20" s="9">
        <f t="shared" si="0"/>
        <v>16443</v>
      </c>
      <c r="D20" s="9">
        <f t="shared" si="1"/>
        <v>16438</v>
      </c>
      <c r="E20" s="9">
        <f t="shared" si="2"/>
        <v>16367</v>
      </c>
      <c r="F20" s="9">
        <f t="shared" si="3"/>
        <v>16610</v>
      </c>
      <c r="G20" s="9">
        <f t="shared" si="4"/>
        <v>16387</v>
      </c>
    </row>
    <row r="21" spans="1:7" s="3" customFormat="1" ht="20.100000000000001" customHeight="1" x14ac:dyDescent="0.2">
      <c r="A21" s="8">
        <v>26</v>
      </c>
      <c r="B21" s="9">
        <v>16400</v>
      </c>
      <c r="C21" s="9">
        <f t="shared" si="0"/>
        <v>16347</v>
      </c>
      <c r="D21" s="9">
        <f t="shared" si="1"/>
        <v>16423</v>
      </c>
      <c r="E21" s="9">
        <f t="shared" si="2"/>
        <v>16370</v>
      </c>
      <c r="F21" s="9">
        <f t="shared" si="3"/>
        <v>16560</v>
      </c>
      <c r="G21" s="9">
        <f t="shared" si="4"/>
        <v>16374</v>
      </c>
    </row>
    <row r="22" spans="1:7" s="3" customFormat="1" ht="20.100000000000001" customHeight="1" x14ac:dyDescent="0.2">
      <c r="A22" s="8">
        <v>27</v>
      </c>
      <c r="B22" s="9">
        <v>16320</v>
      </c>
      <c r="C22" s="9">
        <f t="shared" si="0"/>
        <v>16330</v>
      </c>
      <c r="D22" s="9">
        <f t="shared" si="1"/>
        <v>16360</v>
      </c>
      <c r="E22" s="9">
        <f t="shared" si="2"/>
        <v>16370</v>
      </c>
      <c r="F22" s="9">
        <f t="shared" si="3"/>
        <v>16528</v>
      </c>
      <c r="G22" s="9">
        <f t="shared" si="4"/>
        <v>16387</v>
      </c>
    </row>
    <row r="23" spans="1:7" x14ac:dyDescent="0.2">
      <c r="A23" t="s">
        <v>11</v>
      </c>
    </row>
    <row r="24" spans="1:7" x14ac:dyDescent="0.2">
      <c r="C24" s="15" t="s">
        <v>16</v>
      </c>
    </row>
    <row r="25" spans="1:7" x14ac:dyDescent="0.2">
      <c r="D25" s="15" t="s">
        <v>17</v>
      </c>
    </row>
    <row r="26" spans="1:7" x14ac:dyDescent="0.2">
      <c r="E26" t="s">
        <v>18</v>
      </c>
    </row>
    <row r="27" spans="1:7" x14ac:dyDescent="0.2">
      <c r="F27" s="15" t="s">
        <v>19</v>
      </c>
    </row>
  </sheetData>
  <mergeCells count="3">
    <mergeCell ref="A4:A6"/>
    <mergeCell ref="B4:B6"/>
    <mergeCell ref="C4:G4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showGridLines="0" tabSelected="1" workbookViewId="0">
      <selection activeCell="F15" sqref="F15"/>
    </sheetView>
  </sheetViews>
  <sheetFormatPr baseColWidth="10" defaultRowHeight="15" x14ac:dyDescent="0.2"/>
  <sheetData>
    <row r="1" spans="1:7" ht="18" x14ac:dyDescent="0.25">
      <c r="A1" s="2" t="s">
        <v>0</v>
      </c>
    </row>
    <row r="3" spans="1:7" ht="15.75" x14ac:dyDescent="0.25">
      <c r="A3" s="1" t="s">
        <v>13</v>
      </c>
    </row>
    <row r="4" spans="1:7" s="3" customFormat="1" ht="20.100000000000001" customHeight="1" x14ac:dyDescent="0.2">
      <c r="A4" s="16" t="s">
        <v>1</v>
      </c>
      <c r="B4" s="19" t="s">
        <v>9</v>
      </c>
      <c r="C4" s="22" t="s">
        <v>14</v>
      </c>
      <c r="D4" s="22"/>
      <c r="E4" s="22"/>
      <c r="F4" s="22"/>
      <c r="G4" s="23"/>
    </row>
    <row r="5" spans="1:7" s="3" customFormat="1" ht="20.100000000000001" customHeight="1" x14ac:dyDescent="0.2">
      <c r="A5" s="17"/>
      <c r="B5" s="20"/>
      <c r="C5" s="4" t="s">
        <v>4</v>
      </c>
      <c r="D5" s="4" t="s">
        <v>4</v>
      </c>
      <c r="E5" s="4" t="s">
        <v>8</v>
      </c>
      <c r="F5" s="4" t="s">
        <v>7</v>
      </c>
      <c r="G5" s="4" t="s">
        <v>7</v>
      </c>
    </row>
    <row r="6" spans="1:7" s="3" customFormat="1" ht="20.100000000000001" customHeight="1" x14ac:dyDescent="0.2">
      <c r="A6" s="18"/>
      <c r="B6" s="21"/>
      <c r="C6" s="5" t="s">
        <v>6</v>
      </c>
      <c r="D6" s="5" t="s">
        <v>5</v>
      </c>
      <c r="E6" s="5" t="s">
        <v>5</v>
      </c>
      <c r="F6" s="5">
        <v>0.2</v>
      </c>
      <c r="G6" s="5" t="s">
        <v>3</v>
      </c>
    </row>
    <row r="7" spans="1:7" s="3" customFormat="1" ht="20.100000000000001" customHeight="1" x14ac:dyDescent="0.2">
      <c r="A7" s="8">
        <v>16</v>
      </c>
      <c r="B7" s="9">
        <v>16950</v>
      </c>
      <c r="C7" s="9">
        <f>($B7-[1]Prévisions!C11)</f>
        <v>-230</v>
      </c>
      <c r="D7" s="9">
        <f>($B7-[1]Prévisions!D11)</f>
        <v>-180</v>
      </c>
      <c r="E7" s="9">
        <f>($B7-[1]Prévisions!E11)</f>
        <v>-213</v>
      </c>
      <c r="F7" s="9">
        <f>($B7-[1]Prévisions!F11)</f>
        <v>-130</v>
      </c>
      <c r="G7" s="9">
        <f>($B7-[1]Prévisions!G11)</f>
        <v>-209</v>
      </c>
    </row>
    <row r="8" spans="1:7" s="3" customFormat="1" ht="20.100000000000001" customHeight="1" x14ac:dyDescent="0.2">
      <c r="A8" s="8">
        <v>17</v>
      </c>
      <c r="B8" s="9">
        <v>16540</v>
      </c>
      <c r="C8" s="9">
        <f>($B8-[1]Prévisions!C12)</f>
        <v>-530</v>
      </c>
      <c r="D8" s="9">
        <f>($B8-[1]Prévisions!D12)</f>
        <v>-583</v>
      </c>
      <c r="E8" s="9">
        <f>($B8-[1]Prévisions!E12)</f>
        <v>-525</v>
      </c>
      <c r="F8" s="9">
        <f>($B8-[1]Prévisions!F12)</f>
        <v>-514</v>
      </c>
      <c r="G8" s="9">
        <f>($B8-[1]Prévisions!G12)</f>
        <v>-515</v>
      </c>
    </row>
    <row r="9" spans="1:7" s="3" customFormat="1" ht="20.100000000000001" customHeight="1" x14ac:dyDescent="0.2">
      <c r="A9" s="8">
        <v>18</v>
      </c>
      <c r="B9" s="9">
        <v>16750</v>
      </c>
      <c r="C9" s="9">
        <f>($B9-[1]Prévisions!C13)</f>
        <v>-157</v>
      </c>
      <c r="D9" s="9">
        <f>($B9-[1]Prévisions!D13)</f>
        <v>-188</v>
      </c>
      <c r="E9" s="9">
        <f>($B9-[1]Prévisions!E13)</f>
        <v>-45</v>
      </c>
      <c r="F9" s="9">
        <f>($B9-[1]Prévisions!F13)</f>
        <v>-201</v>
      </c>
      <c r="G9" s="9">
        <f>($B9-[1]Prévisions!G13)</f>
        <v>-48</v>
      </c>
    </row>
    <row r="10" spans="1:7" s="3" customFormat="1" ht="20.100000000000001" customHeight="1" x14ac:dyDescent="0.2">
      <c r="A10" s="8">
        <v>19</v>
      </c>
      <c r="B10" s="9">
        <v>17020</v>
      </c>
      <c r="C10" s="9">
        <f>($B10-[1]Prévisions!C14)</f>
        <v>273</v>
      </c>
      <c r="D10" s="9">
        <f>($B10-[1]Prévisions!D14)</f>
        <v>152</v>
      </c>
      <c r="E10" s="9">
        <f>($B10-[1]Prévisions!E14)</f>
        <v>244</v>
      </c>
      <c r="F10" s="9">
        <f>($B10-[1]Prévisions!F14)</f>
        <v>109</v>
      </c>
      <c r="G10" s="9">
        <f>($B10-[1]Prévisions!G14)</f>
        <v>246</v>
      </c>
    </row>
    <row r="11" spans="1:7" s="3" customFormat="1" ht="20.100000000000001" customHeight="1" x14ac:dyDescent="0.2">
      <c r="A11" s="8">
        <v>20</v>
      </c>
      <c r="B11" s="9">
        <v>16740</v>
      </c>
      <c r="C11" s="9">
        <f>($B11-[1]Prévisions!C15)</f>
        <v>-30</v>
      </c>
      <c r="D11" s="9">
        <f>($B11-[1]Prévisions!D15)</f>
        <v>-75</v>
      </c>
      <c r="E11" s="9">
        <f>($B11-[1]Prévisions!E15)</f>
        <v>-134</v>
      </c>
      <c r="F11" s="9">
        <f>($B11-[1]Prévisions!F15)</f>
        <v>-193</v>
      </c>
      <c r="G11" s="9">
        <f>($B11-[1]Prévisions!G15)</f>
        <v>-157</v>
      </c>
    </row>
    <row r="12" spans="1:7" s="3" customFormat="1" ht="20.100000000000001" customHeight="1" x14ac:dyDescent="0.2">
      <c r="A12" s="8">
        <v>21</v>
      </c>
      <c r="B12" s="9">
        <v>16420</v>
      </c>
      <c r="C12" s="9">
        <f>($B12-[1]Prévisions!C16)</f>
        <v>-417</v>
      </c>
      <c r="D12" s="9">
        <f>($B12-[1]Prévisions!D16)</f>
        <v>-343</v>
      </c>
      <c r="E12" s="9">
        <f>($B12-[1]Prévisions!E16)</f>
        <v>-372</v>
      </c>
      <c r="F12" s="9">
        <f>($B12-[1]Prévisions!F16)</f>
        <v>-474</v>
      </c>
      <c r="G12" s="9">
        <f>($B12-[1]Prévisions!G16)</f>
        <v>-399</v>
      </c>
    </row>
    <row r="13" spans="1:7" s="3" customFormat="1" ht="20.100000000000001" customHeight="1" x14ac:dyDescent="0.2">
      <c r="A13" s="8">
        <v>22</v>
      </c>
      <c r="B13" s="9">
        <v>16650</v>
      </c>
      <c r="C13" s="9">
        <f>($B13-[1]Prévisions!C17)</f>
        <v>-77</v>
      </c>
      <c r="D13" s="9">
        <f>($B13-[1]Prévisions!D17)</f>
        <v>-83</v>
      </c>
      <c r="E13" s="9">
        <f>($B13-[1]Prévisions!E17)</f>
        <v>27</v>
      </c>
      <c r="F13" s="9">
        <f>($B13-[1]Prévisions!F17)</f>
        <v>-149</v>
      </c>
      <c r="G13" s="9">
        <f>($B13-[1]Prévisions!G17)</f>
        <v>30</v>
      </c>
    </row>
    <row r="14" spans="1:7" s="3" customFormat="1" ht="20.100000000000001" customHeight="1" x14ac:dyDescent="0.2">
      <c r="A14" s="8">
        <v>23</v>
      </c>
      <c r="B14" s="9">
        <v>16450</v>
      </c>
      <c r="C14" s="9">
        <f>($B14-[1]Prévisions!C18)</f>
        <v>-153</v>
      </c>
      <c r="D14" s="9">
        <f>($B14-[1]Prévisions!D18)</f>
        <v>-258</v>
      </c>
      <c r="E14" s="9">
        <f>($B14-[1]Prévisions!E18)</f>
        <v>-193</v>
      </c>
      <c r="F14" s="9">
        <f>($B14-[1]Prévisions!F18)</f>
        <v>-319</v>
      </c>
      <c r="G14" s="9">
        <f>($B14-[1]Prévisions!G18)</f>
        <v>-185</v>
      </c>
    </row>
    <row r="15" spans="1:7" s="3" customFormat="1" ht="20.100000000000001" customHeight="1" x14ac:dyDescent="0.2">
      <c r="A15" s="8">
        <v>24</v>
      </c>
      <c r="B15" s="9">
        <v>16230</v>
      </c>
      <c r="C15" s="9">
        <f>($B15-[1]Prévisions!C19)</f>
        <v>-277</v>
      </c>
      <c r="D15" s="9">
        <f>($B15-[1]Prévisions!D19)</f>
        <v>-335</v>
      </c>
      <c r="E15" s="9">
        <f>($B15-[1]Prévisions!E19)</f>
        <v>-295</v>
      </c>
      <c r="F15" s="9">
        <f>($B15-[1]Prévisions!F19)</f>
        <v>-475</v>
      </c>
      <c r="G15" s="9">
        <f>($B15-[1]Prévisions!G19)</f>
        <v>-313</v>
      </c>
    </row>
    <row r="16" spans="1:7" s="3" customFormat="1" ht="20.100000000000001" customHeight="1" x14ac:dyDescent="0.2">
      <c r="A16" s="8">
        <v>25</v>
      </c>
      <c r="B16" s="9">
        <v>16360</v>
      </c>
      <c r="C16" s="9">
        <f>($B16-[1]Prévisions!C20)</f>
        <v>-83</v>
      </c>
      <c r="D16" s="9">
        <f>($B16-[1]Prévisions!D20)</f>
        <v>-78</v>
      </c>
      <c r="E16" s="9">
        <f>($B16-[1]Prévisions!E20)</f>
        <v>-7</v>
      </c>
      <c r="F16" s="9">
        <f>($B16-[1]Prévisions!F20)</f>
        <v>-250</v>
      </c>
      <c r="G16" s="9">
        <f>($B16-[1]Prévisions!G20)</f>
        <v>-27</v>
      </c>
    </row>
    <row r="17" spans="1:7" s="3" customFormat="1" ht="20.100000000000001" customHeight="1" x14ac:dyDescent="0.2">
      <c r="A17" s="8">
        <v>26</v>
      </c>
      <c r="B17" s="9">
        <v>16400</v>
      </c>
      <c r="C17" s="9">
        <f>($B17-[1]Prévisions!C21)</f>
        <v>53</v>
      </c>
      <c r="D17" s="9">
        <f>($B17-[1]Prévisions!D21)</f>
        <v>-23</v>
      </c>
      <c r="E17" s="9">
        <f>($B17-[1]Prévisions!E21)</f>
        <v>30</v>
      </c>
      <c r="F17" s="9">
        <f>($B17-[1]Prévisions!F21)</f>
        <v>-160</v>
      </c>
      <c r="G17" s="9">
        <f>($B17-[1]Prévisions!G21)</f>
        <v>26</v>
      </c>
    </row>
    <row r="18" spans="1:7" s="3" customFormat="1" ht="20.100000000000001" customHeight="1" x14ac:dyDescent="0.2">
      <c r="A18" s="8">
        <v>27</v>
      </c>
      <c r="B18" s="9">
        <v>16320</v>
      </c>
      <c r="C18" s="9">
        <f>($B18-[1]Prévisions!C22)</f>
        <v>-10</v>
      </c>
      <c r="D18" s="9">
        <f>($B18-[1]Prévisions!D22)</f>
        <v>-40</v>
      </c>
      <c r="E18" s="9">
        <f>($B18-[1]Prévisions!E22)</f>
        <v>-50</v>
      </c>
      <c r="F18" s="9">
        <f>($B18-[1]Prévisions!F22)</f>
        <v>-208</v>
      </c>
      <c r="G18" s="9">
        <f>($B18-[1]Prévisions!G22)</f>
        <v>-67</v>
      </c>
    </row>
    <row r="19" spans="1:7" ht="20.100000000000001" customHeight="1" x14ac:dyDescent="0.2">
      <c r="A19" s="10"/>
      <c r="B19" s="10" t="s">
        <v>15</v>
      </c>
      <c r="C19" s="11">
        <f>AVERAGE(C7:C18)</f>
        <v>-136.5</v>
      </c>
      <c r="D19" s="11">
        <f t="shared" ref="D19:G19" si="0">AVERAGE(D7:D18)</f>
        <v>-169.5</v>
      </c>
      <c r="E19" s="11">
        <f t="shared" si="0"/>
        <v>-127.75</v>
      </c>
      <c r="F19" s="11">
        <f t="shared" si="0"/>
        <v>-247</v>
      </c>
      <c r="G19" s="11">
        <f t="shared" si="0"/>
        <v>-134.83333333333334</v>
      </c>
    </row>
    <row r="20" spans="1:7" x14ac:dyDescent="0.2">
      <c r="B20" s="24"/>
    </row>
    <row r="22" spans="1:7" x14ac:dyDescent="0.2">
      <c r="A22" t="s">
        <v>21</v>
      </c>
    </row>
  </sheetData>
  <mergeCells count="3">
    <mergeCell ref="A4:A6"/>
    <mergeCell ref="B4:B6"/>
    <mergeCell ref="C4:G4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showGridLines="0" workbookViewId="0">
      <selection activeCell="F15" sqref="F15"/>
    </sheetView>
  </sheetViews>
  <sheetFormatPr baseColWidth="10" defaultRowHeight="15" x14ac:dyDescent="0.2"/>
  <sheetData>
    <row r="1" spans="1:7" ht="18" x14ac:dyDescent="0.25">
      <c r="A1" s="2" t="s">
        <v>0</v>
      </c>
    </row>
    <row r="3" spans="1:7" ht="15.75" x14ac:dyDescent="0.25">
      <c r="A3" s="1" t="s">
        <v>13</v>
      </c>
    </row>
    <row r="4" spans="1:7" s="3" customFormat="1" ht="20.100000000000001" customHeight="1" x14ac:dyDescent="0.2">
      <c r="A4" s="16" t="s">
        <v>1</v>
      </c>
      <c r="B4" s="19" t="s">
        <v>9</v>
      </c>
      <c r="C4" s="22" t="s">
        <v>14</v>
      </c>
      <c r="D4" s="22"/>
      <c r="E4" s="22"/>
      <c r="F4" s="22"/>
      <c r="G4" s="23"/>
    </row>
    <row r="5" spans="1:7" s="3" customFormat="1" ht="20.100000000000001" customHeight="1" x14ac:dyDescent="0.2">
      <c r="A5" s="17"/>
      <c r="B5" s="20"/>
      <c r="C5" s="4" t="s">
        <v>4</v>
      </c>
      <c r="D5" s="4" t="s">
        <v>4</v>
      </c>
      <c r="E5" s="4" t="s">
        <v>8</v>
      </c>
      <c r="F5" s="4" t="s">
        <v>7</v>
      </c>
      <c r="G5" s="4" t="s">
        <v>7</v>
      </c>
    </row>
    <row r="6" spans="1:7" s="3" customFormat="1" ht="20.100000000000001" customHeight="1" x14ac:dyDescent="0.2">
      <c r="A6" s="18"/>
      <c r="B6" s="21"/>
      <c r="C6" s="5" t="s">
        <v>6</v>
      </c>
      <c r="D6" s="5" t="s">
        <v>5</v>
      </c>
      <c r="E6" s="5" t="s">
        <v>5</v>
      </c>
      <c r="F6" s="5">
        <v>0.2</v>
      </c>
      <c r="G6" s="5" t="s">
        <v>3</v>
      </c>
    </row>
    <row r="7" spans="1:7" s="3" customFormat="1" ht="20.100000000000001" customHeight="1" x14ac:dyDescent="0.2">
      <c r="A7" s="8">
        <v>16</v>
      </c>
      <c r="B7" s="9">
        <v>16950</v>
      </c>
      <c r="C7" s="9">
        <f>($B7-Prévisions!C11)^2</f>
        <v>52900</v>
      </c>
      <c r="D7" s="9">
        <f>($B7-Prévisions!D11)^2</f>
        <v>32400</v>
      </c>
      <c r="E7" s="9">
        <f>($B7-Prévisions!E11)^2</f>
        <v>45369</v>
      </c>
      <c r="F7" s="9">
        <f>($B7-Prévisions!F11)^2</f>
        <v>16900</v>
      </c>
      <c r="G7" s="9">
        <f>($B7-Prévisions!G11)^2</f>
        <v>43681</v>
      </c>
    </row>
    <row r="8" spans="1:7" s="3" customFormat="1" ht="20.100000000000001" customHeight="1" x14ac:dyDescent="0.2">
      <c r="A8" s="8">
        <v>17</v>
      </c>
      <c r="B8" s="9">
        <v>16540</v>
      </c>
      <c r="C8" s="9">
        <f>($B8-Prévisions!C12)^2</f>
        <v>280900</v>
      </c>
      <c r="D8" s="9">
        <f>($B8-Prévisions!D12)^2</f>
        <v>339889</v>
      </c>
      <c r="E8" s="9">
        <f>($B8-Prévisions!E12)^2</f>
        <v>275625</v>
      </c>
      <c r="F8" s="9">
        <f>($B8-Prévisions!F12)^2</f>
        <v>264196</v>
      </c>
      <c r="G8" s="9">
        <f>($B8-Prévisions!G12)^2</f>
        <v>265225</v>
      </c>
    </row>
    <row r="9" spans="1:7" s="3" customFormat="1" ht="20.100000000000001" customHeight="1" x14ac:dyDescent="0.2">
      <c r="A9" s="8">
        <v>18</v>
      </c>
      <c r="B9" s="9">
        <v>16750</v>
      </c>
      <c r="C9" s="9">
        <f>($B9-Prévisions!C13)^2</f>
        <v>24649</v>
      </c>
      <c r="D9" s="9">
        <f>($B9-Prévisions!D13)^2</f>
        <v>35344</v>
      </c>
      <c r="E9" s="9">
        <f>($B9-Prévisions!E13)^2</f>
        <v>2025</v>
      </c>
      <c r="F9" s="9">
        <f>($B9-Prévisions!F13)^2</f>
        <v>40401</v>
      </c>
      <c r="G9" s="9">
        <f>($B9-Prévisions!G13)^2</f>
        <v>2304</v>
      </c>
    </row>
    <row r="10" spans="1:7" s="3" customFormat="1" ht="20.100000000000001" customHeight="1" x14ac:dyDescent="0.2">
      <c r="A10" s="8">
        <v>19</v>
      </c>
      <c r="B10" s="9">
        <v>17020</v>
      </c>
      <c r="C10" s="9">
        <f>($B10-Prévisions!C14)^2</f>
        <v>74529</v>
      </c>
      <c r="D10" s="9">
        <f>($B10-Prévisions!D14)^2</f>
        <v>23104</v>
      </c>
      <c r="E10" s="9">
        <f>($B10-Prévisions!E14)^2</f>
        <v>59536</v>
      </c>
      <c r="F10" s="9">
        <f>($B10-Prévisions!F14)^2</f>
        <v>11881</v>
      </c>
      <c r="G10" s="9">
        <f>($B10-Prévisions!G14)^2</f>
        <v>60516</v>
      </c>
    </row>
    <row r="11" spans="1:7" s="3" customFormat="1" ht="20.100000000000001" customHeight="1" x14ac:dyDescent="0.2">
      <c r="A11" s="8">
        <v>20</v>
      </c>
      <c r="B11" s="9">
        <v>16740</v>
      </c>
      <c r="C11" s="9">
        <f>($B11-Prévisions!C15)^2</f>
        <v>900</v>
      </c>
      <c r="D11" s="9">
        <f>($B11-Prévisions!D15)^2</f>
        <v>5625</v>
      </c>
      <c r="E11" s="9">
        <f>($B11-Prévisions!E15)^2</f>
        <v>17956</v>
      </c>
      <c r="F11" s="9">
        <f>($B11-Prévisions!F15)^2</f>
        <v>37249</v>
      </c>
      <c r="G11" s="9">
        <f>($B11-Prévisions!G15)^2</f>
        <v>24649</v>
      </c>
    </row>
    <row r="12" spans="1:7" s="3" customFormat="1" ht="20.100000000000001" customHeight="1" x14ac:dyDescent="0.2">
      <c r="A12" s="8">
        <v>21</v>
      </c>
      <c r="B12" s="9">
        <v>16420</v>
      </c>
      <c r="C12" s="9">
        <f>($B12-Prévisions!C16)^2</f>
        <v>173889</v>
      </c>
      <c r="D12" s="9">
        <f>($B12-Prévisions!D16)^2</f>
        <v>117649</v>
      </c>
      <c r="E12" s="9">
        <f>($B12-Prévisions!E16)^2</f>
        <v>138384</v>
      </c>
      <c r="F12" s="9">
        <f>($B12-Prévisions!F16)^2</f>
        <v>224676</v>
      </c>
      <c r="G12" s="9">
        <f>($B12-Prévisions!G16)^2</f>
        <v>159201</v>
      </c>
    </row>
    <row r="13" spans="1:7" s="3" customFormat="1" ht="20.100000000000001" customHeight="1" x14ac:dyDescent="0.2">
      <c r="A13" s="8">
        <v>22</v>
      </c>
      <c r="B13" s="9">
        <v>16650</v>
      </c>
      <c r="C13" s="9">
        <f>($B13-Prévisions!C17)^2</f>
        <v>5929</v>
      </c>
      <c r="D13" s="9">
        <f>($B13-Prévisions!D17)^2</f>
        <v>6889</v>
      </c>
      <c r="E13" s="9">
        <f>($B13-Prévisions!E17)^2</f>
        <v>729</v>
      </c>
      <c r="F13" s="9">
        <f>($B13-Prévisions!F17)^2</f>
        <v>22201</v>
      </c>
      <c r="G13" s="9">
        <f>($B13-Prévisions!G17)^2</f>
        <v>900</v>
      </c>
    </row>
    <row r="14" spans="1:7" s="3" customFormat="1" ht="20.100000000000001" customHeight="1" x14ac:dyDescent="0.2">
      <c r="A14" s="8">
        <v>23</v>
      </c>
      <c r="B14" s="9">
        <v>16450</v>
      </c>
      <c r="C14" s="9">
        <f>($B14-Prévisions!C18)^2</f>
        <v>23409</v>
      </c>
      <c r="D14" s="9">
        <f>($B14-Prévisions!D18)^2</f>
        <v>66564</v>
      </c>
      <c r="E14" s="9">
        <f>($B14-Prévisions!E18)^2</f>
        <v>37249</v>
      </c>
      <c r="F14" s="9">
        <f>($B14-Prévisions!F18)^2</f>
        <v>101761</v>
      </c>
      <c r="G14" s="9">
        <f>($B14-Prévisions!G18)^2</f>
        <v>34225</v>
      </c>
    </row>
    <row r="15" spans="1:7" s="3" customFormat="1" ht="20.100000000000001" customHeight="1" x14ac:dyDescent="0.2">
      <c r="A15" s="8">
        <v>24</v>
      </c>
      <c r="B15" s="9">
        <v>16230</v>
      </c>
      <c r="C15" s="9">
        <f>($B15-Prévisions!C19)^2</f>
        <v>76729</v>
      </c>
      <c r="D15" s="9">
        <f>($B15-Prévisions!D19)^2</f>
        <v>112225</v>
      </c>
      <c r="E15" s="9">
        <f>($B15-Prévisions!E19)^2</f>
        <v>87025</v>
      </c>
      <c r="F15" s="9">
        <f>($B15-Prévisions!F19)^2</f>
        <v>225625</v>
      </c>
      <c r="G15" s="9">
        <f>($B15-Prévisions!G19)^2</f>
        <v>97969</v>
      </c>
    </row>
    <row r="16" spans="1:7" s="3" customFormat="1" ht="20.100000000000001" customHeight="1" x14ac:dyDescent="0.2">
      <c r="A16" s="8">
        <v>25</v>
      </c>
      <c r="B16" s="9">
        <v>16360</v>
      </c>
      <c r="C16" s="9">
        <f>($B16-Prévisions!C20)^2</f>
        <v>6889</v>
      </c>
      <c r="D16" s="9">
        <f>($B16-Prévisions!D20)^2</f>
        <v>6084</v>
      </c>
      <c r="E16" s="9">
        <f>($B16-Prévisions!E20)^2</f>
        <v>49</v>
      </c>
      <c r="F16" s="9">
        <f>($B16-Prévisions!F20)^2</f>
        <v>62500</v>
      </c>
      <c r="G16" s="9">
        <f>($B16-Prévisions!G20)^2</f>
        <v>729</v>
      </c>
    </row>
    <row r="17" spans="1:7" s="3" customFormat="1" ht="20.100000000000001" customHeight="1" x14ac:dyDescent="0.2">
      <c r="A17" s="8">
        <v>26</v>
      </c>
      <c r="B17" s="9">
        <v>16400</v>
      </c>
      <c r="C17" s="9">
        <f>($B17-Prévisions!C21)^2</f>
        <v>2809</v>
      </c>
      <c r="D17" s="9">
        <f>($B17-Prévisions!D21)^2</f>
        <v>529</v>
      </c>
      <c r="E17" s="9">
        <f>($B17-Prévisions!E21)^2</f>
        <v>900</v>
      </c>
      <c r="F17" s="9">
        <f>($B17-Prévisions!F21)^2</f>
        <v>25600</v>
      </c>
      <c r="G17" s="9">
        <f>($B17-Prévisions!G21)^2</f>
        <v>676</v>
      </c>
    </row>
    <row r="18" spans="1:7" s="3" customFormat="1" ht="20.100000000000001" customHeight="1" x14ac:dyDescent="0.2">
      <c r="A18" s="8">
        <v>27</v>
      </c>
      <c r="B18" s="9">
        <v>16320</v>
      </c>
      <c r="C18" s="9">
        <f>($B18-Prévisions!C22)^2</f>
        <v>100</v>
      </c>
      <c r="D18" s="9">
        <f>($B18-Prévisions!D22)^2</f>
        <v>1600</v>
      </c>
      <c r="E18" s="9">
        <f>($B18-Prévisions!E22)^2</f>
        <v>2500</v>
      </c>
      <c r="F18" s="9">
        <f>($B18-Prévisions!F22)^2</f>
        <v>43264</v>
      </c>
      <c r="G18" s="9">
        <f>($B18-Prévisions!G22)^2</f>
        <v>4489</v>
      </c>
    </row>
    <row r="19" spans="1:7" ht="20.100000000000001" customHeight="1" x14ac:dyDescent="0.2">
      <c r="A19" s="10"/>
      <c r="B19" s="10" t="s">
        <v>15</v>
      </c>
      <c r="C19" s="11">
        <f>AVERAGE(C7:C18)</f>
        <v>60302.666666666664</v>
      </c>
      <c r="D19" s="11">
        <f t="shared" ref="D19:G19" si="0">AVERAGE(D7:D18)</f>
        <v>62325.166666666664</v>
      </c>
      <c r="E19" s="11">
        <f t="shared" si="0"/>
        <v>55612.25</v>
      </c>
      <c r="F19" s="11">
        <f t="shared" si="0"/>
        <v>89687.833333333328</v>
      </c>
      <c r="G19" s="11">
        <f t="shared" si="0"/>
        <v>57880.333333333336</v>
      </c>
    </row>
    <row r="21" spans="1:7" x14ac:dyDescent="0.2">
      <c r="A21" s="15" t="s">
        <v>20</v>
      </c>
    </row>
    <row r="24" spans="1:7" x14ac:dyDescent="0.2">
      <c r="C24" s="15"/>
    </row>
    <row r="25" spans="1:7" x14ac:dyDescent="0.2">
      <c r="D25" s="15"/>
    </row>
    <row r="27" spans="1:7" x14ac:dyDescent="0.2">
      <c r="F27" s="15"/>
    </row>
  </sheetData>
  <mergeCells count="3">
    <mergeCell ref="C4:G4"/>
    <mergeCell ref="A4:A6"/>
    <mergeCell ref="B4:B6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Graphiques</vt:lpstr>
      </vt:variant>
      <vt:variant>
        <vt:i4>1</vt:i4>
      </vt:variant>
    </vt:vector>
  </HeadingPairs>
  <TitlesOfParts>
    <vt:vector size="4" baseType="lpstr">
      <vt:lpstr>Prévisions</vt:lpstr>
      <vt:lpstr>Cumulative</vt:lpstr>
      <vt:lpstr>EQM</vt:lpstr>
      <vt:lpstr>Ventes</vt:lpstr>
    </vt:vector>
  </TitlesOfParts>
  <Company>HEC Montréal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</dc:creator>
  <cp:lastModifiedBy>Claire</cp:lastModifiedBy>
  <cp:lastPrinted>2017-09-11T12:29:57Z</cp:lastPrinted>
  <dcterms:created xsi:type="dcterms:W3CDTF">2014-08-27T15:39:20Z</dcterms:created>
  <dcterms:modified xsi:type="dcterms:W3CDTF">2017-09-11T12:30:17Z</dcterms:modified>
</cp:coreProperties>
</file>