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hecmtl-my.sharepoint.com/personal/loecha_philion_hec_ca/Documents/1.HEC-10904/10904/1-Exercices Plan de cours/"/>
    </mc:Choice>
  </mc:AlternateContent>
  <xr:revisionPtr revIDLastSave="0" documentId="8_{6779A1A9-E724-4800-A26A-C849B104E4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" sheetId="7" r:id="rId1"/>
    <sheet name="Question a) b)" sheetId="3" r:id="rId2"/>
    <sheet name="Question c)" sheetId="5" r:id="rId3"/>
    <sheet name="Question d)" sheetId="6" r:id="rId4"/>
    <sheet name="Solution" sheetId="8" r:id="rId5"/>
    <sheet name="Complément FGF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40" i="8" l="1"/>
  <c r="E140" i="8"/>
  <c r="G134" i="8"/>
  <c r="G132" i="8"/>
  <c r="E134" i="8"/>
  <c r="E132" i="8"/>
  <c r="L18" i="9"/>
  <c r="J16" i="9"/>
  <c r="H16" i="9"/>
  <c r="F16" i="9"/>
  <c r="D16" i="9"/>
  <c r="L15" i="9"/>
  <c r="L14" i="9"/>
  <c r="L13" i="9"/>
  <c r="L12" i="9"/>
  <c r="L16" i="9" s="1"/>
  <c r="J10" i="9"/>
  <c r="H10" i="9"/>
  <c r="F10" i="9"/>
  <c r="D10" i="9"/>
  <c r="L9" i="9"/>
  <c r="L8" i="9"/>
  <c r="L10" i="9" s="1"/>
  <c r="L7" i="9"/>
  <c r="I81" i="8"/>
  <c r="G81" i="8"/>
  <c r="E81" i="8"/>
  <c r="I74" i="8"/>
  <c r="G74" i="8"/>
  <c r="E74" i="8"/>
  <c r="M66" i="8"/>
  <c r="K66" i="8"/>
  <c r="I66" i="8"/>
  <c r="G66" i="8"/>
  <c r="E66" i="8"/>
  <c r="K64" i="8"/>
  <c r="C78" i="8" s="1"/>
  <c r="I64" i="8"/>
  <c r="C77" i="8" s="1"/>
  <c r="G64" i="8"/>
  <c r="C76" i="8" s="1"/>
  <c r="E64" i="8"/>
  <c r="C75" i="8" s="1"/>
  <c r="K61" i="8"/>
  <c r="K70" i="8" s="1"/>
  <c r="K72" i="8" s="1"/>
  <c r="I61" i="8"/>
  <c r="G61" i="8"/>
  <c r="E61" i="8"/>
  <c r="E60" i="8"/>
  <c r="E59" i="8"/>
  <c r="I53" i="8"/>
  <c r="I59" i="8" s="1"/>
  <c r="G53" i="8"/>
  <c r="G59" i="8" s="1"/>
  <c r="K59" i="8" s="1"/>
  <c r="E70" i="8" s="1"/>
  <c r="E53" i="8"/>
  <c r="I52" i="8"/>
  <c r="I62" i="8" s="1"/>
  <c r="G52" i="8"/>
  <c r="G62" i="8" s="1"/>
  <c r="E52" i="8"/>
  <c r="E62" i="8" s="1"/>
  <c r="I51" i="8"/>
  <c r="I58" i="8" s="1"/>
  <c r="G51" i="8"/>
  <c r="G58" i="8" s="1"/>
  <c r="E51" i="8"/>
  <c r="E58" i="8" s="1"/>
  <c r="I45" i="8"/>
  <c r="G45" i="8"/>
  <c r="E45" i="8"/>
  <c r="H41" i="8"/>
  <c r="H84" i="8" s="1"/>
  <c r="G41" i="8"/>
  <c r="G84" i="8" s="1"/>
  <c r="H40" i="8"/>
  <c r="E40" i="8"/>
  <c r="E83" i="8" s="1"/>
  <c r="I38" i="8"/>
  <c r="G38" i="8"/>
  <c r="E38" i="8"/>
  <c r="M30" i="8"/>
  <c r="G35" i="8" s="1"/>
  <c r="I23" i="8"/>
  <c r="G23" i="8"/>
  <c r="E23" i="8"/>
  <c r="K21" i="8"/>
  <c r="I20" i="8"/>
  <c r="I41" i="8" s="1"/>
  <c r="I84" i="8" s="1"/>
  <c r="G20" i="8"/>
  <c r="E20" i="8"/>
  <c r="E41" i="8" s="1"/>
  <c r="E84" i="8" s="1"/>
  <c r="K19" i="8"/>
  <c r="K23" i="8" s="1"/>
  <c r="I18" i="8"/>
  <c r="I40" i="8" s="1"/>
  <c r="G18" i="8"/>
  <c r="G40" i="8" s="1"/>
  <c r="E18" i="8"/>
  <c r="K17" i="8"/>
  <c r="K16" i="8"/>
  <c r="I11" i="8"/>
  <c r="G11" i="8"/>
  <c r="K11" i="8" s="1"/>
  <c r="G36" i="8" s="1"/>
  <c r="E11" i="8"/>
  <c r="K9" i="8"/>
  <c r="E142" i="8" l="1"/>
  <c r="G137" i="8"/>
  <c r="G142" i="8"/>
  <c r="E137" i="8"/>
  <c r="G78" i="8"/>
  <c r="E78" i="8"/>
  <c r="I78" i="8"/>
  <c r="G83" i="8"/>
  <c r="K62" i="8"/>
  <c r="I70" i="8" s="1"/>
  <c r="I72" i="8" s="1"/>
  <c r="E72" i="8"/>
  <c r="I83" i="8"/>
  <c r="E35" i="8"/>
  <c r="G60" i="8"/>
  <c r="K60" i="8" s="1"/>
  <c r="G70" i="8" s="1"/>
  <c r="G72" i="8" s="1"/>
  <c r="I60" i="8"/>
  <c r="G76" i="8" l="1"/>
  <c r="E76" i="8"/>
  <c r="I76" i="8"/>
  <c r="E42" i="8"/>
  <c r="E43" i="8" s="1"/>
  <c r="G42" i="8"/>
  <c r="G43" i="8" s="1"/>
  <c r="I77" i="8"/>
  <c r="G77" i="8"/>
  <c r="E77" i="8"/>
  <c r="I42" i="8"/>
  <c r="I43" i="8" s="1"/>
  <c r="I75" i="8"/>
  <c r="G75" i="8"/>
  <c r="E75" i="8"/>
  <c r="E79" i="8" s="1"/>
  <c r="E85" i="8" s="1"/>
  <c r="E86" i="8" s="1"/>
  <c r="G79" i="8" l="1"/>
  <c r="G85" i="8" s="1"/>
  <c r="G86" i="8" s="1"/>
  <c r="I79" i="8"/>
  <c r="I85" i="8" s="1"/>
  <c r="I86" i="8" s="1"/>
  <c r="H41" i="3" l="1"/>
  <c r="H84" i="3" s="1"/>
  <c r="H40" i="3"/>
  <c r="I23" i="3"/>
  <c r="G23" i="3"/>
  <c r="E23" i="3"/>
  <c r="K21" i="3"/>
  <c r="K19" i="3"/>
  <c r="K17" i="3"/>
  <c r="K16" i="3"/>
  <c r="M30" i="3"/>
  <c r="K23" i="3" l="1"/>
  <c r="I74" i="3" l="1"/>
  <c r="G74" i="3"/>
  <c r="E74" i="3"/>
  <c r="I81" i="3" l="1"/>
  <c r="G81" i="3"/>
  <c r="E81" i="3"/>
  <c r="K64" i="3"/>
  <c r="C78" i="3" s="1"/>
  <c r="I64" i="3"/>
  <c r="C77" i="3" s="1"/>
  <c r="G64" i="3"/>
  <c r="C76" i="3" s="1"/>
  <c r="E64" i="3"/>
  <c r="C75" i="3" s="1"/>
  <c r="I52" i="3"/>
  <c r="G52" i="3"/>
  <c r="E52" i="3"/>
  <c r="I53" i="3"/>
  <c r="G53" i="3"/>
  <c r="E53" i="3"/>
  <c r="I51" i="3"/>
  <c r="I58" i="3" s="1"/>
  <c r="G51" i="3"/>
  <c r="G58" i="3" s="1"/>
  <c r="E51" i="3"/>
  <c r="E58" i="3" s="1"/>
  <c r="I38" i="3"/>
  <c r="G38" i="3"/>
  <c r="E38" i="3"/>
  <c r="K9" i="3"/>
  <c r="I45" i="3"/>
  <c r="G45" i="3"/>
  <c r="E45" i="3"/>
  <c r="E66" i="3" l="1"/>
  <c r="K66" i="3"/>
  <c r="I66" i="3"/>
  <c r="G66" i="3"/>
  <c r="M66" i="3" l="1"/>
</calcChain>
</file>

<file path=xl/sharedStrings.xml><?xml version="1.0" encoding="utf-8"?>
<sst xmlns="http://schemas.openxmlformats.org/spreadsheetml/2006/main" count="375" uniqueCount="164">
  <si>
    <t>Matières premières</t>
  </si>
  <si>
    <t>Main d'œuvre directe</t>
  </si>
  <si>
    <t>Frais généraux de fabrication</t>
  </si>
  <si>
    <t>Heures machine par unité</t>
  </si>
  <si>
    <t>Total FGF</t>
  </si>
  <si>
    <t>Produits</t>
  </si>
  <si>
    <t>TOTAL</t>
  </si>
  <si>
    <t>Centre de coûts</t>
  </si>
  <si>
    <t>Taux d'imputation</t>
  </si>
  <si>
    <t>FGF totaux</t>
  </si>
  <si>
    <t>Taux d'imputation :</t>
  </si>
  <si>
    <t xml:space="preserve">Calculez le taux d'imputation et imputer les FGF à chaque produit sachant que la base d'imputation est les heures machine. </t>
  </si>
  <si>
    <t>Heures-machine totales</t>
  </si>
  <si>
    <t>Identifiez les FGF totaux et les heures machines totales</t>
  </si>
  <si>
    <t>Calculez le taux d'imputation unique</t>
  </si>
  <si>
    <t>Base d'imputation</t>
  </si>
  <si>
    <t>Total de la base d'imputation</t>
  </si>
  <si>
    <t>Heures machine totales</t>
  </si>
  <si>
    <t xml:space="preserve">Les frais généraux de fabrication sont actuellement imputés en fonction des heures-machines. </t>
  </si>
  <si>
    <t>T-J1</t>
  </si>
  <si>
    <t>TOC-22</t>
  </si>
  <si>
    <t>TOC-36</t>
  </si>
  <si>
    <t>Moulage des casques</t>
  </si>
  <si>
    <t>Préparation des composants</t>
  </si>
  <si>
    <t>Assemblage des casques</t>
  </si>
  <si>
    <t>Contrôle de la qualité</t>
  </si>
  <si>
    <t>Heure-machine par unité</t>
  </si>
  <si>
    <t>Nombre de composants par unité</t>
  </si>
  <si>
    <t>Voici des données supplémentaires concernant la production du dernier exercice:</t>
  </si>
  <si>
    <t>Heures-machines</t>
  </si>
  <si>
    <t>Heures de MOD</t>
  </si>
  <si>
    <t>Par unité</t>
  </si>
  <si>
    <t>Total</t>
  </si>
  <si>
    <t>Étape 2. Choisir la base d'imputation</t>
  </si>
  <si>
    <t>FGF</t>
  </si>
  <si>
    <t>Les données pertinentes pour effectuer les calculs vous sont fournies.</t>
  </si>
  <si>
    <t>Ventes totales ($)</t>
  </si>
  <si>
    <t>Résultat brut</t>
  </si>
  <si>
    <t xml:space="preserve">   Matières premières ($)</t>
  </si>
  <si>
    <t xml:space="preserve">   Main d'œuvre directe ($)</t>
  </si>
  <si>
    <t xml:space="preserve">   Frais généraux de fabrication ($)</t>
  </si>
  <si>
    <t>Résultats financiers du dernier exercice:</t>
  </si>
  <si>
    <t>Nombre de lots</t>
  </si>
  <si>
    <t>0,95 $/comp x 5 comp.</t>
  </si>
  <si>
    <t>22,25 $ / hm x 0,5 hm</t>
  </si>
  <si>
    <t>9 $/ HMOD x 0,8 hmod</t>
  </si>
  <si>
    <t>Total FGF (variables + fixes)</t>
  </si>
  <si>
    <t>Nombre de composants</t>
  </si>
  <si>
    <t>Heure de MOD par unité</t>
  </si>
  <si>
    <t>Nombre d'unités à produire</t>
  </si>
  <si>
    <t>(Taux d'imputation par heure machine X nombre h-m par unité)</t>
  </si>
  <si>
    <t xml:space="preserve">La société TOC inc. souhaite calculer le coût de fabrication de ses produits. </t>
  </si>
  <si>
    <t>Nombre d'unités à produire X volume base imputation unitaire</t>
  </si>
  <si>
    <t>Justifications:</t>
  </si>
  <si>
    <t xml:space="preserve">ii) </t>
  </si>
  <si>
    <t>Marge bénéficiaire brute TOC 22</t>
  </si>
  <si>
    <t>Ms: Coût de fabrication unitaire</t>
  </si>
  <si>
    <t>Résultat  unitaire</t>
  </si>
  <si>
    <t>Marge bénéficiaire brute</t>
  </si>
  <si>
    <t>qu'on devrait avoir pour atteindre</t>
  </si>
  <si>
    <t>/(1-20%)</t>
  </si>
  <si>
    <t>la marge brute de 20 %</t>
  </si>
  <si>
    <t>ii)</t>
  </si>
  <si>
    <t>Argument qualitatif ou quantitatif:</t>
  </si>
  <si>
    <t>Méthode actuelle</t>
  </si>
  <si>
    <t>+ Centres de coûts</t>
  </si>
  <si>
    <t>Si part du coût et calcule le prix</t>
  </si>
  <si>
    <t>Sous-questions a) et b) Calcul du coût unitaire avec UN SEUL TAUX D'IMPUTATION et calcul selon la méthode par centres de coûts (PLUSIEURS TAUX)</t>
  </si>
  <si>
    <t>Frais généraux de fabrication par centres de coûts pour l'année (voir complément onglet suivant):</t>
  </si>
  <si>
    <t>hm</t>
  </si>
  <si>
    <r>
      <t xml:space="preserve">Étape 3. Calculez un taux d'imputation </t>
    </r>
    <r>
      <rPr>
        <u/>
        <sz val="10"/>
        <color theme="1"/>
        <rFont val="Chalkboard"/>
      </rPr>
      <t>pour chaque centre de coûts</t>
    </r>
  </si>
  <si>
    <t>Lorsqu'on utilise UN SEUL TAUX D'IMPUTATION…</t>
  </si>
  <si>
    <t>Lorsqu'on utilise PLUSIEURS TAUX D'IMPUTATION (un par centre de coûts)….</t>
  </si>
  <si>
    <r>
      <t xml:space="preserve">c) Expliquez pourquoi le coût de fabrication </t>
    </r>
    <r>
      <rPr>
        <b/>
        <u/>
        <sz val="11"/>
        <color theme="1"/>
        <rFont val="Calibri"/>
        <family val="2"/>
        <scheme val="minor"/>
      </rPr>
      <t>unitaire</t>
    </r>
    <r>
      <rPr>
        <b/>
        <sz val="11"/>
        <color theme="1"/>
        <rFont val="Calibri"/>
        <family val="2"/>
        <scheme val="minor"/>
      </rPr>
      <t xml:space="preserve"> est différent entre les 2 méthodes TOC-22 et TOC-36</t>
    </r>
  </si>
  <si>
    <t>la marge bénéficiaire brute unitaire chuterait sous les 20 %? (veuillez fournir vos calculs à l'appui)</t>
  </si>
  <si>
    <r>
      <t xml:space="preserve">ii) Selon vous, la société TOC doit-elle abandonner la production du modèle TOC-22? (Veuillez justifier avec </t>
    </r>
    <r>
      <rPr>
        <b/>
        <u val="singleAccounting"/>
        <sz val="11"/>
        <color theme="1"/>
        <rFont val="Calibri"/>
        <family val="2"/>
        <scheme val="minor"/>
      </rPr>
      <t>deux arguments pertinents au contexte</t>
    </r>
    <r>
      <rPr>
        <b/>
        <sz val="11"/>
        <color theme="1"/>
        <rFont val="Calibri"/>
        <family val="2"/>
        <scheme val="minor"/>
      </rPr>
      <t>)</t>
    </r>
  </si>
  <si>
    <t>Prix de vente de BSI (concurrent)</t>
  </si>
  <si>
    <t>d) i) Est-il vrai que TOC n'est pas en mesure d'offrir le même prix de vente unitaire que les Boutiques Sports-Intermédiaire (BSI) pour le TOC-22 sans quoi</t>
  </si>
  <si>
    <t>172 $ / (1 400 unités / 56 lots)</t>
  </si>
  <si>
    <t>(Taux d'imputation x Volume de la base d'imputation)</t>
  </si>
  <si>
    <t>FORMULE</t>
  </si>
  <si>
    <t>Coût unitaire MP ($)</t>
  </si>
  <si>
    <t>Coût unitaire MOD ($)</t>
  </si>
  <si>
    <t>Instructions :</t>
  </si>
  <si>
    <t>DONNÉE</t>
  </si>
  <si>
    <t>NOMBRE</t>
  </si>
  <si>
    <t>CALCUL</t>
  </si>
  <si>
    <t>Exemple de calcul pour  T-J1</t>
  </si>
  <si>
    <t>Coût de fabrication unitaire</t>
  </si>
  <si>
    <t>Conclusion…</t>
  </si>
  <si>
    <t>Arguments…</t>
  </si>
  <si>
    <t>Réponse…</t>
  </si>
  <si>
    <r>
      <t xml:space="preserve">Remplir les cellules grises où le mot « </t>
    </r>
    <r>
      <rPr>
        <b/>
        <sz val="12"/>
        <color theme="1"/>
        <rFont val="Calibri"/>
        <family val="2"/>
        <scheme val="minor"/>
      </rPr>
      <t>DONNÉE</t>
    </r>
    <r>
      <rPr>
        <sz val="12"/>
        <color theme="1"/>
        <rFont val="Calibri"/>
        <family val="2"/>
        <scheme val="minor"/>
      </rPr>
      <t xml:space="preserve"> » apparaît dans le modèle avec les informations fournies dans l’énoncé du cas.</t>
    </r>
  </si>
  <si>
    <r>
      <t xml:space="preserve">Entrer un nombre que vous avez calculé précédemment dans le modèle lorsque le mot « </t>
    </r>
    <r>
      <rPr>
        <b/>
        <sz val="12"/>
        <color theme="1"/>
        <rFont val="Calibri"/>
        <family val="2"/>
        <scheme val="minor"/>
      </rPr>
      <t>NOMBRE</t>
    </r>
    <r>
      <rPr>
        <sz val="12"/>
        <color theme="1"/>
        <rFont val="Calibri"/>
        <family val="2"/>
        <scheme val="minor"/>
      </rPr>
      <t xml:space="preserve"> » apparaît dans les cellules jaunes.</t>
    </r>
  </si>
  <si>
    <r>
      <t xml:space="preserve">a) Travail à faire : </t>
    </r>
    <r>
      <rPr>
        <b/>
        <sz val="12"/>
        <color rgb="FF0070C0"/>
        <rFont val="Calibri (Corps)"/>
      </rPr>
      <t>Un seul centre de coûts</t>
    </r>
  </si>
  <si>
    <r>
      <t xml:space="preserve">b) Travail à faire : </t>
    </r>
    <r>
      <rPr>
        <b/>
        <sz val="12"/>
        <color rgb="FF0070C0"/>
        <rFont val="Calibri (Corps)"/>
      </rPr>
      <t>Plusieurs centres coûts</t>
    </r>
  </si>
  <si>
    <t>Calculez le taux d'imputation par centre de coûts (PLUSIEURS TAUX) et imputez les FGF à chaque produit.</t>
  </si>
  <si>
    <t>Heures-machine (total)</t>
  </si>
  <si>
    <t>Nombre de composants (total)</t>
  </si>
  <si>
    <t>Nombre de lots (total)</t>
  </si>
  <si>
    <t>Heures de MOD (total)</t>
  </si>
  <si>
    <t>Total des FGF unitaire</t>
  </si>
  <si>
    <t xml:space="preserve">Calculez le montant des FGF unitaires pour chaque produit </t>
  </si>
  <si>
    <r>
      <t xml:space="preserve">Étape 1. Calculez les données totales pour </t>
    </r>
    <r>
      <rPr>
        <u/>
        <sz val="10"/>
        <color theme="1"/>
        <rFont val="Chalkboard"/>
      </rPr>
      <t>tous les produits</t>
    </r>
    <r>
      <rPr>
        <sz val="10"/>
        <color theme="1"/>
        <rFont val="Chalkboard"/>
        <family val="4"/>
      </rPr>
      <t>.</t>
    </r>
  </si>
  <si>
    <t xml:space="preserve">Étape 4. Calculez les FGF unitaires pour chaque produit </t>
  </si>
  <si>
    <t>Étape 5. Calculez le coût de fabrication unitaire pour chaque produit</t>
  </si>
  <si>
    <r>
      <t xml:space="preserve">Effectuer l'un des calculs suivants (addition, soustraction, multiplication) lorsque le mot « </t>
    </r>
    <r>
      <rPr>
        <b/>
        <sz val="12"/>
        <color theme="1"/>
        <rFont val="Calibri"/>
        <family val="2"/>
        <scheme val="minor"/>
      </rPr>
      <t>CALCUL</t>
    </r>
    <r>
      <rPr>
        <sz val="12"/>
        <color theme="1"/>
        <rFont val="Calibri"/>
        <family val="2"/>
        <scheme val="minor"/>
      </rPr>
      <t xml:space="preserve"> » apparaît. Ceci vous permettra de trouver le total d'une section. </t>
    </r>
  </si>
  <si>
    <t>(1 centre de coûts)</t>
  </si>
  <si>
    <r>
      <t>Identifier les informations pertinentes dans le cas et entrer la bonne formule dans la cellule où le mot «</t>
    </r>
    <r>
      <rPr>
        <b/>
        <sz val="12"/>
        <color theme="1"/>
        <rFont val="Calibri"/>
        <family val="2"/>
        <scheme val="minor"/>
      </rPr>
      <t xml:space="preserve"> FORMULE</t>
    </r>
    <r>
      <rPr>
        <sz val="12"/>
        <color theme="1"/>
        <rFont val="Calibri"/>
        <family val="2"/>
        <scheme val="minor"/>
      </rPr>
      <t xml:space="preserve"> » apparaît.  </t>
    </r>
  </si>
  <si>
    <r>
      <t xml:space="preserve">a) Travail à faire : </t>
    </r>
    <r>
      <rPr>
        <b/>
        <sz val="12"/>
        <color rgb="FF0070C0"/>
        <rFont val="Calibri (Corps)"/>
      </rPr>
      <t>Un seul centre de coût</t>
    </r>
  </si>
  <si>
    <t xml:space="preserve">Calculer le montant des FGF unitaire pour chaque produit </t>
  </si>
  <si>
    <t>Coût de fabrication</t>
  </si>
  <si>
    <r>
      <t xml:space="preserve">b) Travail à faire : </t>
    </r>
    <r>
      <rPr>
        <b/>
        <sz val="12"/>
        <color rgb="FF0070C0"/>
        <rFont val="Calibri (Corps)"/>
      </rPr>
      <t>Plusieurs centres coût</t>
    </r>
  </si>
  <si>
    <t>Calculez le taux d'imputation par centre de coûts (PLUSIEURS TAUX) et imputer les FGF à chaque produit.</t>
  </si>
  <si>
    <r>
      <t xml:space="preserve">Étape 1. Calculer les données totales pour </t>
    </r>
    <r>
      <rPr>
        <u/>
        <sz val="10"/>
        <color theme="1"/>
        <rFont val="Chalkboard"/>
      </rPr>
      <t>tous les produits</t>
    </r>
    <r>
      <rPr>
        <sz val="10"/>
        <color theme="1"/>
        <rFont val="Chalkboard"/>
        <family val="4"/>
      </rPr>
      <t>.</t>
    </r>
  </si>
  <si>
    <t>Nombre de composants total</t>
  </si>
  <si>
    <t>Heures de MOD totale</t>
  </si>
  <si>
    <r>
      <t xml:space="preserve">Exemple de calcul pour  </t>
    </r>
    <r>
      <rPr>
        <u/>
        <sz val="10"/>
        <color theme="1"/>
        <rFont val="Chalkboard"/>
        <family val="4"/>
      </rPr>
      <t>T-J1</t>
    </r>
  </si>
  <si>
    <t>FGF TOTAL</t>
  </si>
  <si>
    <t xml:space="preserve">Étape 4. Calculer les FGF unitaire pour chaque produit </t>
  </si>
  <si>
    <t>Étape 5. Calculer le coût de fabrication unitaire pour chaque produit</t>
  </si>
  <si>
    <t>Les frais généraux de fabrication par centres de coûts pour l'année pourraient être répartis comme suit:</t>
  </si>
  <si>
    <t>Centres de coûts</t>
  </si>
  <si>
    <t>FGF Variables</t>
  </si>
  <si>
    <t>Maintenance</t>
  </si>
  <si>
    <t>Électricité - Force motrice</t>
  </si>
  <si>
    <t>Fournitures d'usine utilisées</t>
  </si>
  <si>
    <t>Total FGF variables</t>
  </si>
  <si>
    <t>FGF fixes</t>
  </si>
  <si>
    <t>Amortissement- usine</t>
  </si>
  <si>
    <t>Amortissement- équipement</t>
  </si>
  <si>
    <t>MOI - Salaire superviseur</t>
  </si>
  <si>
    <t>Assurances et taxes</t>
  </si>
  <si>
    <t>Total FGF fixes</t>
  </si>
  <si>
    <t>Le montant des FGF est le même pour les 2 modèles. Chaque modèle supporte 63,25 $ de FGF , car les FGF sont imputés en fonction des heures machines</t>
  </si>
  <si>
    <t>et les 2 modèles nécessitent 1,2 heure machine par casque. Les 2 modèles utilisent le même taux d'imputation et ont le même volume de base d'imputation.</t>
  </si>
  <si>
    <t>Dans ce cas, la différence entre les coûts de fabrication unitaire provient des coûts de MP et de MOD qui sont différents pour les 2 casques.</t>
  </si>
  <si>
    <t>La différence entre les coûts de fabrication unitaire ne provient pas uniquement des coûts de MP et de MOD qui sont différents pour les 2 casques.</t>
  </si>
  <si>
    <t>On constate également que les 2 modèles ne consomment pas les ressources (FGF) de façon similaire, donc le montant des FGF imputés à chaque modèle est également différent.</t>
  </si>
  <si>
    <t>Pour la préparation des composants:</t>
  </si>
  <si>
    <t>Le TOC36 ne se retrouvait pas avec sa juste part des frais de préparation des composantes avec l'ancienne méthode, car</t>
  </si>
  <si>
    <t>on ne tenait pas compte du nombre différent de composants (7 composants vs 10 composants)</t>
  </si>
  <si>
    <t>Pour l'assemblage des casques :</t>
  </si>
  <si>
    <t>Le TOC36 ne se retrouvait pas avec sa juste part des frais d'assemblage avec l'ancienne méthode, car</t>
  </si>
  <si>
    <t>on considérait qu'il avait les mêmes frais d'assemblage que le TOC22 même s'il nécessite plus d'heures de MOD par casque (2,4 h vs 1,7 h)</t>
  </si>
  <si>
    <t>Pour le contrôle de la qualité:</t>
  </si>
  <si>
    <t>Le TOC36 ne se retrouvait pas avec sa juste part des coûts liés au contrôle de la qualité avec l'ancienne méthode, car</t>
  </si>
  <si>
    <t xml:space="preserve">plus de frais sont engagés pour ce modèle, car + complexe. De plus, le nombre d'unités par lot est différent, ce qui fait que chaque unité </t>
  </si>
  <si>
    <t xml:space="preserve">absorbe de façon différente le coût du contrôle de la qualité (40 casques par lot vs 10 casques par lot). </t>
  </si>
  <si>
    <t>Autres éléments pertinents (selon le contexte)</t>
  </si>
  <si>
    <t>(1 centre de coût)</t>
  </si>
  <si>
    <t>L'argument de la présidente n'est plus valide en calculant le coût de fabrication au moyen de la méthode de la comptabilité par</t>
  </si>
  <si>
    <t>centres de coûts (avec plusieurs taux).</t>
  </si>
  <si>
    <t>Elle peut fixer le TOC22 au même prix de vente que le concurrent tout en réalisant une marge bénéficiaire brute supérieure à 20 % (soit, 22,93 %)</t>
  </si>
  <si>
    <t>Même le résultat actuel (calculé avec les coûts actuels) présente une marge brute très près de 20 % (soit, 19,18 %)</t>
  </si>
  <si>
    <t>Donc, on pourrait envisager d'avoir le même prix de vente unitaire que la concurrence.</t>
  </si>
  <si>
    <t xml:space="preserve">Une autre façon d'arriver à cette conclusion est de calculer (en fonction de nos coûts) le prix qu'on devrait avoir pour atteindre </t>
  </si>
  <si>
    <t>une marge brute de 20 %.</t>
  </si>
  <si>
    <t>Avec ce calcul, on pourrait mentionner que les prix calculés (277,81 $ très près de 275 $) et (264,94 $ en dessous de 275 $)</t>
  </si>
  <si>
    <t>NON, on ne doit pas abandonner la production du modèle TOC-22</t>
  </si>
  <si>
    <t>Cesser la production du TOC 22 réduit la diversité des produits offerts</t>
  </si>
  <si>
    <t>Le TOC22 est classique, standard et de grand confort, donc un produit attrayant convenant à plusieurs skieurs adultes</t>
  </si>
  <si>
    <t>Le TOC22 génère un résultat brut positif.</t>
  </si>
  <si>
    <t>Tout autre élément pertinent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</si>
</sst>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* #,##0.00_)\ &quot;$&quot;_ ;_ * \(#,##0.00\)\ &quot;$&quot;_ ;_ * &quot;-&quot;??_)\ &quot;$&quot;_ ;_ @_ "/>
    <numFmt numFmtId="164" formatCode="_ * #,##0_)\ &quot;$&quot;_ ;_ * \(#,##0\)\ &quot;$&quot;_ ;_ * &quot;-&quot;??_)\ &quot;$&quot;_ ;_ @_ "/>
  </numFmts>
  <fonts count="2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halkboard"/>
      <family val="4"/>
    </font>
    <font>
      <b/>
      <sz val="12"/>
      <color rgb="FF0070C0"/>
      <name val="Calibri (Corps)"/>
    </font>
    <font>
      <b/>
      <sz val="11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u val="singleAccounting"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 val="doubleAccounting"/>
      <sz val="11"/>
      <color theme="1"/>
      <name val="Calibri"/>
      <family val="2"/>
      <scheme val="minor"/>
    </font>
    <font>
      <u/>
      <sz val="10"/>
      <color theme="1"/>
      <name val="Chalkboard"/>
    </font>
    <font>
      <b/>
      <sz val="12"/>
      <color theme="1"/>
      <name val="Cambria"/>
      <family val="1"/>
    </font>
    <font>
      <i/>
      <sz val="10"/>
      <color theme="1"/>
      <name val="Calibri"/>
      <family val="2"/>
      <scheme val="minor"/>
    </font>
    <font>
      <i/>
      <u/>
      <sz val="10"/>
      <color theme="1"/>
      <name val="Chalkboard"/>
    </font>
    <font>
      <b/>
      <u/>
      <sz val="10"/>
      <color theme="1"/>
      <name val="Chalkboard"/>
    </font>
    <font>
      <u val="doubleAccounting"/>
      <sz val="12"/>
      <color theme="1"/>
      <name val="Calibri"/>
      <family val="2"/>
      <scheme val="minor"/>
    </font>
    <font>
      <u/>
      <sz val="10"/>
      <color theme="1"/>
      <name val="Chalkboard"/>
      <family val="4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15">
    <xf numFmtId="0" fontId="0" fillId="0" borderId="0" xfId="0"/>
    <xf numFmtId="0" fontId="3" fillId="0" borderId="0" xfId="0" applyFont="1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3" fillId="0" borderId="5" xfId="0" applyFont="1" applyBorder="1"/>
    <xf numFmtId="3" fontId="0" fillId="0" borderId="0" xfId="0" applyNumberFormat="1" applyAlignment="1">
      <alignment horizontal="center"/>
    </xf>
    <xf numFmtId="0" fontId="4" fillId="0" borderId="0" xfId="0" applyFont="1" applyAlignment="1">
      <alignment horizontal="left" indent="1"/>
    </xf>
    <xf numFmtId="164" fontId="0" fillId="0" borderId="0" xfId="1" applyNumberFormat="1" applyFont="1" applyAlignment="1">
      <alignment horizontal="center"/>
    </xf>
    <xf numFmtId="0" fontId="3" fillId="0" borderId="0" xfId="0" applyFont="1" applyAlignment="1">
      <alignment horizontal="right"/>
    </xf>
    <xf numFmtId="164" fontId="0" fillId="0" borderId="0" xfId="1" applyNumberFormat="1" applyFont="1" applyFill="1" applyBorder="1" applyAlignment="1">
      <alignment horizontal="center"/>
    </xf>
    <xf numFmtId="164" fontId="0" fillId="0" borderId="0" xfId="1" applyNumberFormat="1" applyFont="1"/>
    <xf numFmtId="164" fontId="0" fillId="0" borderId="6" xfId="0" applyNumberFormat="1" applyBorder="1"/>
    <xf numFmtId="164" fontId="3" fillId="2" borderId="6" xfId="0" applyNumberFormat="1" applyFont="1" applyFill="1" applyBorder="1"/>
    <xf numFmtId="164" fontId="0" fillId="0" borderId="0" xfId="0" applyNumberFormat="1"/>
    <xf numFmtId="0" fontId="0" fillId="0" borderId="9" xfId="0" applyBorder="1"/>
    <xf numFmtId="164" fontId="0" fillId="0" borderId="0" xfId="1" applyNumberFormat="1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44" fontId="3" fillId="0" borderId="0" xfId="0" applyNumberFormat="1" applyFont="1" applyAlignment="1">
      <alignment vertical="center"/>
    </xf>
    <xf numFmtId="0" fontId="0" fillId="0" borderId="10" xfId="0" applyBorder="1"/>
    <xf numFmtId="44" fontId="0" fillId="0" borderId="7" xfId="1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0" fontId="6" fillId="0" borderId="0" xfId="0" applyFont="1"/>
    <xf numFmtId="3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2" fontId="4" fillId="0" borderId="0" xfId="0" applyNumberFormat="1" applyFont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44" fontId="0" fillId="0" borderId="0" xfId="1" applyFont="1" applyFill="1" applyBorder="1" applyAlignment="1">
      <alignment horizontal="center"/>
    </xf>
    <xf numFmtId="0" fontId="3" fillId="0" borderId="11" xfId="0" applyFont="1" applyBorder="1" applyAlignment="1">
      <alignment horizontal="right"/>
    </xf>
    <xf numFmtId="0" fontId="0" fillId="0" borderId="12" xfId="0" applyBorder="1"/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3" fillId="0" borderId="13" xfId="0" applyFont="1" applyBorder="1"/>
    <xf numFmtId="164" fontId="3" fillId="0" borderId="14" xfId="0" applyNumberFormat="1" applyFont="1" applyBorder="1"/>
    <xf numFmtId="0" fontId="0" fillId="0" borderId="15" xfId="0" applyBorder="1"/>
    <xf numFmtId="0" fontId="0" fillId="0" borderId="16" xfId="0" applyBorder="1"/>
    <xf numFmtId="0" fontId="3" fillId="0" borderId="1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44" fontId="3" fillId="0" borderId="1" xfId="0" applyNumberFormat="1" applyFont="1" applyBorder="1"/>
    <xf numFmtId="0" fontId="3" fillId="0" borderId="1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0" xfId="0" applyFont="1" applyAlignment="1">
      <alignment horizontal="left" indent="1"/>
    </xf>
    <xf numFmtId="0" fontId="0" fillId="3" borderId="13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3" fontId="0" fillId="0" borderId="7" xfId="0" applyNumberFormat="1" applyBorder="1" applyAlignment="1">
      <alignment horizontal="center"/>
    </xf>
    <xf numFmtId="3" fontId="0" fillId="0" borderId="21" xfId="0" applyNumberFormat="1" applyBorder="1" applyAlignment="1">
      <alignment horizontal="center"/>
    </xf>
    <xf numFmtId="0" fontId="3" fillId="0" borderId="13" xfId="0" applyFont="1" applyBorder="1" applyAlignment="1">
      <alignment horizontal="right"/>
    </xf>
    <xf numFmtId="44" fontId="0" fillId="0" borderId="0" xfId="1" applyFont="1" applyBorder="1" applyAlignment="1">
      <alignment horizontal="center"/>
    </xf>
    <xf numFmtId="44" fontId="0" fillId="0" borderId="14" xfId="1" applyFont="1" applyBorder="1" applyAlignment="1">
      <alignment horizontal="center"/>
    </xf>
    <xf numFmtId="0" fontId="3" fillId="0" borderId="15" xfId="0" applyFont="1" applyBorder="1"/>
    <xf numFmtId="3" fontId="0" fillId="0" borderId="27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44" fontId="3" fillId="0" borderId="2" xfId="1" applyFont="1" applyBorder="1" applyAlignment="1">
      <alignment horizontal="center"/>
    </xf>
    <xf numFmtId="44" fontId="3" fillId="0" borderId="22" xfId="0" applyNumberFormat="1" applyFont="1" applyBorder="1"/>
    <xf numFmtId="44" fontId="3" fillId="0" borderId="23" xfId="0" applyNumberFormat="1" applyFont="1" applyBorder="1"/>
    <xf numFmtId="164" fontId="10" fillId="0" borderId="0" xfId="1" applyNumberFormat="1" applyFont="1"/>
    <xf numFmtId="3" fontId="0" fillId="0" borderId="24" xfId="0" applyNumberFormat="1" applyBorder="1" applyAlignment="1">
      <alignment horizontal="center"/>
    </xf>
    <xf numFmtId="3" fontId="0" fillId="0" borderId="28" xfId="0" applyNumberFormat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3" xfId="0" applyBorder="1"/>
    <xf numFmtId="0" fontId="0" fillId="0" borderId="32" xfId="0" applyBorder="1"/>
    <xf numFmtId="0" fontId="11" fillId="0" borderId="32" xfId="0" applyFont="1" applyBorder="1"/>
    <xf numFmtId="0" fontId="0" fillId="0" borderId="34" xfId="0" applyBorder="1"/>
    <xf numFmtId="0" fontId="0" fillId="0" borderId="35" xfId="0" applyBorder="1"/>
    <xf numFmtId="0" fontId="12" fillId="0" borderId="32" xfId="0" applyFont="1" applyBorder="1" applyAlignment="1">
      <alignment horizontal="left" vertical="center" indent="8"/>
    </xf>
    <xf numFmtId="0" fontId="11" fillId="0" borderId="0" xfId="0" applyFont="1"/>
    <xf numFmtId="0" fontId="12" fillId="0" borderId="32" xfId="0" applyFont="1" applyBorder="1" applyAlignment="1">
      <alignment vertical="center"/>
    </xf>
    <xf numFmtId="44" fontId="0" fillId="0" borderId="0" xfId="1" applyFont="1" applyBorder="1"/>
    <xf numFmtId="0" fontId="8" fillId="0" borderId="0" xfId="0" applyFont="1"/>
    <xf numFmtId="44" fontId="8" fillId="0" borderId="0" xfId="1" applyFont="1" applyBorder="1" applyAlignment="1">
      <alignment horizontal="center"/>
    </xf>
    <xf numFmtId="44" fontId="14" fillId="0" borderId="0" xfId="1" quotePrefix="1" applyFont="1" applyBorder="1" applyAlignment="1">
      <alignment horizontal="center"/>
    </xf>
    <xf numFmtId="44" fontId="13" fillId="0" borderId="0" xfId="1" applyFont="1" applyBorder="1" applyAlignment="1">
      <alignment horizontal="center"/>
    </xf>
    <xf numFmtId="44" fontId="13" fillId="0" borderId="0" xfId="1" applyFont="1" applyBorder="1"/>
    <xf numFmtId="44" fontId="16" fillId="0" borderId="0" xfId="1" applyFont="1" applyBorder="1"/>
    <xf numFmtId="0" fontId="0" fillId="0" borderId="0" xfId="0" applyAlignment="1">
      <alignment horizontal="left"/>
    </xf>
    <xf numFmtId="0" fontId="15" fillId="0" borderId="0" xfId="0" applyFont="1" applyAlignment="1">
      <alignment horizontal="center"/>
    </xf>
    <xf numFmtId="0" fontId="3" fillId="3" borderId="0" xfId="0" applyFont="1" applyFill="1"/>
    <xf numFmtId="0" fontId="8" fillId="3" borderId="32" xfId="0" applyFont="1" applyFill="1" applyBorder="1"/>
    <xf numFmtId="44" fontId="8" fillId="3" borderId="29" xfId="0" applyNumberFormat="1" applyFont="1" applyFill="1" applyBorder="1"/>
    <xf numFmtId="0" fontId="0" fillId="3" borderId="30" xfId="0" applyFill="1" applyBorder="1"/>
    <xf numFmtId="44" fontId="8" fillId="3" borderId="32" xfId="0" applyNumberFormat="1" applyFont="1" applyFill="1" applyBorder="1"/>
    <xf numFmtId="0" fontId="18" fillId="0" borderId="32" xfId="0" applyFont="1" applyBorder="1" applyAlignment="1">
      <alignment horizontal="right" vertical="center"/>
    </xf>
    <xf numFmtId="0" fontId="3" fillId="0" borderId="32" xfId="0" applyFont="1" applyBorder="1" applyAlignment="1">
      <alignment horizontal="right"/>
    </xf>
    <xf numFmtId="3" fontId="3" fillId="4" borderId="6" xfId="0" applyNumberFormat="1" applyFont="1" applyFill="1" applyBorder="1" applyAlignment="1">
      <alignment horizontal="center"/>
    </xf>
    <xf numFmtId="0" fontId="19" fillId="0" borderId="0" xfId="0" applyFont="1" applyAlignment="1">
      <alignment horizontal="left" indent="3"/>
    </xf>
    <xf numFmtId="44" fontId="4" fillId="0" borderId="0" xfId="1" applyFont="1" applyFill="1" applyAlignment="1">
      <alignment horizontal="center"/>
    </xf>
    <xf numFmtId="3" fontId="0" fillId="4" borderId="19" xfId="0" applyNumberFormat="1" applyFill="1" applyBorder="1" applyAlignment="1">
      <alignment horizontal="center"/>
    </xf>
    <xf numFmtId="3" fontId="0" fillId="4" borderId="5" xfId="0" applyNumberFormat="1" applyFill="1" applyBorder="1" applyAlignment="1">
      <alignment horizontal="center"/>
    </xf>
    <xf numFmtId="3" fontId="0" fillId="4" borderId="24" xfId="0" applyNumberFormat="1" applyFill="1" applyBorder="1" applyAlignment="1">
      <alignment horizontal="center"/>
    </xf>
    <xf numFmtId="3" fontId="0" fillId="4" borderId="20" xfId="0" applyNumberForma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44" fontId="2" fillId="4" borderId="7" xfId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/>
    </xf>
    <xf numFmtId="44" fontId="2" fillId="4" borderId="2" xfId="1" applyFont="1" applyFill="1" applyBorder="1" applyAlignment="1">
      <alignment horizontal="center"/>
    </xf>
    <xf numFmtId="44" fontId="0" fillId="6" borderId="0" xfId="0" applyNumberFormat="1" applyFill="1" applyAlignment="1">
      <alignment horizontal="center" vertical="center"/>
    </xf>
    <xf numFmtId="44" fontId="0" fillId="6" borderId="14" xfId="0" applyNumberFormat="1" applyFill="1" applyBorder="1" applyAlignment="1">
      <alignment horizontal="center" vertical="center"/>
    </xf>
    <xf numFmtId="0" fontId="20" fillId="0" borderId="0" xfId="0" applyFont="1"/>
    <xf numFmtId="44" fontId="0" fillId="4" borderId="19" xfId="0" applyNumberFormat="1" applyFill="1" applyBorder="1" applyAlignment="1">
      <alignment horizontal="center"/>
    </xf>
    <xf numFmtId="44" fontId="0" fillId="4" borderId="5" xfId="0" applyNumberFormat="1" applyFill="1" applyBorder="1" applyAlignment="1">
      <alignment horizontal="center"/>
    </xf>
    <xf numFmtId="44" fontId="0" fillId="4" borderId="24" xfId="0" applyNumberFormat="1" applyFill="1" applyBorder="1" applyAlignment="1">
      <alignment horizontal="center"/>
    </xf>
    <xf numFmtId="44" fontId="0" fillId="4" borderId="25" xfId="0" applyNumberFormat="1" applyFill="1" applyBorder="1" applyAlignment="1">
      <alignment horizontal="center"/>
    </xf>
    <xf numFmtId="44" fontId="0" fillId="4" borderId="26" xfId="0" applyNumberFormat="1" applyFill="1" applyBorder="1" applyAlignment="1">
      <alignment horizontal="center"/>
    </xf>
    <xf numFmtId="44" fontId="0" fillId="4" borderId="36" xfId="0" applyNumberFormat="1" applyFill="1" applyBorder="1" applyAlignment="1">
      <alignment horizontal="center"/>
    </xf>
    <xf numFmtId="0" fontId="21" fillId="0" borderId="0" xfId="0" applyFont="1"/>
    <xf numFmtId="44" fontId="0" fillId="6" borderId="0" xfId="0" applyNumberFormat="1" applyFill="1" applyAlignment="1">
      <alignment horizontal="center"/>
    </xf>
    <xf numFmtId="3" fontId="3" fillId="4" borderId="5" xfId="0" applyNumberFormat="1" applyFont="1" applyFill="1" applyBorder="1" applyAlignment="1">
      <alignment horizontal="center"/>
    </xf>
    <xf numFmtId="3" fontId="4" fillId="4" borderId="5" xfId="0" applyNumberFormat="1" applyFont="1" applyFill="1" applyBorder="1" applyAlignment="1">
      <alignment horizontal="center"/>
    </xf>
    <xf numFmtId="44" fontId="3" fillId="5" borderId="2" xfId="0" applyNumberFormat="1" applyFont="1" applyFill="1" applyBorder="1" applyAlignment="1">
      <alignment horizontal="center" vertical="center"/>
    </xf>
    <xf numFmtId="44" fontId="3" fillId="6" borderId="8" xfId="0" applyNumberFormat="1" applyFont="1" applyFill="1" applyBorder="1" applyAlignment="1">
      <alignment horizontal="center" vertical="center"/>
    </xf>
    <xf numFmtId="44" fontId="3" fillId="4" borderId="6" xfId="0" applyNumberFormat="1" applyFont="1" applyFill="1" applyBorder="1" applyAlignment="1">
      <alignment horizontal="center"/>
    </xf>
    <xf numFmtId="44" fontId="3" fillId="0" borderId="22" xfId="0" applyNumberFormat="1" applyFont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44" fontId="3" fillId="0" borderId="23" xfId="0" applyNumberFormat="1" applyFont="1" applyBorder="1" applyAlignment="1">
      <alignment horizontal="center"/>
    </xf>
    <xf numFmtId="44" fontId="9" fillId="6" borderId="0" xfId="1" applyFont="1" applyFill="1" applyBorder="1" applyAlignment="1">
      <alignment horizontal="center"/>
    </xf>
    <xf numFmtId="44" fontId="22" fillId="0" borderId="0" xfId="1" applyFont="1" applyBorder="1" applyAlignment="1">
      <alignment horizontal="center"/>
    </xf>
    <xf numFmtId="4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0" fontId="3" fillId="4" borderId="0" xfId="2" applyNumberFormat="1" applyFont="1" applyFill="1" applyBorder="1" applyAlignment="1">
      <alignment horizontal="center"/>
    </xf>
    <xf numFmtId="0" fontId="10" fillId="0" borderId="0" xfId="0" quotePrefix="1" applyFont="1" applyAlignment="1">
      <alignment horizontal="center"/>
    </xf>
    <xf numFmtId="44" fontId="3" fillId="4" borderId="0" xfId="1" applyFont="1" applyFill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44" fontId="4" fillId="7" borderId="0" xfId="1" applyFont="1" applyFill="1" applyAlignment="1">
      <alignment horizontal="center"/>
    </xf>
    <xf numFmtId="44" fontId="4" fillId="7" borderId="0" xfId="1" applyFont="1" applyFill="1"/>
    <xf numFmtId="164" fontId="9" fillId="0" borderId="0" xfId="0" applyNumberFormat="1" applyFont="1"/>
    <xf numFmtId="0" fontId="3" fillId="0" borderId="14" xfId="0" applyFont="1" applyBorder="1" applyAlignment="1">
      <alignment horizontal="center"/>
    </xf>
    <xf numFmtId="44" fontId="0" fillId="0" borderId="2" xfId="1" applyFont="1" applyFill="1" applyBorder="1" applyAlignment="1">
      <alignment horizontal="center"/>
    </xf>
    <xf numFmtId="44" fontId="0" fillId="0" borderId="22" xfId="0" applyNumberFormat="1" applyBorder="1"/>
    <xf numFmtId="44" fontId="0" fillId="0" borderId="1" xfId="0" applyNumberFormat="1" applyBorder="1"/>
    <xf numFmtId="44" fontId="0" fillId="0" borderId="23" xfId="0" applyNumberFormat="1" applyBorder="1"/>
    <xf numFmtId="3" fontId="0" fillId="0" borderId="19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20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44" fontId="3" fillId="0" borderId="6" xfId="0" applyNumberFormat="1" applyFont="1" applyBorder="1"/>
    <xf numFmtId="44" fontId="0" fillId="0" borderId="19" xfId="0" applyNumberFormat="1" applyBorder="1" applyAlignment="1">
      <alignment horizontal="center"/>
    </xf>
    <xf numFmtId="44" fontId="0" fillId="0" borderId="25" xfId="0" applyNumberFormat="1" applyBorder="1" applyAlignment="1">
      <alignment horizontal="center"/>
    </xf>
    <xf numFmtId="44" fontId="0" fillId="0" borderId="5" xfId="0" applyNumberFormat="1" applyBorder="1"/>
    <xf numFmtId="44" fontId="0" fillId="0" borderId="26" xfId="0" applyNumberFormat="1" applyBorder="1"/>
    <xf numFmtId="44" fontId="0" fillId="0" borderId="24" xfId="0" applyNumberFormat="1" applyBorder="1"/>
    <xf numFmtId="44" fontId="0" fillId="0" borderId="37" xfId="0" applyNumberFormat="1" applyBorder="1"/>
    <xf numFmtId="0" fontId="24" fillId="3" borderId="29" xfId="0" applyFont="1" applyFill="1" applyBorder="1"/>
    <xf numFmtId="0" fontId="25" fillId="3" borderId="30" xfId="0" applyFont="1" applyFill="1" applyBorder="1"/>
    <xf numFmtId="0" fontId="25" fillId="0" borderId="30" xfId="0" applyFont="1" applyBorder="1"/>
    <xf numFmtId="0" fontId="25" fillId="0" borderId="31" xfId="0" applyFont="1" applyBorder="1"/>
    <xf numFmtId="0" fontId="25" fillId="0" borderId="0" xfId="0" applyFont="1"/>
    <xf numFmtId="0" fontId="25" fillId="0" borderId="32" xfId="0" applyFont="1" applyBorder="1"/>
    <xf numFmtId="0" fontId="25" fillId="0" borderId="33" xfId="0" applyFont="1" applyBorder="1"/>
    <xf numFmtId="0" fontId="24" fillId="0" borderId="0" xfId="0" applyFont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24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0" xfId="0" applyFont="1"/>
    <xf numFmtId="0" fontId="25" fillId="0" borderId="0" xfId="0" applyFont="1" applyAlignment="1">
      <alignment horizontal="left" indent="2"/>
    </xf>
    <xf numFmtId="164" fontId="25" fillId="0" borderId="0" xfId="1" applyNumberFormat="1" applyFont="1" applyBorder="1"/>
    <xf numFmtId="164" fontId="24" fillId="0" borderId="0" xfId="0" applyNumberFormat="1" applyFont="1"/>
    <xf numFmtId="164" fontId="25" fillId="0" borderId="38" xfId="1" applyNumberFormat="1" applyFont="1" applyBorder="1"/>
    <xf numFmtId="164" fontId="24" fillId="0" borderId="38" xfId="0" applyNumberFormat="1" applyFont="1" applyBorder="1"/>
    <xf numFmtId="0" fontId="26" fillId="0" borderId="0" xfId="0" applyFont="1" applyAlignment="1">
      <alignment horizontal="left" indent="1"/>
    </xf>
    <xf numFmtId="164" fontId="26" fillId="0" borderId="8" xfId="0" applyNumberFormat="1" applyFont="1" applyBorder="1"/>
    <xf numFmtId="0" fontId="26" fillId="0" borderId="0" xfId="0" applyFont="1"/>
    <xf numFmtId="164" fontId="25" fillId="0" borderId="0" xfId="1" applyNumberFormat="1" applyFont="1" applyFill="1" applyBorder="1"/>
    <xf numFmtId="164" fontId="25" fillId="0" borderId="38" xfId="1" applyNumberFormat="1" applyFont="1" applyFill="1" applyBorder="1"/>
    <xf numFmtId="164" fontId="25" fillId="0" borderId="6" xfId="0" applyNumberFormat="1" applyFont="1" applyBorder="1"/>
    <xf numFmtId="164" fontId="24" fillId="2" borderId="6" xfId="0" applyNumberFormat="1" applyFont="1" applyFill="1" applyBorder="1"/>
    <xf numFmtId="0" fontId="25" fillId="0" borderId="34" xfId="0" applyFont="1" applyBorder="1"/>
    <xf numFmtId="0" fontId="25" fillId="0" borderId="9" xfId="0" applyFont="1" applyBorder="1"/>
    <xf numFmtId="0" fontId="25" fillId="0" borderId="35" xfId="0" applyFont="1" applyBorder="1"/>
    <xf numFmtId="44" fontId="0" fillId="0" borderId="0" xfId="0" applyNumberFormat="1"/>
    <xf numFmtId="0" fontId="15" fillId="0" borderId="0" xfId="0" applyFont="1" applyAlignment="1">
      <alignment horizontal="right"/>
    </xf>
    <xf numFmtId="44" fontId="0" fillId="0" borderId="0" xfId="0" applyNumberFormat="1" applyAlignment="1">
      <alignment horizontal="center"/>
    </xf>
    <xf numFmtId="0" fontId="10" fillId="0" borderId="0" xfId="0" quotePrefix="1" applyFont="1" applyAlignment="1">
      <alignment horizontal="right"/>
    </xf>
    <xf numFmtId="0" fontId="8" fillId="3" borderId="0" xfId="0" applyFont="1" applyFill="1"/>
    <xf numFmtId="0" fontId="1" fillId="0" borderId="0" xfId="0" applyFont="1"/>
    <xf numFmtId="0" fontId="8" fillId="4" borderId="0" xfId="0" applyFont="1" applyFill="1"/>
    <xf numFmtId="0" fontId="0" fillId="4" borderId="0" xfId="0" applyFill="1"/>
    <xf numFmtId="44" fontId="8" fillId="3" borderId="0" xfId="0" applyNumberFormat="1" applyFont="1" applyFill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 indent="8"/>
    </xf>
    <xf numFmtId="0" fontId="18" fillId="0" borderId="0" xfId="0" applyFont="1" applyAlignment="1">
      <alignment horizontal="right" vertical="center"/>
    </xf>
    <xf numFmtId="44" fontId="9" fillId="0" borderId="0" xfId="1" applyFont="1" applyBorder="1"/>
    <xf numFmtId="10" fontId="3" fillId="3" borderId="0" xfId="2" applyNumberFormat="1" applyFont="1" applyFill="1" applyBorder="1"/>
    <xf numFmtId="44" fontId="3" fillId="4" borderId="7" xfId="0" applyNumberFormat="1" applyFont="1" applyFill="1" applyBorder="1" applyAlignment="1">
      <alignment horizontal="center" vertical="center"/>
    </xf>
    <xf numFmtId="44" fontId="3" fillId="4" borderId="8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34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44" fontId="3" fillId="0" borderId="7" xfId="0" applyNumberFormat="1" applyFont="1" applyBorder="1" applyAlignment="1">
      <alignment horizontal="center" vertical="center"/>
    </xf>
    <xf numFmtId="44" fontId="3" fillId="0" borderId="8" xfId="0" applyNumberFormat="1" applyFont="1" applyBorder="1" applyAlignment="1">
      <alignment horizontal="center" vertical="center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8"/>
  <sheetViews>
    <sheetView tabSelected="1" zoomScale="130" zoomScaleNormal="130" workbookViewId="0">
      <selection activeCell="A8" sqref="A8"/>
    </sheetView>
  </sheetViews>
  <sheetFormatPr baseColWidth="10" defaultRowHeight="15.75"/>
  <sheetData>
    <row r="2" spans="1:1">
      <c r="A2" t="s">
        <v>92</v>
      </c>
    </row>
    <row r="4" spans="1:1">
      <c r="A4" t="s">
        <v>93</v>
      </c>
    </row>
    <row r="6" spans="1:1">
      <c r="A6" t="s">
        <v>108</v>
      </c>
    </row>
    <row r="8" spans="1:1">
      <c r="A8" t="s">
        <v>106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86"/>
  <sheetViews>
    <sheetView showGridLines="0" zoomScale="104" zoomScaleNormal="104" workbookViewId="0">
      <selection activeCell="B21" sqref="B21"/>
    </sheetView>
  </sheetViews>
  <sheetFormatPr baseColWidth="10" defaultRowHeight="15.75"/>
  <cols>
    <col min="3" max="3" width="28.625" customWidth="1"/>
    <col min="4" max="4" width="3" customWidth="1"/>
    <col min="5" max="5" width="14.125" customWidth="1"/>
    <col min="6" max="6" width="2.125" customWidth="1"/>
    <col min="7" max="7" width="14.375" customWidth="1"/>
    <col min="8" max="8" width="2.125" customWidth="1"/>
    <col min="9" max="9" width="13.375" bestFit="1" customWidth="1"/>
    <col min="10" max="10" width="2.625" customWidth="1"/>
    <col min="11" max="11" width="14.875" bestFit="1" customWidth="1"/>
    <col min="12" max="12" width="2.375" customWidth="1"/>
    <col min="13" max="13" width="12.375" bestFit="1" customWidth="1"/>
  </cols>
  <sheetData>
    <row r="1" spans="1:13">
      <c r="A1" s="100" t="s">
        <v>67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3" spans="1:13">
      <c r="A3" t="s">
        <v>51</v>
      </c>
    </row>
    <row r="4" spans="1:13">
      <c r="A4" t="s">
        <v>35</v>
      </c>
    </row>
    <row r="5" spans="1:13">
      <c r="A5" t="s">
        <v>18</v>
      </c>
    </row>
    <row r="7" spans="1:13">
      <c r="C7" s="12" t="s">
        <v>5</v>
      </c>
      <c r="E7" s="4" t="s">
        <v>19</v>
      </c>
      <c r="F7" s="5"/>
      <c r="G7" s="4" t="s">
        <v>20</v>
      </c>
      <c r="H7" s="5"/>
      <c r="I7" s="4" t="s">
        <v>21</v>
      </c>
      <c r="J7" s="5"/>
      <c r="K7" s="4" t="s">
        <v>6</v>
      </c>
      <c r="L7" s="5"/>
      <c r="M7" s="5"/>
    </row>
    <row r="8" spans="1:13" ht="6.95" customHeight="1">
      <c r="E8" s="5"/>
      <c r="F8" s="5"/>
      <c r="G8" s="5"/>
      <c r="H8" s="5"/>
      <c r="I8" s="5"/>
      <c r="J8" s="5"/>
      <c r="L8" s="5"/>
    </row>
    <row r="9" spans="1:13">
      <c r="C9" t="s">
        <v>49</v>
      </c>
      <c r="E9" s="9">
        <v>1400</v>
      </c>
      <c r="F9" s="6"/>
      <c r="G9" s="9">
        <v>2600</v>
      </c>
      <c r="H9" s="6"/>
      <c r="I9" s="9">
        <v>1850</v>
      </c>
      <c r="J9" s="6"/>
      <c r="K9" s="30">
        <f>E9+G9+I9</f>
        <v>5850</v>
      </c>
      <c r="L9" s="9"/>
      <c r="M9" s="30"/>
    </row>
    <row r="10" spans="1:13" ht="16.5" thickBot="1">
      <c r="C10" t="s">
        <v>3</v>
      </c>
      <c r="E10" s="6">
        <v>0.5</v>
      </c>
      <c r="F10" s="6"/>
      <c r="G10" s="6">
        <v>1.2</v>
      </c>
      <c r="H10" s="6"/>
      <c r="I10" s="6">
        <v>1.2</v>
      </c>
      <c r="J10" s="6"/>
      <c r="L10" s="6"/>
    </row>
    <row r="11" spans="1:13" ht="16.5" thickBot="1">
      <c r="C11" s="8" t="s">
        <v>17</v>
      </c>
      <c r="E11" s="129" t="s">
        <v>80</v>
      </c>
      <c r="F11" s="6"/>
      <c r="G11" s="129" t="s">
        <v>80</v>
      </c>
      <c r="H11" s="6"/>
      <c r="I11" s="129" t="s">
        <v>80</v>
      </c>
      <c r="K11" s="107" t="s">
        <v>80</v>
      </c>
      <c r="L11" s="1"/>
      <c r="M11" s="30"/>
    </row>
    <row r="13" spans="1:13">
      <c r="A13" s="100" t="s">
        <v>41</v>
      </c>
      <c r="B13" s="55"/>
      <c r="C13" s="55"/>
    </row>
    <row r="14" spans="1:13">
      <c r="C14" s="12" t="s">
        <v>5</v>
      </c>
      <c r="E14" s="4" t="s">
        <v>19</v>
      </c>
      <c r="F14" s="5"/>
      <c r="G14" s="4" t="s">
        <v>20</v>
      </c>
      <c r="H14" s="5"/>
      <c r="I14" s="4" t="s">
        <v>21</v>
      </c>
      <c r="J14" s="5"/>
      <c r="K14" s="4" t="s">
        <v>6</v>
      </c>
    </row>
    <row r="15" spans="1:13">
      <c r="C15" s="12"/>
      <c r="E15" s="5"/>
      <c r="F15" s="5"/>
      <c r="G15" s="5"/>
      <c r="H15" s="5"/>
      <c r="I15" s="5"/>
      <c r="J15" s="5"/>
      <c r="K15" s="5"/>
    </row>
    <row r="16" spans="1:13">
      <c r="C16" t="s">
        <v>36</v>
      </c>
      <c r="E16" s="14">
        <v>350000</v>
      </c>
      <c r="F16" s="14"/>
      <c r="G16" s="14">
        <v>780000</v>
      </c>
      <c r="H16" s="14"/>
      <c r="I16" s="14">
        <v>814000</v>
      </c>
      <c r="J16" s="14"/>
      <c r="K16" s="14">
        <f>SUM(E16:I16)</f>
        <v>1944000</v>
      </c>
    </row>
    <row r="17" spans="1:13">
      <c r="C17" t="s">
        <v>38</v>
      </c>
      <c r="E17" s="14">
        <v>154000</v>
      </c>
      <c r="F17" s="14"/>
      <c r="G17" s="14">
        <v>325000</v>
      </c>
      <c r="H17" s="14"/>
      <c r="I17" s="14">
        <v>314500</v>
      </c>
      <c r="J17" s="14"/>
      <c r="K17" s="14">
        <f t="shared" ref="K17:K21" si="0">SUM(E17:I17)</f>
        <v>793500</v>
      </c>
    </row>
    <row r="18" spans="1:13">
      <c r="C18" s="108" t="s">
        <v>81</v>
      </c>
      <c r="E18" s="130" t="s">
        <v>80</v>
      </c>
      <c r="F18" s="109"/>
      <c r="G18" s="130" t="s">
        <v>80</v>
      </c>
      <c r="H18" s="109"/>
      <c r="I18" s="130" t="s">
        <v>80</v>
      </c>
      <c r="J18" s="14"/>
      <c r="K18" s="14"/>
    </row>
    <row r="19" spans="1:13">
      <c r="C19" t="s">
        <v>39</v>
      </c>
      <c r="E19" s="14">
        <v>22400</v>
      </c>
      <c r="F19" s="14"/>
      <c r="G19" s="14">
        <v>88400</v>
      </c>
      <c r="H19" s="14"/>
      <c r="I19" s="14">
        <v>88800</v>
      </c>
      <c r="J19" s="14"/>
      <c r="K19" s="14">
        <f t="shared" si="0"/>
        <v>199600</v>
      </c>
    </row>
    <row r="20" spans="1:13" ht="16.5" thickBot="1">
      <c r="C20" s="108" t="s">
        <v>82</v>
      </c>
      <c r="E20" s="130" t="s">
        <v>80</v>
      </c>
      <c r="F20" s="109"/>
      <c r="G20" s="130" t="s">
        <v>80</v>
      </c>
      <c r="H20" s="109"/>
      <c r="I20" s="130" t="s">
        <v>80</v>
      </c>
      <c r="J20" s="14"/>
      <c r="K20" s="14"/>
    </row>
    <row r="21" spans="1:13" ht="16.5" thickBot="1">
      <c r="C21" t="s">
        <v>40</v>
      </c>
      <c r="E21" s="77">
        <v>36896</v>
      </c>
      <c r="F21" s="77"/>
      <c r="G21" s="77">
        <v>164449</v>
      </c>
      <c r="H21" s="77"/>
      <c r="I21" s="77">
        <v>117012</v>
      </c>
      <c r="J21" s="77"/>
      <c r="K21" s="16">
        <f t="shared" si="0"/>
        <v>318357</v>
      </c>
    </row>
    <row r="22" spans="1:13">
      <c r="E22" s="77"/>
      <c r="F22" s="77"/>
      <c r="G22" s="77"/>
      <c r="H22" s="77"/>
      <c r="I22" s="77"/>
      <c r="J22" s="77"/>
      <c r="K22" s="77"/>
    </row>
    <row r="23" spans="1:13">
      <c r="C23" t="s">
        <v>37</v>
      </c>
      <c r="E23" s="14">
        <f>E16-E17-E19-E21</f>
        <v>136704</v>
      </c>
      <c r="F23" s="14"/>
      <c r="G23" s="14">
        <f>G16-G17-G19-G21</f>
        <v>202151</v>
      </c>
      <c r="H23" s="14"/>
      <c r="I23" s="14">
        <f>I16-I17-I19-I21</f>
        <v>293688</v>
      </c>
      <c r="J23" s="14"/>
      <c r="K23" s="14">
        <f>K16-K17-K19-K21</f>
        <v>632543</v>
      </c>
    </row>
    <row r="25" spans="1:13">
      <c r="A25" s="100" t="s">
        <v>68</v>
      </c>
      <c r="B25" s="55"/>
      <c r="C25" s="55"/>
      <c r="D25" s="55"/>
      <c r="E25" s="55"/>
      <c r="F25" s="55"/>
      <c r="G25" s="55"/>
    </row>
    <row r="26" spans="1:13" ht="5.0999999999999996" customHeight="1"/>
    <row r="27" spans="1:13" ht="47.25">
      <c r="C27" s="12" t="s">
        <v>7</v>
      </c>
      <c r="E27" s="31" t="s">
        <v>22</v>
      </c>
      <c r="F27" s="5"/>
      <c r="G27" s="31" t="s">
        <v>23</v>
      </c>
      <c r="H27" s="5"/>
      <c r="I27" s="31" t="s">
        <v>24</v>
      </c>
      <c r="J27" s="5"/>
      <c r="K27" s="31" t="s">
        <v>25</v>
      </c>
      <c r="L27" s="5"/>
      <c r="M27" s="4" t="s">
        <v>6</v>
      </c>
    </row>
    <row r="28" spans="1:13">
      <c r="C28" s="1"/>
    </row>
    <row r="29" spans="1:13" ht="5.0999999999999996" customHeight="1" thickBot="1">
      <c r="C29" s="10"/>
    </row>
    <row r="30" spans="1:13" ht="16.5" thickBot="1">
      <c r="C30" s="1" t="s">
        <v>46</v>
      </c>
      <c r="E30" s="15">
        <v>134390</v>
      </c>
      <c r="G30" s="15">
        <v>41515</v>
      </c>
      <c r="I30" s="15">
        <v>89820</v>
      </c>
      <c r="K30" s="15">
        <v>52632</v>
      </c>
      <c r="M30" s="16">
        <f>SUM(E30:K30)</f>
        <v>318357</v>
      </c>
    </row>
    <row r="32" spans="1:13">
      <c r="A32" s="100" t="s">
        <v>94</v>
      </c>
      <c r="B32" s="55"/>
      <c r="C32" s="55"/>
    </row>
    <row r="33" spans="1:13" ht="16.5" thickBot="1">
      <c r="A33" s="18" t="s">
        <v>11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>
      <c r="A34" s="22"/>
      <c r="M34" s="127" t="s">
        <v>83</v>
      </c>
    </row>
    <row r="35" spans="1:13">
      <c r="A35" s="1" t="s">
        <v>10</v>
      </c>
      <c r="C35" s="20" t="s">
        <v>9</v>
      </c>
      <c r="E35" s="206" t="s">
        <v>80</v>
      </c>
      <c r="G35" s="131" t="s">
        <v>84</v>
      </c>
      <c r="M35" s="29" t="s">
        <v>13</v>
      </c>
    </row>
    <row r="36" spans="1:13">
      <c r="A36" s="22"/>
      <c r="C36" s="21" t="s">
        <v>12</v>
      </c>
      <c r="E36" s="207"/>
      <c r="G36" s="132" t="s">
        <v>85</v>
      </c>
      <c r="I36" t="s">
        <v>69</v>
      </c>
      <c r="M36" s="29" t="s">
        <v>14</v>
      </c>
    </row>
    <row r="37" spans="1:13">
      <c r="A37" s="22"/>
      <c r="C37" s="21"/>
      <c r="E37" s="23"/>
    </row>
    <row r="38" spans="1:13">
      <c r="C38" s="35" t="s">
        <v>5</v>
      </c>
      <c r="D38" s="36"/>
      <c r="E38" s="37" t="str">
        <f>E7</f>
        <v>T-J1</v>
      </c>
      <c r="F38" s="38"/>
      <c r="G38" s="37" t="str">
        <f>G7</f>
        <v>TOC-22</v>
      </c>
      <c r="H38" s="38"/>
      <c r="I38" s="39" t="str">
        <f>I7</f>
        <v>TOC-36</v>
      </c>
      <c r="J38" s="5"/>
      <c r="K38" s="5"/>
    </row>
    <row r="39" spans="1:13" ht="8.1" customHeight="1">
      <c r="C39" s="66"/>
      <c r="E39" s="5"/>
      <c r="F39" s="5"/>
      <c r="G39" s="5"/>
      <c r="H39" s="5"/>
      <c r="I39" s="51"/>
      <c r="J39" s="5"/>
      <c r="K39" s="5"/>
    </row>
    <row r="40" spans="1:13">
      <c r="C40" s="40" t="s">
        <v>0</v>
      </c>
      <c r="E40" s="118" t="s">
        <v>85</v>
      </c>
      <c r="F40" s="67"/>
      <c r="G40" s="118" t="s">
        <v>85</v>
      </c>
      <c r="H40" s="67">
        <f>H18</f>
        <v>0</v>
      </c>
      <c r="I40" s="119" t="s">
        <v>85</v>
      </c>
      <c r="J40" s="11"/>
      <c r="K40" s="33"/>
      <c r="L40" s="11"/>
    </row>
    <row r="41" spans="1:13">
      <c r="C41" s="40" t="s">
        <v>1</v>
      </c>
      <c r="E41" s="118" t="s">
        <v>85</v>
      </c>
      <c r="F41" s="67"/>
      <c r="G41" s="118" t="s">
        <v>85</v>
      </c>
      <c r="H41" s="67">
        <f>H20</f>
        <v>0</v>
      </c>
      <c r="I41" s="119" t="s">
        <v>85</v>
      </c>
      <c r="J41" s="11"/>
      <c r="K41" s="33"/>
      <c r="L41" s="11"/>
    </row>
    <row r="42" spans="1:13" ht="16.5" thickBot="1">
      <c r="C42" s="40" t="s">
        <v>2</v>
      </c>
      <c r="E42" s="115" t="s">
        <v>80</v>
      </c>
      <c r="F42" s="116"/>
      <c r="G42" s="117" t="s">
        <v>80</v>
      </c>
      <c r="H42" s="116"/>
      <c r="I42" s="117" t="s">
        <v>80</v>
      </c>
      <c r="J42" s="19"/>
      <c r="K42" s="34"/>
      <c r="L42" s="13"/>
      <c r="M42" s="29" t="s">
        <v>102</v>
      </c>
    </row>
    <row r="43" spans="1:13" ht="16.5" thickTop="1">
      <c r="C43" s="69" t="s">
        <v>88</v>
      </c>
      <c r="D43" s="3"/>
      <c r="E43" s="75" t="s">
        <v>86</v>
      </c>
      <c r="F43" s="3"/>
      <c r="G43" s="75" t="s">
        <v>86</v>
      </c>
      <c r="H43" s="50"/>
      <c r="I43" s="76" t="s">
        <v>86</v>
      </c>
      <c r="K43" s="17"/>
      <c r="M43" s="29" t="s">
        <v>50</v>
      </c>
    </row>
    <row r="45" spans="1:13">
      <c r="C45" s="7" t="s">
        <v>26</v>
      </c>
      <c r="D45" s="24"/>
      <c r="E45" s="26">
        <f>E10</f>
        <v>0.5</v>
      </c>
      <c r="F45" s="26"/>
      <c r="G45" s="27">
        <f>G10</f>
        <v>1.2</v>
      </c>
      <c r="H45" s="26"/>
      <c r="I45" s="28">
        <f>I10</f>
        <v>1.2</v>
      </c>
      <c r="J45" s="32"/>
    </row>
    <row r="47" spans="1:13">
      <c r="A47" s="100" t="s">
        <v>95</v>
      </c>
      <c r="B47" s="55"/>
      <c r="C47" s="55"/>
    </row>
    <row r="48" spans="1:13" ht="16.5" thickBot="1">
      <c r="A48" s="18" t="s">
        <v>96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50" spans="1:14">
      <c r="A50" t="s">
        <v>28</v>
      </c>
    </row>
    <row r="51" spans="1:14" ht="16.5" thickBot="1">
      <c r="C51" s="62" t="s">
        <v>31</v>
      </c>
      <c r="D51" s="36"/>
      <c r="E51" s="37" t="str">
        <f>E7</f>
        <v>T-J1</v>
      </c>
      <c r="F51" s="38"/>
      <c r="G51" s="38" t="str">
        <f>G7</f>
        <v>TOC-22</v>
      </c>
      <c r="H51" s="38"/>
      <c r="I51" s="51" t="str">
        <f>I7</f>
        <v>TOC-36</v>
      </c>
    </row>
    <row r="52" spans="1:14">
      <c r="C52" s="40" t="s">
        <v>49</v>
      </c>
      <c r="E52" s="47">
        <f>E9</f>
        <v>1400</v>
      </c>
      <c r="F52" s="6"/>
      <c r="G52" s="71">
        <f>G9</f>
        <v>2600</v>
      </c>
      <c r="H52" s="6"/>
      <c r="I52" s="72">
        <f>I9</f>
        <v>1850</v>
      </c>
    </row>
    <row r="53" spans="1:14">
      <c r="C53" s="54" t="s">
        <v>26</v>
      </c>
      <c r="D53" s="55"/>
      <c r="E53" s="56">
        <f>E10</f>
        <v>0.5</v>
      </c>
      <c r="F53" s="56"/>
      <c r="G53" s="56">
        <f>G10</f>
        <v>1.2</v>
      </c>
      <c r="H53" s="56"/>
      <c r="I53" s="57">
        <f>I10</f>
        <v>1.2</v>
      </c>
    </row>
    <row r="54" spans="1:14">
      <c r="C54" s="40" t="s">
        <v>27</v>
      </c>
      <c r="E54" s="6">
        <v>5</v>
      </c>
      <c r="F54" s="6"/>
      <c r="G54" s="6">
        <v>7</v>
      </c>
      <c r="H54" s="6"/>
      <c r="I54" s="73">
        <v>10</v>
      </c>
    </row>
    <row r="55" spans="1:14">
      <c r="C55" s="40" t="s">
        <v>42</v>
      </c>
      <c r="E55" s="6">
        <v>56</v>
      </c>
      <c r="F55" s="6"/>
      <c r="G55" s="6">
        <v>65</v>
      </c>
      <c r="H55" s="6"/>
      <c r="I55" s="73">
        <v>185</v>
      </c>
    </row>
    <row r="56" spans="1:14">
      <c r="C56" s="58" t="s">
        <v>48</v>
      </c>
      <c r="D56" s="59"/>
      <c r="E56" s="60">
        <v>0.8</v>
      </c>
      <c r="F56" s="60"/>
      <c r="G56" s="60">
        <v>1.7</v>
      </c>
      <c r="H56" s="60"/>
      <c r="I56" s="61">
        <v>2.4</v>
      </c>
      <c r="N56" s="127" t="s">
        <v>83</v>
      </c>
    </row>
    <row r="58" spans="1:14" ht="16.5" thickBot="1">
      <c r="C58" s="62" t="s">
        <v>32</v>
      </c>
      <c r="D58" s="36"/>
      <c r="E58" s="37" t="str">
        <f>E51</f>
        <v>T-J1</v>
      </c>
      <c r="F58" s="38"/>
      <c r="G58" s="37" t="str">
        <f>G51</f>
        <v>TOC-22</v>
      </c>
      <c r="H58" s="38"/>
      <c r="I58" s="37" t="str">
        <f>I51</f>
        <v>TOC-36</v>
      </c>
      <c r="J58" s="36"/>
      <c r="K58" s="52" t="s">
        <v>6</v>
      </c>
      <c r="M58" s="29"/>
      <c r="N58" s="29" t="s">
        <v>103</v>
      </c>
    </row>
    <row r="59" spans="1:14">
      <c r="C59" s="40" t="s">
        <v>97</v>
      </c>
      <c r="E59" s="110" t="s">
        <v>80</v>
      </c>
      <c r="F59" s="9"/>
      <c r="G59" s="110" t="s">
        <v>80</v>
      </c>
      <c r="H59" s="9"/>
      <c r="I59" s="110" t="s">
        <v>80</v>
      </c>
      <c r="K59" s="64" t="s">
        <v>86</v>
      </c>
      <c r="M59" s="29"/>
      <c r="N59" s="29" t="s">
        <v>52</v>
      </c>
    </row>
    <row r="60" spans="1:14">
      <c r="C60" s="40" t="s">
        <v>98</v>
      </c>
      <c r="E60" s="111" t="s">
        <v>80</v>
      </c>
      <c r="F60" s="9"/>
      <c r="G60" s="111" t="s">
        <v>80</v>
      </c>
      <c r="H60" s="9"/>
      <c r="I60" s="111" t="s">
        <v>80</v>
      </c>
      <c r="K60" s="65" t="s">
        <v>86</v>
      </c>
    </row>
    <row r="61" spans="1:14">
      <c r="C61" s="40" t="s">
        <v>99</v>
      </c>
      <c r="E61" s="112" t="s">
        <v>80</v>
      </c>
      <c r="F61" s="78"/>
      <c r="G61" s="112" t="s">
        <v>80</v>
      </c>
      <c r="H61" s="9"/>
      <c r="I61" s="112" t="s">
        <v>80</v>
      </c>
      <c r="K61" s="79" t="s">
        <v>86</v>
      </c>
    </row>
    <row r="62" spans="1:14">
      <c r="C62" s="44" t="s">
        <v>100</v>
      </c>
      <c r="D62" s="2"/>
      <c r="E62" s="113" t="s">
        <v>80</v>
      </c>
      <c r="F62" s="47"/>
      <c r="G62" s="113" t="s">
        <v>80</v>
      </c>
      <c r="H62" s="47"/>
      <c r="I62" s="113" t="s">
        <v>80</v>
      </c>
      <c r="J62" s="2"/>
      <c r="K62" s="70" t="s">
        <v>86</v>
      </c>
    </row>
    <row r="64" spans="1:14" ht="48" thickBot="1">
      <c r="C64" s="63" t="s">
        <v>7</v>
      </c>
      <c r="D64" s="36"/>
      <c r="E64" s="48" t="str">
        <f>E27</f>
        <v>Moulage des casques</v>
      </c>
      <c r="F64" s="38"/>
      <c r="G64" s="48" t="str">
        <f>G27</f>
        <v>Préparation des composants</v>
      </c>
      <c r="H64" s="38"/>
      <c r="I64" s="48" t="str">
        <f>I27</f>
        <v>Assemblage des casques</v>
      </c>
      <c r="J64" s="38"/>
      <c r="K64" s="48" t="str">
        <f>K27</f>
        <v>Contrôle de la qualité</v>
      </c>
      <c r="L64" s="38"/>
      <c r="M64" s="39" t="s">
        <v>6</v>
      </c>
    </row>
    <row r="65" spans="3:14">
      <c r="C65" s="40"/>
      <c r="M65" s="41"/>
    </row>
    <row r="66" spans="3:14">
      <c r="C66" s="42" t="s">
        <v>4</v>
      </c>
      <c r="E66" s="17">
        <f>E30</f>
        <v>134390</v>
      </c>
      <c r="G66" s="17">
        <f>G30</f>
        <v>41515</v>
      </c>
      <c r="I66" s="17">
        <f>I30</f>
        <v>89820</v>
      </c>
      <c r="K66" s="17">
        <f>K30</f>
        <v>52632</v>
      </c>
      <c r="M66" s="43">
        <f>E66+G66+I66+K66</f>
        <v>318357</v>
      </c>
    </row>
    <row r="67" spans="3:14">
      <c r="C67" s="42"/>
      <c r="E67" s="17"/>
      <c r="G67" s="17"/>
      <c r="I67" s="17"/>
      <c r="K67" s="17"/>
      <c r="M67" s="43"/>
    </row>
    <row r="68" spans="3:14" ht="31.5">
      <c r="C68" s="40" t="s">
        <v>15</v>
      </c>
      <c r="E68" s="6" t="s">
        <v>29</v>
      </c>
      <c r="F68" s="6"/>
      <c r="G68" s="49" t="s">
        <v>47</v>
      </c>
      <c r="H68" s="6"/>
      <c r="I68" s="49" t="s">
        <v>30</v>
      </c>
      <c r="J68" s="6"/>
      <c r="K68" s="49" t="s">
        <v>42</v>
      </c>
      <c r="M68" s="41"/>
      <c r="N68" s="53" t="s">
        <v>33</v>
      </c>
    </row>
    <row r="69" spans="3:14">
      <c r="C69" s="40"/>
      <c r="E69" s="6"/>
      <c r="F69" s="6"/>
      <c r="G69" s="49"/>
      <c r="H69" s="6"/>
      <c r="I69" s="49"/>
      <c r="J69" s="6"/>
      <c r="K69" s="49"/>
      <c r="M69" s="41"/>
      <c r="N69" s="53"/>
    </row>
    <row r="70" spans="3:14">
      <c r="C70" s="40" t="s">
        <v>16</v>
      </c>
      <c r="E70" s="114" t="s">
        <v>85</v>
      </c>
      <c r="F70" s="6"/>
      <c r="G70" s="114" t="s">
        <v>85</v>
      </c>
      <c r="H70" s="6"/>
      <c r="I70" s="114" t="s">
        <v>85</v>
      </c>
      <c r="J70" s="6"/>
      <c r="K70" s="114" t="s">
        <v>85</v>
      </c>
      <c r="M70" s="41"/>
    </row>
    <row r="71" spans="3:14" ht="8.1" customHeight="1" thickBot="1">
      <c r="C71" s="40"/>
      <c r="E71" s="6"/>
      <c r="F71" s="6"/>
      <c r="G71" s="6"/>
      <c r="H71" s="6"/>
      <c r="I71" s="6"/>
      <c r="J71" s="6"/>
      <c r="K71" s="6"/>
      <c r="M71" s="41"/>
    </row>
    <row r="72" spans="3:14" ht="16.5" thickBot="1">
      <c r="C72" s="44" t="s">
        <v>8</v>
      </c>
      <c r="D72" s="2"/>
      <c r="E72" s="133" t="s">
        <v>80</v>
      </c>
      <c r="F72" s="4"/>
      <c r="G72" s="133" t="s">
        <v>80</v>
      </c>
      <c r="H72" s="4"/>
      <c r="I72" s="133" t="s">
        <v>80</v>
      </c>
      <c r="J72" s="4"/>
      <c r="K72" s="133" t="s">
        <v>80</v>
      </c>
      <c r="L72" s="2"/>
      <c r="M72" s="45"/>
      <c r="N72" s="53" t="s">
        <v>70</v>
      </c>
    </row>
    <row r="74" spans="3:14">
      <c r="C74" s="46" t="s">
        <v>34</v>
      </c>
      <c r="D74" s="36"/>
      <c r="E74" s="37" t="str">
        <f>E$7</f>
        <v>T-J1</v>
      </c>
      <c r="F74" s="38"/>
      <c r="G74" s="37" t="str">
        <f>G$7</f>
        <v>TOC-22</v>
      </c>
      <c r="H74" s="38"/>
      <c r="I74" s="39" t="str">
        <f>I$7</f>
        <v>TOC-36</v>
      </c>
      <c r="K74" s="120" t="s">
        <v>87</v>
      </c>
    </row>
    <row r="75" spans="3:14">
      <c r="C75" s="42" t="str">
        <f>E64</f>
        <v>Moulage des casques</v>
      </c>
      <c r="E75" s="121" t="s">
        <v>80</v>
      </c>
      <c r="F75" s="6"/>
      <c r="G75" s="121" t="s">
        <v>80</v>
      </c>
      <c r="H75" s="6"/>
      <c r="I75" s="124" t="s">
        <v>80</v>
      </c>
      <c r="K75" s="29" t="s">
        <v>44</v>
      </c>
    </row>
    <row r="76" spans="3:14">
      <c r="C76" s="42" t="str">
        <f>G64</f>
        <v>Préparation des composants</v>
      </c>
      <c r="E76" s="122" t="s">
        <v>80</v>
      </c>
      <c r="G76" s="122" t="s">
        <v>80</v>
      </c>
      <c r="I76" s="125" t="s">
        <v>80</v>
      </c>
      <c r="K76" s="29" t="s">
        <v>43</v>
      </c>
    </row>
    <row r="77" spans="3:14">
      <c r="C77" s="42" t="str">
        <f>I64</f>
        <v>Assemblage des casques</v>
      </c>
      <c r="E77" s="122" t="s">
        <v>80</v>
      </c>
      <c r="G77" s="122" t="s">
        <v>80</v>
      </c>
      <c r="I77" s="125" t="s">
        <v>80</v>
      </c>
      <c r="K77" s="29" t="s">
        <v>45</v>
      </c>
    </row>
    <row r="78" spans="3:14">
      <c r="C78" s="42" t="str">
        <f>K64</f>
        <v>Contrôle de la qualité</v>
      </c>
      <c r="E78" s="123" t="s">
        <v>80</v>
      </c>
      <c r="G78" s="123" t="s">
        <v>80</v>
      </c>
      <c r="I78" s="126" t="s">
        <v>80</v>
      </c>
      <c r="K78" s="29" t="s">
        <v>78</v>
      </c>
    </row>
    <row r="79" spans="3:14">
      <c r="C79" s="69" t="s">
        <v>101</v>
      </c>
      <c r="D79" s="2"/>
      <c r="E79" s="74" t="s">
        <v>86</v>
      </c>
      <c r="F79" s="4"/>
      <c r="G79" s="74" t="s">
        <v>86</v>
      </c>
      <c r="H79" s="4"/>
      <c r="I79" s="74" t="s">
        <v>86</v>
      </c>
      <c r="N79" s="53" t="s">
        <v>104</v>
      </c>
    </row>
    <row r="80" spans="3:14">
      <c r="N80" s="53" t="s">
        <v>79</v>
      </c>
    </row>
    <row r="81" spans="3:14">
      <c r="C81" s="35" t="s">
        <v>5</v>
      </c>
      <c r="D81" s="36"/>
      <c r="E81" s="37" t="str">
        <f>E$7</f>
        <v>T-J1</v>
      </c>
      <c r="F81" s="38"/>
      <c r="G81" s="37" t="str">
        <f>G$7</f>
        <v>TOC-22</v>
      </c>
      <c r="H81" s="38"/>
      <c r="I81" s="39" t="str">
        <f>I$7</f>
        <v>TOC-36</v>
      </c>
    </row>
    <row r="82" spans="3:14">
      <c r="C82" s="66"/>
      <c r="E82" s="5"/>
      <c r="F82" s="5"/>
      <c r="G82" s="5"/>
      <c r="H82" s="5"/>
      <c r="I82" s="51"/>
    </row>
    <row r="83" spans="3:14">
      <c r="C83" s="40" t="s">
        <v>0</v>
      </c>
      <c r="E83" s="67" t="s">
        <v>85</v>
      </c>
      <c r="F83" s="67"/>
      <c r="G83" s="67" t="s">
        <v>85</v>
      </c>
      <c r="H83" s="67"/>
      <c r="I83" s="68" t="s">
        <v>85</v>
      </c>
    </row>
    <row r="84" spans="3:14">
      <c r="C84" s="40" t="s">
        <v>1</v>
      </c>
      <c r="E84" s="67" t="s">
        <v>85</v>
      </c>
      <c r="F84" s="67"/>
      <c r="G84" s="67" t="s">
        <v>85</v>
      </c>
      <c r="H84" s="67">
        <f t="shared" ref="H84" si="1">H41</f>
        <v>0</v>
      </c>
      <c r="I84" s="68" t="s">
        <v>85</v>
      </c>
    </row>
    <row r="85" spans="3:14" ht="16.5" thickBot="1">
      <c r="C85" s="40" t="s">
        <v>2</v>
      </c>
      <c r="E85" s="25" t="s">
        <v>85</v>
      </c>
      <c r="F85" s="13"/>
      <c r="G85" s="25" t="s">
        <v>85</v>
      </c>
      <c r="H85" s="13"/>
      <c r="I85" s="25" t="s">
        <v>85</v>
      </c>
    </row>
    <row r="86" spans="3:14" ht="16.5" thickTop="1">
      <c r="C86" s="69" t="s">
        <v>88</v>
      </c>
      <c r="D86" s="3"/>
      <c r="E86" s="134" t="s">
        <v>86</v>
      </c>
      <c r="F86" s="135"/>
      <c r="G86" s="134" t="s">
        <v>86</v>
      </c>
      <c r="H86" s="135"/>
      <c r="I86" s="136" t="s">
        <v>86</v>
      </c>
      <c r="N86" s="53" t="s">
        <v>105</v>
      </c>
    </row>
  </sheetData>
  <mergeCells count="1">
    <mergeCell ref="E35:E36"/>
  </mergeCells>
  <dataValidations disablePrompts="1" count="1">
    <dataValidation type="list" allowBlank="1" showInputMessage="1" showErrorMessage="1" sqref="C11" xr:uid="{00000000-0002-0000-0100-000000000000}">
      <formula1>#REF!</formula1>
    </dataValidation>
  </dataValidations>
  <pageMargins left="0.70866141732283472" right="0.70866141732283472" top="0.74803149606299213" bottom="0.74803149606299213" header="0.31496062992125984" footer="0.31496062992125984"/>
  <pageSetup scale="60" fitToHeight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2"/>
  <sheetViews>
    <sheetView workbookViewId="0">
      <selection activeCell="A10" sqref="A10"/>
    </sheetView>
  </sheetViews>
  <sheetFormatPr baseColWidth="10" defaultRowHeight="15.75"/>
  <cols>
    <col min="1" max="1" width="18.625" customWidth="1"/>
    <col min="2" max="2" width="19.625" customWidth="1"/>
    <col min="3" max="8" width="18.625" customWidth="1"/>
  </cols>
  <sheetData>
    <row r="1" spans="1:8">
      <c r="A1" s="80"/>
      <c r="B1" s="81"/>
      <c r="C1" s="81"/>
      <c r="D1" s="81"/>
      <c r="E1" s="81"/>
      <c r="F1" s="81"/>
      <c r="G1" s="81"/>
      <c r="H1" s="82"/>
    </row>
    <row r="2" spans="1:8">
      <c r="A2" s="101" t="s">
        <v>73</v>
      </c>
      <c r="B2" s="55"/>
      <c r="C2" s="55"/>
      <c r="D2" s="55"/>
      <c r="E2" s="55"/>
      <c r="H2" s="83"/>
    </row>
    <row r="3" spans="1:8">
      <c r="A3" s="84"/>
      <c r="H3" s="83"/>
    </row>
    <row r="4" spans="1:8">
      <c r="A4" s="85" t="s">
        <v>53</v>
      </c>
      <c r="H4" s="83"/>
    </row>
    <row r="5" spans="1:8">
      <c r="A5" s="85"/>
      <c r="H5" s="83"/>
    </row>
    <row r="6" spans="1:8">
      <c r="A6" s="101" t="s">
        <v>71</v>
      </c>
      <c r="B6" s="55"/>
      <c r="H6" s="83"/>
    </row>
    <row r="7" spans="1:8">
      <c r="A7" s="85"/>
      <c r="H7" s="83"/>
    </row>
    <row r="8" spans="1:8" ht="93" customHeight="1">
      <c r="A8" s="208" t="s">
        <v>91</v>
      </c>
      <c r="B8" s="209"/>
      <c r="C8" s="209"/>
      <c r="D8" s="209"/>
      <c r="E8" s="209"/>
      <c r="F8" s="209"/>
      <c r="H8" s="83"/>
    </row>
    <row r="9" spans="1:8">
      <c r="A9" s="85"/>
      <c r="H9" s="83"/>
    </row>
    <row r="10" spans="1:8">
      <c r="A10" s="101" t="s">
        <v>72</v>
      </c>
      <c r="B10" s="55"/>
      <c r="C10" s="55"/>
      <c r="D10" s="55"/>
      <c r="H10" s="83"/>
    </row>
    <row r="11" spans="1:8">
      <c r="A11" s="85"/>
      <c r="H11" s="83"/>
    </row>
    <row r="12" spans="1:8" ht="194.25" customHeight="1" thickBot="1">
      <c r="A12" s="210" t="s">
        <v>91</v>
      </c>
      <c r="B12" s="211"/>
      <c r="C12" s="211"/>
      <c r="D12" s="211"/>
      <c r="E12" s="211"/>
      <c r="F12" s="211"/>
      <c r="G12" s="18"/>
      <c r="H12" s="87"/>
    </row>
  </sheetData>
  <mergeCells count="2">
    <mergeCell ref="A8:F8"/>
    <mergeCell ref="A12:F12"/>
  </mergeCells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0"/>
  <sheetViews>
    <sheetView workbookViewId="0">
      <selection activeCell="A2" sqref="A2"/>
    </sheetView>
  </sheetViews>
  <sheetFormatPr baseColWidth="10" defaultRowHeight="15.75"/>
  <cols>
    <col min="1" max="1" width="22.375" bestFit="1" customWidth="1"/>
    <col min="2" max="2" width="28.875" customWidth="1"/>
    <col min="3" max="3" width="16.875" customWidth="1"/>
    <col min="4" max="4" width="19.375" customWidth="1"/>
    <col min="5" max="6" width="13.875" customWidth="1"/>
    <col min="7" max="7" width="11" customWidth="1"/>
    <col min="8" max="8" width="15.25" customWidth="1"/>
  </cols>
  <sheetData>
    <row r="1" spans="1:8" ht="16.5" thickBot="1"/>
    <row r="2" spans="1:8">
      <c r="A2" s="102" t="s">
        <v>77</v>
      </c>
      <c r="B2" s="103"/>
      <c r="C2" s="103"/>
      <c r="D2" s="103"/>
      <c r="E2" s="103"/>
      <c r="F2" s="103"/>
      <c r="G2" s="103"/>
      <c r="H2" s="82"/>
    </row>
    <row r="3" spans="1:8">
      <c r="A3" s="104" t="s">
        <v>74</v>
      </c>
      <c r="B3" s="55"/>
      <c r="C3" s="55"/>
      <c r="D3" s="55"/>
      <c r="E3" s="55"/>
      <c r="F3" s="55"/>
      <c r="G3" s="55"/>
      <c r="H3" s="83"/>
    </row>
    <row r="4" spans="1:8" ht="18">
      <c r="A4" s="104" t="s">
        <v>75</v>
      </c>
      <c r="B4" s="55"/>
      <c r="C4" s="55"/>
      <c r="D4" s="55"/>
      <c r="E4" s="55"/>
      <c r="F4" s="55"/>
      <c r="G4" s="55"/>
      <c r="H4" s="83"/>
    </row>
    <row r="5" spans="1:8">
      <c r="A5" s="84"/>
      <c r="H5" s="83"/>
    </row>
    <row r="6" spans="1:8" ht="18">
      <c r="A6" s="106" t="s">
        <v>54</v>
      </c>
      <c r="B6" s="92" t="s">
        <v>55</v>
      </c>
      <c r="C6" s="93" t="s">
        <v>64</v>
      </c>
      <c r="D6" s="94" t="s">
        <v>65</v>
      </c>
      <c r="E6" s="91"/>
      <c r="F6" s="91"/>
      <c r="G6" s="91"/>
      <c r="H6" s="83"/>
    </row>
    <row r="7" spans="1:8" ht="18">
      <c r="A7" s="84"/>
      <c r="C7" s="95" t="s">
        <v>107</v>
      </c>
      <c r="D7" s="91"/>
      <c r="E7" s="91"/>
      <c r="F7" s="91"/>
      <c r="G7" s="91"/>
      <c r="H7" s="83"/>
    </row>
    <row r="8" spans="1:8">
      <c r="A8" s="84"/>
      <c r="C8" s="91"/>
      <c r="D8" s="91"/>
      <c r="E8" s="91"/>
      <c r="F8" s="91"/>
      <c r="G8" s="91"/>
      <c r="H8" s="83"/>
    </row>
    <row r="9" spans="1:8">
      <c r="A9" s="84"/>
      <c r="B9" t="s">
        <v>76</v>
      </c>
      <c r="C9" s="91">
        <v>275</v>
      </c>
      <c r="D9" s="91">
        <v>275</v>
      </c>
      <c r="E9" s="91"/>
      <c r="F9" s="91"/>
      <c r="G9" s="91"/>
      <c r="H9" s="83"/>
    </row>
    <row r="10" spans="1:8" ht="18">
      <c r="A10" s="84"/>
      <c r="C10" s="96"/>
      <c r="D10" s="96"/>
      <c r="E10" s="96"/>
      <c r="F10" s="96"/>
      <c r="G10" s="96"/>
      <c r="H10" s="83"/>
    </row>
    <row r="11" spans="1:8" ht="18">
      <c r="A11" s="84"/>
      <c r="B11" t="s">
        <v>56</v>
      </c>
      <c r="C11" s="137" t="s">
        <v>85</v>
      </c>
      <c r="D11" s="137" t="s">
        <v>85</v>
      </c>
      <c r="E11" s="91"/>
      <c r="F11" s="91"/>
      <c r="G11" s="91"/>
      <c r="H11" s="83"/>
    </row>
    <row r="12" spans="1:8" ht="18">
      <c r="A12" s="84"/>
      <c r="C12" s="138"/>
      <c r="D12" s="138"/>
      <c r="E12" s="97"/>
      <c r="F12" s="97"/>
      <c r="G12" s="97"/>
      <c r="H12" s="83"/>
    </row>
    <row r="13" spans="1:8">
      <c r="A13" s="84"/>
      <c r="B13" t="s">
        <v>57</v>
      </c>
      <c r="C13" s="139" t="s">
        <v>86</v>
      </c>
      <c r="D13" s="139" t="s">
        <v>86</v>
      </c>
      <c r="H13" s="83"/>
    </row>
    <row r="14" spans="1:8">
      <c r="A14" s="90"/>
      <c r="C14" s="140"/>
      <c r="D14" s="140"/>
      <c r="H14" s="83"/>
    </row>
    <row r="15" spans="1:8">
      <c r="A15" s="90"/>
      <c r="C15" s="140"/>
      <c r="D15" s="140"/>
      <c r="H15" s="83"/>
    </row>
    <row r="16" spans="1:8">
      <c r="A16" s="88"/>
      <c r="B16" s="92" t="s">
        <v>58</v>
      </c>
      <c r="C16" s="141" t="s">
        <v>80</v>
      </c>
      <c r="D16" s="141" t="s">
        <v>80</v>
      </c>
      <c r="H16" s="83"/>
    </row>
    <row r="17" spans="1:8">
      <c r="A17" s="88"/>
      <c r="B17" s="98"/>
      <c r="C17" s="99"/>
      <c r="D17" s="99"/>
      <c r="H17" s="83"/>
    </row>
    <row r="18" spans="1:8">
      <c r="A18" s="88"/>
      <c r="B18" s="98"/>
      <c r="C18" s="99"/>
      <c r="D18" s="99"/>
      <c r="H18" s="83"/>
    </row>
    <row r="19" spans="1:8">
      <c r="A19" s="88"/>
      <c r="B19" s="98" t="s">
        <v>66</v>
      </c>
      <c r="C19" s="128" t="s">
        <v>85</v>
      </c>
      <c r="D19" s="128" t="s">
        <v>85</v>
      </c>
      <c r="H19" s="83"/>
    </row>
    <row r="20" spans="1:8">
      <c r="A20" s="88"/>
      <c r="B20" s="98" t="s">
        <v>59</v>
      </c>
      <c r="C20" s="142" t="s">
        <v>60</v>
      </c>
      <c r="D20" s="142" t="s">
        <v>60</v>
      </c>
      <c r="F20" s="6"/>
      <c r="H20" s="83"/>
    </row>
    <row r="21" spans="1:8">
      <c r="A21" s="88"/>
      <c r="B21" s="98" t="s">
        <v>61</v>
      </c>
      <c r="C21" s="143" t="s">
        <v>80</v>
      </c>
      <c r="D21" s="143" t="s">
        <v>80</v>
      </c>
      <c r="F21" s="99"/>
      <c r="H21" s="83"/>
    </row>
    <row r="22" spans="1:8">
      <c r="A22" s="88"/>
      <c r="B22" s="98"/>
      <c r="F22" s="99"/>
      <c r="H22" s="83"/>
    </row>
    <row r="23" spans="1:8" ht="99" customHeight="1">
      <c r="A23" s="88"/>
      <c r="B23" s="212" t="s">
        <v>89</v>
      </c>
      <c r="C23" s="212"/>
      <c r="D23" s="212"/>
      <c r="E23" s="212"/>
      <c r="F23" s="212"/>
      <c r="H23" s="83"/>
    </row>
    <row r="24" spans="1:8">
      <c r="A24" s="88"/>
      <c r="B24" s="98"/>
      <c r="E24" s="99"/>
      <c r="H24" s="83"/>
    </row>
    <row r="25" spans="1:8">
      <c r="A25" s="88"/>
      <c r="H25" s="83"/>
    </row>
    <row r="26" spans="1:8">
      <c r="A26" s="105" t="s">
        <v>62</v>
      </c>
      <c r="B26" s="89" t="s">
        <v>63</v>
      </c>
      <c r="C26" s="99"/>
      <c r="D26" s="99"/>
      <c r="H26" s="83"/>
    </row>
    <row r="27" spans="1:8">
      <c r="A27" s="90"/>
      <c r="B27" s="89"/>
      <c r="C27" s="99"/>
      <c r="D27" s="99"/>
      <c r="H27" s="83"/>
    </row>
    <row r="28" spans="1:8" ht="72" customHeight="1">
      <c r="A28" s="90"/>
      <c r="B28" s="209" t="s">
        <v>90</v>
      </c>
      <c r="C28" s="209"/>
      <c r="D28" s="209"/>
      <c r="E28" s="209"/>
      <c r="F28" s="209"/>
      <c r="H28" s="83"/>
    </row>
    <row r="29" spans="1:8">
      <c r="A29" s="88"/>
      <c r="H29" s="83"/>
    </row>
    <row r="30" spans="1:8" ht="16.5" thickBot="1">
      <c r="A30" s="86"/>
      <c r="B30" s="18"/>
      <c r="C30" s="18"/>
      <c r="D30" s="18"/>
      <c r="E30" s="18"/>
      <c r="F30" s="18"/>
      <c r="G30" s="18"/>
      <c r="H30" s="87"/>
    </row>
  </sheetData>
  <mergeCells count="2">
    <mergeCell ref="B23:F23"/>
    <mergeCell ref="B28:F28"/>
  </mergeCells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4DBA-6EBC-4E4D-85B1-F8A6725B665E}">
  <sheetPr>
    <pageSetUpPr fitToPage="1"/>
  </sheetPr>
  <dimension ref="A1:N162"/>
  <sheetViews>
    <sheetView showGridLines="0" zoomScale="104" zoomScaleNormal="104" workbookViewId="0">
      <selection activeCell="C136" sqref="C136"/>
    </sheetView>
  </sheetViews>
  <sheetFormatPr baseColWidth="10" defaultRowHeight="15.75"/>
  <cols>
    <col min="2" max="2" width="28.375" customWidth="1"/>
    <col min="3" max="3" width="28.625" customWidth="1"/>
    <col min="4" max="4" width="3" customWidth="1"/>
    <col min="5" max="5" width="14.125" customWidth="1"/>
    <col min="6" max="6" width="2.125" customWidth="1"/>
    <col min="7" max="7" width="14.375" customWidth="1"/>
    <col min="8" max="8" width="2.125" customWidth="1"/>
    <col min="9" max="9" width="13.375" bestFit="1" customWidth="1"/>
    <col min="10" max="10" width="2.625" customWidth="1"/>
    <col min="11" max="11" width="14.875" bestFit="1" customWidth="1"/>
    <col min="12" max="12" width="2.375" customWidth="1"/>
    <col min="13" max="13" width="12.375" bestFit="1" customWidth="1"/>
  </cols>
  <sheetData>
    <row r="1" spans="1:13">
      <c r="A1" s="100" t="s">
        <v>67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3" spans="1:13">
      <c r="A3" t="s">
        <v>51</v>
      </c>
    </row>
    <row r="4" spans="1:13">
      <c r="A4" t="s">
        <v>35</v>
      </c>
    </row>
    <row r="5" spans="1:13">
      <c r="A5" t="s">
        <v>18</v>
      </c>
    </row>
    <row r="7" spans="1:13">
      <c r="C7" s="12" t="s">
        <v>5</v>
      </c>
      <c r="E7" s="4" t="s">
        <v>19</v>
      </c>
      <c r="F7" s="5"/>
      <c r="G7" s="4" t="s">
        <v>20</v>
      </c>
      <c r="H7" s="5"/>
      <c r="I7" s="4" t="s">
        <v>21</v>
      </c>
      <c r="J7" s="5"/>
      <c r="K7" s="4" t="s">
        <v>6</v>
      </c>
      <c r="L7" s="5"/>
      <c r="M7" s="5"/>
    </row>
    <row r="8" spans="1:13" ht="6.95" customHeight="1">
      <c r="E8" s="5"/>
      <c r="F8" s="5"/>
      <c r="G8" s="5"/>
      <c r="H8" s="5"/>
      <c r="I8" s="5"/>
      <c r="J8" s="5"/>
      <c r="L8" s="5"/>
    </row>
    <row r="9" spans="1:13">
      <c r="C9" t="s">
        <v>49</v>
      </c>
      <c r="E9" s="9">
        <v>1400</v>
      </c>
      <c r="F9" s="6"/>
      <c r="G9" s="9">
        <v>2600</v>
      </c>
      <c r="H9" s="6"/>
      <c r="I9" s="9">
        <v>1850</v>
      </c>
      <c r="J9" s="6"/>
      <c r="K9" s="30">
        <f>E9+G9+I9</f>
        <v>5850</v>
      </c>
      <c r="L9" s="9"/>
      <c r="M9" s="30"/>
    </row>
    <row r="10" spans="1:13" ht="16.5" thickBot="1">
      <c r="C10" t="s">
        <v>3</v>
      </c>
      <c r="E10" s="6">
        <v>0.5</v>
      </c>
      <c r="F10" s="6"/>
      <c r="G10" s="6">
        <v>1.2</v>
      </c>
      <c r="H10" s="6"/>
      <c r="I10" s="6">
        <v>1.2</v>
      </c>
      <c r="J10" s="6"/>
      <c r="L10" s="6"/>
    </row>
    <row r="11" spans="1:13" ht="16.5" thickBot="1">
      <c r="C11" s="8" t="s">
        <v>17</v>
      </c>
      <c r="E11" s="144">
        <f>E9*E10</f>
        <v>700</v>
      </c>
      <c r="F11" s="6"/>
      <c r="G11" s="144">
        <f>G9*G10</f>
        <v>3120</v>
      </c>
      <c r="H11" s="6"/>
      <c r="I11" s="144">
        <f>I9*I10</f>
        <v>2220</v>
      </c>
      <c r="K11" s="145">
        <f>E11+G11+I11</f>
        <v>6040</v>
      </c>
      <c r="L11" s="1"/>
      <c r="M11" s="30"/>
    </row>
    <row r="13" spans="1:13">
      <c r="A13" s="100" t="s">
        <v>41</v>
      </c>
      <c r="B13" s="55"/>
      <c r="C13" s="55"/>
    </row>
    <row r="14" spans="1:13">
      <c r="C14" s="12" t="s">
        <v>5</v>
      </c>
      <c r="E14" s="4" t="s">
        <v>19</v>
      </c>
      <c r="F14" s="5"/>
      <c r="G14" s="4" t="s">
        <v>20</v>
      </c>
      <c r="H14" s="5"/>
      <c r="I14" s="4" t="s">
        <v>21</v>
      </c>
      <c r="J14" s="5"/>
      <c r="K14" s="4" t="s">
        <v>6</v>
      </c>
    </row>
    <row r="15" spans="1:13">
      <c r="C15" s="12"/>
      <c r="E15" s="5"/>
      <c r="F15" s="5"/>
      <c r="G15" s="5"/>
      <c r="H15" s="5"/>
      <c r="I15" s="5"/>
      <c r="J15" s="5"/>
      <c r="K15" s="5"/>
    </row>
    <row r="16" spans="1:13">
      <c r="C16" t="s">
        <v>36</v>
      </c>
      <c r="E16" s="14">
        <v>350000</v>
      </c>
      <c r="F16" s="14"/>
      <c r="G16" s="14">
        <v>780000</v>
      </c>
      <c r="H16" s="14"/>
      <c r="I16" s="14">
        <v>814000</v>
      </c>
      <c r="J16" s="14"/>
      <c r="K16" s="14">
        <f>SUM(E16:I16)</f>
        <v>1944000</v>
      </c>
    </row>
    <row r="17" spans="1:13">
      <c r="C17" t="s">
        <v>38</v>
      </c>
      <c r="E17" s="14">
        <v>154000</v>
      </c>
      <c r="F17" s="14"/>
      <c r="G17" s="14">
        <v>325000</v>
      </c>
      <c r="H17" s="14"/>
      <c r="I17" s="14">
        <v>314500</v>
      </c>
      <c r="J17" s="14"/>
      <c r="K17" s="14">
        <f t="shared" ref="K17:K21" si="0">SUM(E17:I17)</f>
        <v>793500</v>
      </c>
    </row>
    <row r="18" spans="1:13">
      <c r="E18" s="146">
        <f>E17/E9</f>
        <v>110</v>
      </c>
      <c r="F18" s="146"/>
      <c r="G18" s="146">
        <f>G17/G9</f>
        <v>125</v>
      </c>
      <c r="H18" s="146"/>
      <c r="I18" s="146">
        <f>I17/I9</f>
        <v>170</v>
      </c>
      <c r="J18" s="14"/>
      <c r="K18" s="14"/>
    </row>
    <row r="19" spans="1:13">
      <c r="C19" t="s">
        <v>39</v>
      </c>
      <c r="E19" s="14">
        <v>22400</v>
      </c>
      <c r="F19" s="14"/>
      <c r="G19" s="14">
        <v>88400</v>
      </c>
      <c r="H19" s="14"/>
      <c r="I19" s="14">
        <v>88800</v>
      </c>
      <c r="J19" s="14"/>
      <c r="K19" s="14">
        <f t="shared" si="0"/>
        <v>199600</v>
      </c>
    </row>
    <row r="20" spans="1:13">
      <c r="E20" s="147">
        <f>E19/E9</f>
        <v>16</v>
      </c>
      <c r="F20" s="147"/>
      <c r="G20" s="147">
        <f>G19/G9</f>
        <v>34</v>
      </c>
      <c r="H20" s="147"/>
      <c r="I20" s="147">
        <f>I19/I9</f>
        <v>48</v>
      </c>
      <c r="J20" s="14"/>
      <c r="K20" s="14"/>
    </row>
    <row r="21" spans="1:13">
      <c r="C21" t="s">
        <v>40</v>
      </c>
      <c r="E21" s="77">
        <v>36896</v>
      </c>
      <c r="F21" s="77"/>
      <c r="G21" s="77">
        <v>164449</v>
      </c>
      <c r="H21" s="77"/>
      <c r="I21" s="77">
        <v>117012</v>
      </c>
      <c r="J21" s="77"/>
      <c r="K21" s="77">
        <f t="shared" si="0"/>
        <v>318357</v>
      </c>
    </row>
    <row r="22" spans="1:13">
      <c r="E22" s="77"/>
      <c r="F22" s="77"/>
      <c r="G22" s="77"/>
      <c r="H22" s="77"/>
      <c r="I22" s="77"/>
      <c r="J22" s="77"/>
      <c r="K22" s="77"/>
    </row>
    <row r="23" spans="1:13">
      <c r="C23" t="s">
        <v>37</v>
      </c>
      <c r="E23" s="14">
        <f>E16-E17-E19-E21</f>
        <v>136704</v>
      </c>
      <c r="F23" s="14"/>
      <c r="G23" s="14">
        <f>G16-G17-G19-G21</f>
        <v>202151</v>
      </c>
      <c r="H23" s="14"/>
      <c r="I23" s="14">
        <f>I16-I17-I19-I21</f>
        <v>293688</v>
      </c>
      <c r="J23" s="14"/>
      <c r="K23" s="14">
        <f>K16-K17-K19-K21</f>
        <v>632543</v>
      </c>
    </row>
    <row r="25" spans="1:13">
      <c r="A25" s="100" t="s">
        <v>68</v>
      </c>
      <c r="B25" s="55"/>
      <c r="C25" s="55"/>
      <c r="D25" s="55"/>
      <c r="E25" s="55"/>
      <c r="F25" s="55"/>
      <c r="G25" s="55"/>
    </row>
    <row r="26" spans="1:13" ht="5.0999999999999996" customHeight="1"/>
    <row r="27" spans="1:13" ht="47.25">
      <c r="C27" s="12" t="s">
        <v>7</v>
      </c>
      <c r="E27" s="31" t="s">
        <v>22</v>
      </c>
      <c r="F27" s="5"/>
      <c r="G27" s="31" t="s">
        <v>23</v>
      </c>
      <c r="H27" s="5"/>
      <c r="I27" s="31" t="s">
        <v>24</v>
      </c>
      <c r="J27" s="5"/>
      <c r="K27" s="31" t="s">
        <v>25</v>
      </c>
      <c r="L27" s="5"/>
      <c r="M27" s="4" t="s">
        <v>6</v>
      </c>
    </row>
    <row r="28" spans="1:13">
      <c r="C28" s="1"/>
    </row>
    <row r="29" spans="1:13" ht="5.0999999999999996" customHeight="1" thickBot="1">
      <c r="C29" s="10"/>
    </row>
    <row r="30" spans="1:13" ht="16.5" thickBot="1">
      <c r="C30" s="1" t="s">
        <v>46</v>
      </c>
      <c r="E30" s="15">
        <v>134390</v>
      </c>
      <c r="G30" s="15">
        <v>41515</v>
      </c>
      <c r="I30" s="15">
        <v>89820</v>
      </c>
      <c r="K30" s="15">
        <v>52632</v>
      </c>
      <c r="M30" s="16">
        <f>SUM(E30:K30)</f>
        <v>318357</v>
      </c>
    </row>
    <row r="32" spans="1:13">
      <c r="A32" s="100" t="s">
        <v>109</v>
      </c>
      <c r="B32" s="55"/>
      <c r="C32" s="55"/>
    </row>
    <row r="33" spans="1:13" ht="16.5" thickBot="1">
      <c r="A33" s="18" t="s">
        <v>11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>
      <c r="A34" s="22"/>
    </row>
    <row r="35" spans="1:13" ht="18">
      <c r="A35" s="1" t="s">
        <v>10</v>
      </c>
      <c r="C35" s="20" t="s">
        <v>9</v>
      </c>
      <c r="E35" s="213">
        <f>M30/K11</f>
        <v>52.70811258278146</v>
      </c>
      <c r="G35" s="148">
        <f>M30</f>
        <v>318357</v>
      </c>
      <c r="M35" s="29" t="s">
        <v>13</v>
      </c>
    </row>
    <row r="36" spans="1:13">
      <c r="A36" s="22"/>
      <c r="C36" s="21" t="s">
        <v>12</v>
      </c>
      <c r="E36" s="214"/>
      <c r="G36" s="9">
        <f>K11</f>
        <v>6040</v>
      </c>
      <c r="I36" t="s">
        <v>69</v>
      </c>
      <c r="M36" s="29" t="s">
        <v>14</v>
      </c>
    </row>
    <row r="37" spans="1:13">
      <c r="A37" s="22"/>
      <c r="C37" s="21"/>
      <c r="E37" s="23"/>
    </row>
    <row r="38" spans="1:13">
      <c r="C38" s="35" t="s">
        <v>5</v>
      </c>
      <c r="D38" s="36"/>
      <c r="E38" s="37" t="str">
        <f>E7</f>
        <v>T-J1</v>
      </c>
      <c r="F38" s="38"/>
      <c r="G38" s="37" t="str">
        <f>G7</f>
        <v>TOC-22</v>
      </c>
      <c r="H38" s="38"/>
      <c r="I38" s="39" t="str">
        <f>I7</f>
        <v>TOC-36</v>
      </c>
      <c r="J38" s="5"/>
      <c r="K38" s="5"/>
    </row>
    <row r="39" spans="1:13" ht="8.1" customHeight="1">
      <c r="C39" s="66"/>
      <c r="E39" s="5"/>
      <c r="F39" s="5"/>
      <c r="G39" s="5"/>
      <c r="H39" s="5"/>
      <c r="I39" s="149"/>
      <c r="J39" s="5"/>
      <c r="K39" s="5"/>
    </row>
    <row r="40" spans="1:13">
      <c r="C40" s="40" t="s">
        <v>0</v>
      </c>
      <c r="E40" s="67">
        <f>E18</f>
        <v>110</v>
      </c>
      <c r="F40" s="67"/>
      <c r="G40" s="67">
        <f>G18</f>
        <v>125</v>
      </c>
      <c r="H40" s="67">
        <f>H18</f>
        <v>0</v>
      </c>
      <c r="I40" s="67">
        <f>I18</f>
        <v>170</v>
      </c>
      <c r="J40" s="11"/>
      <c r="K40" s="33"/>
      <c r="L40" s="11"/>
    </row>
    <row r="41" spans="1:13">
      <c r="C41" s="40" t="s">
        <v>1</v>
      </c>
      <c r="E41" s="67">
        <f>E20</f>
        <v>16</v>
      </c>
      <c r="F41" s="67"/>
      <c r="G41" s="67">
        <f>G20</f>
        <v>34</v>
      </c>
      <c r="H41" s="67">
        <f>H20</f>
        <v>0</v>
      </c>
      <c r="I41" s="67">
        <f>I20</f>
        <v>48</v>
      </c>
      <c r="J41" s="11"/>
      <c r="K41" s="33"/>
      <c r="L41" s="11"/>
    </row>
    <row r="42" spans="1:13" ht="16.5" thickBot="1">
      <c r="C42" s="40" t="s">
        <v>2</v>
      </c>
      <c r="E42" s="25">
        <f>E35*E10</f>
        <v>26.35405629139073</v>
      </c>
      <c r="F42" s="13"/>
      <c r="G42" s="150">
        <f>E35*G45</f>
        <v>63.249735099337748</v>
      </c>
      <c r="H42" s="13"/>
      <c r="I42" s="150">
        <f>I45*E35</f>
        <v>63.249735099337748</v>
      </c>
      <c r="J42" s="19"/>
      <c r="K42" s="34"/>
      <c r="L42" s="13"/>
      <c r="M42" s="29" t="s">
        <v>110</v>
      </c>
    </row>
    <row r="43" spans="1:13" ht="16.5" thickTop="1">
      <c r="C43" s="69" t="s">
        <v>111</v>
      </c>
      <c r="D43" s="3"/>
      <c r="E43" s="151">
        <f>SUM(E40:E42)</f>
        <v>152.35405629139072</v>
      </c>
      <c r="F43" s="2"/>
      <c r="G43" s="151">
        <f>SUM(G40:G42)</f>
        <v>222.24973509933776</v>
      </c>
      <c r="H43" s="152"/>
      <c r="I43" s="153">
        <f>SUM(I40:I42)</f>
        <v>281.24973509933773</v>
      </c>
      <c r="K43" s="17"/>
      <c r="M43" s="29" t="s">
        <v>50</v>
      </c>
    </row>
    <row r="45" spans="1:13">
      <c r="C45" s="7" t="s">
        <v>26</v>
      </c>
      <c r="D45" s="24"/>
      <c r="E45" s="26">
        <f>E10</f>
        <v>0.5</v>
      </c>
      <c r="F45" s="26"/>
      <c r="G45" s="27">
        <f>G10</f>
        <v>1.2</v>
      </c>
      <c r="H45" s="26"/>
      <c r="I45" s="28">
        <f>I10</f>
        <v>1.2</v>
      </c>
      <c r="J45" s="32"/>
    </row>
    <row r="47" spans="1:13">
      <c r="A47" s="100" t="s">
        <v>112</v>
      </c>
      <c r="B47" s="55"/>
      <c r="C47" s="55"/>
    </row>
    <row r="48" spans="1:13" ht="16.5" thickBot="1">
      <c r="A48" s="18" t="s">
        <v>113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50" spans="1:14">
      <c r="A50" t="s">
        <v>28</v>
      </c>
    </row>
    <row r="51" spans="1:14" ht="16.5" thickBot="1">
      <c r="C51" s="62" t="s">
        <v>31</v>
      </c>
      <c r="D51" s="36"/>
      <c r="E51" s="37" t="str">
        <f>E7</f>
        <v>T-J1</v>
      </c>
      <c r="F51" s="38"/>
      <c r="G51" s="38" t="str">
        <f>G7</f>
        <v>TOC-22</v>
      </c>
      <c r="H51" s="38"/>
      <c r="I51" s="51" t="str">
        <f>I7</f>
        <v>TOC-36</v>
      </c>
    </row>
    <row r="52" spans="1:14">
      <c r="C52" s="40" t="s">
        <v>49</v>
      </c>
      <c r="E52" s="47">
        <f>E9</f>
        <v>1400</v>
      </c>
      <c r="F52" s="6"/>
      <c r="G52" s="71">
        <f>G9</f>
        <v>2600</v>
      </c>
      <c r="H52" s="6"/>
      <c r="I52" s="72">
        <f>I9</f>
        <v>1850</v>
      </c>
    </row>
    <row r="53" spans="1:14">
      <c r="C53" s="54" t="s">
        <v>26</v>
      </c>
      <c r="D53" s="55"/>
      <c r="E53" s="56">
        <f>E10</f>
        <v>0.5</v>
      </c>
      <c r="F53" s="56"/>
      <c r="G53" s="56">
        <f>G10</f>
        <v>1.2</v>
      </c>
      <c r="H53" s="56"/>
      <c r="I53" s="57">
        <f>I10</f>
        <v>1.2</v>
      </c>
    </row>
    <row r="54" spans="1:14">
      <c r="C54" s="40" t="s">
        <v>27</v>
      </c>
      <c r="E54" s="6">
        <v>5</v>
      </c>
      <c r="F54" s="6"/>
      <c r="G54" s="6">
        <v>7</v>
      </c>
      <c r="H54" s="6"/>
      <c r="I54" s="73">
        <v>10</v>
      </c>
    </row>
    <row r="55" spans="1:14">
      <c r="C55" s="40" t="s">
        <v>42</v>
      </c>
      <c r="E55" s="6">
        <v>56</v>
      </c>
      <c r="F55" s="6"/>
      <c r="G55" s="6">
        <v>65</v>
      </c>
      <c r="H55" s="6"/>
      <c r="I55" s="73">
        <v>185</v>
      </c>
    </row>
    <row r="56" spans="1:14">
      <c r="C56" s="58" t="s">
        <v>48</v>
      </c>
      <c r="D56" s="59"/>
      <c r="E56" s="60">
        <v>0.8</v>
      </c>
      <c r="F56" s="60"/>
      <c r="G56" s="60">
        <v>1.7</v>
      </c>
      <c r="H56" s="60"/>
      <c r="I56" s="61">
        <v>2.4</v>
      </c>
    </row>
    <row r="58" spans="1:14" ht="16.5" thickBot="1">
      <c r="C58" s="62" t="s">
        <v>32</v>
      </c>
      <c r="D58" s="36"/>
      <c r="E58" s="37" t="str">
        <f>E51</f>
        <v>T-J1</v>
      </c>
      <c r="F58" s="38"/>
      <c r="G58" s="37" t="str">
        <f>G51</f>
        <v>TOC-22</v>
      </c>
      <c r="H58" s="38"/>
      <c r="I58" s="37" t="str">
        <f>I51</f>
        <v>TOC-36</v>
      </c>
      <c r="J58" s="36"/>
      <c r="K58" s="52" t="s">
        <v>6</v>
      </c>
      <c r="M58" s="29"/>
      <c r="N58" s="29" t="s">
        <v>114</v>
      </c>
    </row>
    <row r="59" spans="1:14">
      <c r="C59" s="40" t="s">
        <v>17</v>
      </c>
      <c r="E59" s="154">
        <f>E53*E$52</f>
        <v>700</v>
      </c>
      <c r="F59" s="9"/>
      <c r="G59" s="154">
        <f>G53*G$52</f>
        <v>3120</v>
      </c>
      <c r="H59" s="9"/>
      <c r="I59" s="154">
        <f>I53*I$52</f>
        <v>2220</v>
      </c>
      <c r="K59" s="64">
        <f>E59+G59+I59</f>
        <v>6040</v>
      </c>
      <c r="M59" s="29"/>
      <c r="N59" s="29" t="s">
        <v>52</v>
      </c>
    </row>
    <row r="60" spans="1:14">
      <c r="C60" s="40" t="s">
        <v>115</v>
      </c>
      <c r="E60" s="155">
        <f>E54*E$52</f>
        <v>7000</v>
      </c>
      <c r="F60" s="9"/>
      <c r="G60" s="155">
        <f>G54*G$52</f>
        <v>18200</v>
      </c>
      <c r="H60" s="9"/>
      <c r="I60" s="155">
        <f>I54*I$52</f>
        <v>18500</v>
      </c>
      <c r="K60" s="65">
        <f t="shared" ref="K60" si="1">E60+G60+I60</f>
        <v>43700</v>
      </c>
    </row>
    <row r="61" spans="1:14">
      <c r="C61" s="40" t="s">
        <v>42</v>
      </c>
      <c r="E61" s="78">
        <f>E55</f>
        <v>56</v>
      </c>
      <c r="F61" s="78"/>
      <c r="G61" s="78">
        <f>G55</f>
        <v>65</v>
      </c>
      <c r="H61" s="9"/>
      <c r="I61" s="78">
        <f>I55</f>
        <v>185</v>
      </c>
      <c r="K61" s="79">
        <f>SUM(E61:I61)</f>
        <v>306</v>
      </c>
    </row>
    <row r="62" spans="1:14">
      <c r="C62" s="44" t="s">
        <v>116</v>
      </c>
      <c r="D62" s="2"/>
      <c r="E62" s="156">
        <f>E56*E$52</f>
        <v>1120</v>
      </c>
      <c r="F62" s="47"/>
      <c r="G62" s="156">
        <f>G56*G$52</f>
        <v>4420</v>
      </c>
      <c r="H62" s="47"/>
      <c r="I62" s="156">
        <f>I56*I$52</f>
        <v>4440</v>
      </c>
      <c r="J62" s="2"/>
      <c r="K62" s="70">
        <f>E62+G62+I62</f>
        <v>9980</v>
      </c>
    </row>
    <row r="64" spans="1:14" ht="48" thickBot="1">
      <c r="C64" s="63" t="s">
        <v>7</v>
      </c>
      <c r="D64" s="36"/>
      <c r="E64" s="48" t="str">
        <f>E27</f>
        <v>Moulage des casques</v>
      </c>
      <c r="F64" s="38"/>
      <c r="G64" s="48" t="str">
        <f>G27</f>
        <v>Préparation des composants</v>
      </c>
      <c r="H64" s="38"/>
      <c r="I64" s="48" t="str">
        <f>I27</f>
        <v>Assemblage des casques</v>
      </c>
      <c r="J64" s="38"/>
      <c r="K64" s="48" t="str">
        <f>K27</f>
        <v>Contrôle de la qualité</v>
      </c>
      <c r="L64" s="38"/>
      <c r="M64" s="39" t="s">
        <v>6</v>
      </c>
    </row>
    <row r="65" spans="3:14">
      <c r="C65" s="40"/>
      <c r="M65" s="41"/>
    </row>
    <row r="66" spans="3:14">
      <c r="C66" s="42" t="s">
        <v>4</v>
      </c>
      <c r="E66" s="17">
        <f>E30</f>
        <v>134390</v>
      </c>
      <c r="G66" s="17">
        <f>G30</f>
        <v>41515</v>
      </c>
      <c r="I66" s="17">
        <f>I30</f>
        <v>89820</v>
      </c>
      <c r="K66" s="17">
        <f>K30</f>
        <v>52632</v>
      </c>
      <c r="M66" s="43">
        <f>E66+G66+I66+K66</f>
        <v>318357</v>
      </c>
    </row>
    <row r="67" spans="3:14">
      <c r="C67" s="42"/>
      <c r="E67" s="17"/>
      <c r="G67" s="17"/>
      <c r="I67" s="17"/>
      <c r="K67" s="17"/>
      <c r="M67" s="43"/>
    </row>
    <row r="68" spans="3:14" ht="31.5">
      <c r="C68" s="40" t="s">
        <v>15</v>
      </c>
      <c r="E68" s="6" t="s">
        <v>29</v>
      </c>
      <c r="F68" s="6"/>
      <c r="G68" s="49" t="s">
        <v>47</v>
      </c>
      <c r="H68" s="6"/>
      <c r="I68" s="49" t="s">
        <v>30</v>
      </c>
      <c r="J68" s="6"/>
      <c r="K68" s="49" t="s">
        <v>42</v>
      </c>
      <c r="M68" s="41"/>
      <c r="N68" s="53" t="s">
        <v>33</v>
      </c>
    </row>
    <row r="69" spans="3:14">
      <c r="C69" s="40"/>
      <c r="E69" s="6"/>
      <c r="F69" s="6"/>
      <c r="G69" s="49"/>
      <c r="H69" s="6"/>
      <c r="I69" s="49"/>
      <c r="J69" s="6"/>
      <c r="K69" s="49"/>
      <c r="M69" s="41"/>
      <c r="N69" s="53"/>
    </row>
    <row r="70" spans="3:14">
      <c r="C70" s="40" t="s">
        <v>16</v>
      </c>
      <c r="E70" s="157">
        <f>K59</f>
        <v>6040</v>
      </c>
      <c r="F70" s="6"/>
      <c r="G70" s="157">
        <f>K60</f>
        <v>43700</v>
      </c>
      <c r="H70" s="6"/>
      <c r="I70" s="157">
        <f>K62</f>
        <v>9980</v>
      </c>
      <c r="J70" s="6"/>
      <c r="K70" s="157">
        <f>K61</f>
        <v>306</v>
      </c>
      <c r="M70" s="41"/>
    </row>
    <row r="71" spans="3:14" ht="8.1" customHeight="1" thickBot="1">
      <c r="C71" s="40"/>
      <c r="M71" s="41"/>
    </row>
    <row r="72" spans="3:14" ht="16.5" thickBot="1">
      <c r="C72" s="44" t="s">
        <v>8</v>
      </c>
      <c r="D72" s="2"/>
      <c r="E72" s="158">
        <f>E66/E70</f>
        <v>22.25</v>
      </c>
      <c r="F72" s="3"/>
      <c r="G72" s="158">
        <f>G66/G70</f>
        <v>0.95</v>
      </c>
      <c r="H72" s="3"/>
      <c r="I72" s="158">
        <f>I66/I70</f>
        <v>9</v>
      </c>
      <c r="J72" s="3"/>
      <c r="K72" s="158">
        <f>K66/K70</f>
        <v>172</v>
      </c>
      <c r="L72" s="2"/>
      <c r="M72" s="45"/>
      <c r="N72" s="53" t="s">
        <v>70</v>
      </c>
    </row>
    <row r="74" spans="3:14">
      <c r="C74" s="46" t="s">
        <v>34</v>
      </c>
      <c r="D74" s="36"/>
      <c r="E74" s="37" t="str">
        <f>E$7</f>
        <v>T-J1</v>
      </c>
      <c r="F74" s="38"/>
      <c r="G74" s="37" t="str">
        <f>G$7</f>
        <v>TOC-22</v>
      </c>
      <c r="H74" s="38"/>
      <c r="I74" s="39" t="str">
        <f>I$7</f>
        <v>TOC-36</v>
      </c>
      <c r="K74" s="29" t="s">
        <v>117</v>
      </c>
    </row>
    <row r="75" spans="3:14">
      <c r="C75" s="42" t="str">
        <f>E64</f>
        <v>Moulage des casques</v>
      </c>
      <c r="E75" s="159">
        <f>E72*E53</f>
        <v>11.125</v>
      </c>
      <c r="F75" s="6"/>
      <c r="G75" s="159">
        <f>E72*G53</f>
        <v>26.7</v>
      </c>
      <c r="H75" s="6"/>
      <c r="I75" s="160">
        <f>E72*I53</f>
        <v>26.7</v>
      </c>
      <c r="K75" s="29" t="s">
        <v>44</v>
      </c>
    </row>
    <row r="76" spans="3:14">
      <c r="C76" s="42" t="str">
        <f>G64</f>
        <v>Préparation des composants</v>
      </c>
      <c r="E76" s="161">
        <f>$G$72*E54</f>
        <v>4.75</v>
      </c>
      <c r="G76" s="161">
        <f>$G$72*G54</f>
        <v>6.6499999999999995</v>
      </c>
      <c r="I76" s="162">
        <f>$G$72*I54</f>
        <v>9.5</v>
      </c>
      <c r="K76" s="29" t="s">
        <v>43</v>
      </c>
    </row>
    <row r="77" spans="3:14">
      <c r="C77" s="42" t="str">
        <f>I64</f>
        <v>Assemblage des casques</v>
      </c>
      <c r="E77" s="161">
        <f>$I$72*E56</f>
        <v>7.2</v>
      </c>
      <c r="G77" s="161">
        <f>$I$72*G56</f>
        <v>15.299999999999999</v>
      </c>
      <c r="I77" s="162">
        <f>$I$72*I56</f>
        <v>21.599999999999998</v>
      </c>
      <c r="K77" s="29" t="s">
        <v>45</v>
      </c>
    </row>
    <row r="78" spans="3:14">
      <c r="C78" s="42" t="str">
        <f>K64</f>
        <v>Contrôle de la qualité</v>
      </c>
      <c r="E78" s="163">
        <f>K72/(E52/E55)</f>
        <v>6.88</v>
      </c>
      <c r="G78" s="163">
        <f>K72/(G52/G55)</f>
        <v>4.3</v>
      </c>
      <c r="I78" s="164">
        <f>K72/(I52/I55)</f>
        <v>17.2</v>
      </c>
      <c r="K78" s="29" t="s">
        <v>78</v>
      </c>
    </row>
    <row r="79" spans="3:14">
      <c r="C79" s="69" t="s">
        <v>118</v>
      </c>
      <c r="D79" s="2"/>
      <c r="E79" s="74">
        <f>SUM(E75:E78)</f>
        <v>29.954999999999998</v>
      </c>
      <c r="F79" s="4"/>
      <c r="G79" s="74">
        <f>SUM(G75:G78)</f>
        <v>52.949999999999996</v>
      </c>
      <c r="H79" s="4"/>
      <c r="I79" s="74">
        <f>SUM(I75:I78)</f>
        <v>75</v>
      </c>
      <c r="N79" s="53" t="s">
        <v>119</v>
      </c>
    </row>
    <row r="80" spans="3:14">
      <c r="N80" s="53" t="s">
        <v>79</v>
      </c>
    </row>
    <row r="81" spans="1:14">
      <c r="C81" s="35" t="s">
        <v>5</v>
      </c>
      <c r="D81" s="36"/>
      <c r="E81" s="37" t="str">
        <f>E$7</f>
        <v>T-J1</v>
      </c>
      <c r="F81" s="38"/>
      <c r="G81" s="37" t="str">
        <f>G$7</f>
        <v>TOC-22</v>
      </c>
      <c r="H81" s="38"/>
      <c r="I81" s="39" t="str">
        <f>I$7</f>
        <v>TOC-36</v>
      </c>
    </row>
    <row r="82" spans="1:14">
      <c r="C82" s="66"/>
      <c r="E82" s="5"/>
      <c r="F82" s="5"/>
      <c r="G82" s="5"/>
      <c r="H82" s="5"/>
      <c r="I82" s="149"/>
    </row>
    <row r="83" spans="1:14">
      <c r="C83" s="40" t="s">
        <v>0</v>
      </c>
      <c r="E83" s="67">
        <f>E40</f>
        <v>110</v>
      </c>
      <c r="F83" s="67"/>
      <c r="G83" s="67">
        <f>G40</f>
        <v>125</v>
      </c>
      <c r="H83" s="67"/>
      <c r="I83" s="68">
        <f>I40</f>
        <v>170</v>
      </c>
    </row>
    <row r="84" spans="1:14">
      <c r="C84" s="40" t="s">
        <v>1</v>
      </c>
      <c r="E84" s="67">
        <f>E41</f>
        <v>16</v>
      </c>
      <c r="F84" s="67"/>
      <c r="G84" s="67">
        <f t="shared" ref="G84:I84" si="2">G41</f>
        <v>34</v>
      </c>
      <c r="H84" s="67">
        <f t="shared" si="2"/>
        <v>0</v>
      </c>
      <c r="I84" s="67">
        <f t="shared" si="2"/>
        <v>48</v>
      </c>
    </row>
    <row r="85" spans="1:14" ht="16.5" thickBot="1">
      <c r="C85" s="40" t="s">
        <v>2</v>
      </c>
      <c r="E85" s="25">
        <f>E79</f>
        <v>29.954999999999998</v>
      </c>
      <c r="F85" s="13"/>
      <c r="G85" s="150">
        <f>G79</f>
        <v>52.949999999999996</v>
      </c>
      <c r="H85" s="13"/>
      <c r="I85" s="150">
        <f>I79</f>
        <v>75</v>
      </c>
    </row>
    <row r="86" spans="1:14" ht="16.5" thickTop="1">
      <c r="C86" s="69" t="s">
        <v>111</v>
      </c>
      <c r="D86" s="3"/>
      <c r="E86" s="75">
        <f>SUM(E83:E85)</f>
        <v>155.95499999999998</v>
      </c>
      <c r="F86" s="50"/>
      <c r="G86" s="75">
        <f>SUM(G83:G85)</f>
        <v>211.95</v>
      </c>
      <c r="H86" s="50"/>
      <c r="I86" s="76">
        <f>SUM(I83:I85)</f>
        <v>293</v>
      </c>
      <c r="N86" s="53" t="s">
        <v>120</v>
      </c>
    </row>
    <row r="90" spans="1:14">
      <c r="A90" s="196" t="s">
        <v>73</v>
      </c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</row>
    <row r="92" spans="1:14">
      <c r="A92" s="89" t="s">
        <v>53</v>
      </c>
    </row>
    <row r="93" spans="1:14">
      <c r="A93" s="89"/>
    </row>
    <row r="94" spans="1:14">
      <c r="A94" s="198" t="s">
        <v>71</v>
      </c>
      <c r="B94" s="199"/>
      <c r="C94" s="199"/>
    </row>
    <row r="95" spans="1:14">
      <c r="A95" s="89"/>
    </row>
    <row r="96" spans="1:14">
      <c r="A96" t="s">
        <v>134</v>
      </c>
    </row>
    <row r="97" spans="1:5">
      <c r="A97" t="s">
        <v>135</v>
      </c>
    </row>
    <row r="98" spans="1:5">
      <c r="A98" s="89"/>
    </row>
    <row r="99" spans="1:5">
      <c r="A99" s="197" t="s">
        <v>136</v>
      </c>
    </row>
    <row r="100" spans="1:5">
      <c r="A100" s="89"/>
    </row>
    <row r="101" spans="1:5">
      <c r="A101" s="89"/>
    </row>
    <row r="102" spans="1:5">
      <c r="A102" s="198" t="s">
        <v>72</v>
      </c>
      <c r="B102" s="199"/>
      <c r="C102" s="199"/>
      <c r="D102" s="199"/>
      <c r="E102" s="199"/>
    </row>
    <row r="103" spans="1:5">
      <c r="A103" s="89"/>
    </row>
    <row r="104" spans="1:5">
      <c r="A104" s="197" t="s">
        <v>137</v>
      </c>
    </row>
    <row r="105" spans="1:5">
      <c r="A105" s="89"/>
    </row>
    <row r="106" spans="1:5">
      <c r="A106" t="s">
        <v>138</v>
      </c>
    </row>
    <row r="108" spans="1:5">
      <c r="A108" t="s">
        <v>139</v>
      </c>
    </row>
    <row r="109" spans="1:5">
      <c r="B109" t="s">
        <v>140</v>
      </c>
    </row>
    <row r="110" spans="1:5">
      <c r="B110" t="s">
        <v>141</v>
      </c>
    </row>
    <row r="112" spans="1:5">
      <c r="A112" t="s">
        <v>142</v>
      </c>
    </row>
    <row r="113" spans="1:11">
      <c r="B113" t="s">
        <v>143</v>
      </c>
    </row>
    <row r="114" spans="1:11">
      <c r="B114" t="s">
        <v>144</v>
      </c>
    </row>
    <row r="116" spans="1:11">
      <c r="A116" t="s">
        <v>145</v>
      </c>
    </row>
    <row r="117" spans="1:11">
      <c r="B117" t="s">
        <v>146</v>
      </c>
    </row>
    <row r="118" spans="1:11">
      <c r="B118" s="192" t="s">
        <v>147</v>
      </c>
    </row>
    <row r="119" spans="1:11">
      <c r="B119" t="s">
        <v>148</v>
      </c>
    </row>
    <row r="121" spans="1:11">
      <c r="A121" t="s">
        <v>149</v>
      </c>
    </row>
    <row r="123" spans="1:11">
      <c r="A123" s="200" t="s">
        <v>77</v>
      </c>
      <c r="B123" s="55"/>
      <c r="C123" s="55"/>
      <c r="D123" s="55"/>
      <c r="E123" s="55"/>
      <c r="F123" s="55"/>
      <c r="G123" s="55"/>
      <c r="H123" s="55"/>
      <c r="I123" s="55"/>
      <c r="J123" s="55"/>
      <c r="K123" s="55"/>
    </row>
    <row r="124" spans="1:11">
      <c r="A124" s="200" t="s">
        <v>74</v>
      </c>
      <c r="B124" s="55"/>
      <c r="C124" s="55"/>
      <c r="D124" s="55"/>
      <c r="E124" s="55"/>
      <c r="F124" s="55"/>
      <c r="G124" s="55"/>
      <c r="H124" s="55"/>
      <c r="I124" s="55"/>
      <c r="J124" s="55"/>
      <c r="K124" s="55"/>
    </row>
    <row r="125" spans="1:11" ht="18">
      <c r="A125" s="200" t="s">
        <v>75</v>
      </c>
      <c r="B125" s="55"/>
      <c r="C125" s="55"/>
      <c r="D125" s="55"/>
      <c r="E125" s="55"/>
      <c r="F125" s="55"/>
      <c r="G125" s="55"/>
      <c r="H125" s="55"/>
      <c r="I125" s="55"/>
      <c r="J125" s="55"/>
      <c r="K125" s="55"/>
    </row>
    <row r="127" spans="1:11" ht="18">
      <c r="A127" s="12" t="s">
        <v>54</v>
      </c>
      <c r="C127" s="92" t="s">
        <v>55</v>
      </c>
      <c r="E127" s="93" t="s">
        <v>64</v>
      </c>
      <c r="F127" s="94"/>
      <c r="G127" s="94" t="s">
        <v>65</v>
      </c>
    </row>
    <row r="128" spans="1:11" ht="18">
      <c r="E128" s="95" t="s">
        <v>150</v>
      </c>
      <c r="F128" s="91"/>
      <c r="G128" s="91"/>
    </row>
    <row r="129" spans="1:7">
      <c r="E129" s="91"/>
      <c r="F129" s="91"/>
      <c r="G129" s="91"/>
    </row>
    <row r="130" spans="1:7">
      <c r="C130" t="s">
        <v>76</v>
      </c>
      <c r="E130" s="91">
        <v>275</v>
      </c>
      <c r="F130" s="91"/>
      <c r="G130" s="91">
        <v>275</v>
      </c>
    </row>
    <row r="131" spans="1:7" ht="18">
      <c r="E131" s="96"/>
      <c r="F131" s="96"/>
      <c r="G131" s="96"/>
    </row>
    <row r="132" spans="1:7" ht="18">
      <c r="C132" t="s">
        <v>56</v>
      </c>
      <c r="E132" s="204">
        <f>G43</f>
        <v>222.24973509933776</v>
      </c>
      <c r="F132" s="96"/>
      <c r="G132" s="204">
        <f>G86</f>
        <v>211.95</v>
      </c>
    </row>
    <row r="133" spans="1:7" ht="18">
      <c r="E133" s="97"/>
      <c r="F133" s="97"/>
      <c r="G133" s="97"/>
    </row>
    <row r="134" spans="1:7">
      <c r="C134" t="s">
        <v>57</v>
      </c>
      <c r="E134" s="192">
        <f>E130-E132</f>
        <v>52.750264900662245</v>
      </c>
      <c r="F134" s="192"/>
      <c r="G134" s="192">
        <f>G130-G132</f>
        <v>63.050000000000011</v>
      </c>
    </row>
    <row r="135" spans="1:7">
      <c r="A135" s="201"/>
    </row>
    <row r="136" spans="1:7">
      <c r="A136" s="201"/>
    </row>
    <row r="137" spans="1:7">
      <c r="A137" s="202"/>
      <c r="C137" s="92" t="s">
        <v>58</v>
      </c>
      <c r="E137" s="205">
        <f>E134/E130</f>
        <v>0.19181914509331727</v>
      </c>
      <c r="F137" s="205"/>
      <c r="G137" s="205">
        <f>G134/G130</f>
        <v>0.22927272727272732</v>
      </c>
    </row>
    <row r="138" spans="1:7">
      <c r="A138" s="202"/>
      <c r="C138" s="98"/>
      <c r="E138" s="99"/>
      <c r="F138" s="193"/>
      <c r="G138" s="193"/>
    </row>
    <row r="139" spans="1:7">
      <c r="A139" s="202"/>
      <c r="C139" s="98"/>
      <c r="E139" s="99"/>
      <c r="F139" s="99"/>
      <c r="G139" s="99"/>
    </row>
    <row r="140" spans="1:7">
      <c r="A140" s="202"/>
      <c r="C140" s="98" t="s">
        <v>66</v>
      </c>
      <c r="E140" s="194">
        <f>E132</f>
        <v>222.24973509933776</v>
      </c>
      <c r="F140" s="194"/>
      <c r="G140" s="194">
        <f>G132</f>
        <v>211.95</v>
      </c>
    </row>
    <row r="141" spans="1:7">
      <c r="A141" s="202"/>
      <c r="C141" s="98" t="s">
        <v>59</v>
      </c>
      <c r="E141" s="195" t="s">
        <v>60</v>
      </c>
      <c r="F141" s="195"/>
      <c r="G141" s="195" t="s">
        <v>60</v>
      </c>
    </row>
    <row r="142" spans="1:7">
      <c r="A142" s="202"/>
      <c r="C142" s="98" t="s">
        <v>61</v>
      </c>
      <c r="E142" s="91">
        <f>E140/(1-20%)</f>
        <v>277.81216887417219</v>
      </c>
      <c r="F142" s="91"/>
      <c r="G142" s="91">
        <f>G140/(1-20%)</f>
        <v>264.93749999999994</v>
      </c>
    </row>
    <row r="143" spans="1:7">
      <c r="A143" s="202"/>
      <c r="B143" s="98"/>
      <c r="F143" s="99"/>
    </row>
    <row r="144" spans="1:7">
      <c r="A144" s="202"/>
      <c r="B144" s="98" t="s">
        <v>151</v>
      </c>
      <c r="E144" s="99"/>
    </row>
    <row r="145" spans="1:5">
      <c r="A145" s="202"/>
      <c r="B145" s="98" t="s">
        <v>152</v>
      </c>
      <c r="E145" s="99"/>
    </row>
    <row r="146" spans="1:5">
      <c r="A146" s="6"/>
      <c r="B146" s="98" t="s">
        <v>153</v>
      </c>
    </row>
    <row r="147" spans="1:5">
      <c r="A147" s="99"/>
      <c r="B147" s="98" t="s">
        <v>154</v>
      </c>
    </row>
    <row r="148" spans="1:5">
      <c r="A148" s="99"/>
      <c r="B148" s="98" t="s">
        <v>155</v>
      </c>
    </row>
    <row r="149" spans="1:5">
      <c r="A149" s="202"/>
      <c r="B149" s="98"/>
    </row>
    <row r="150" spans="1:5">
      <c r="A150" s="202"/>
      <c r="B150" s="98" t="s">
        <v>156</v>
      </c>
    </row>
    <row r="151" spans="1:5">
      <c r="A151" s="202"/>
      <c r="B151" s="98" t="s">
        <v>157</v>
      </c>
    </row>
    <row r="152" spans="1:5">
      <c r="A152" s="202"/>
      <c r="B152" s="98" t="s">
        <v>158</v>
      </c>
    </row>
    <row r="153" spans="1:5">
      <c r="A153" s="202"/>
      <c r="B153" s="98" t="s">
        <v>155</v>
      </c>
    </row>
    <row r="154" spans="1:5">
      <c r="A154" s="202"/>
    </row>
    <row r="155" spans="1:5">
      <c r="A155" s="203" t="s">
        <v>62</v>
      </c>
      <c r="B155" s="89" t="s">
        <v>63</v>
      </c>
      <c r="C155" s="99"/>
      <c r="D155" s="99"/>
    </row>
    <row r="156" spans="1:5">
      <c r="A156" s="201"/>
      <c r="B156" s="89"/>
      <c r="C156" s="99"/>
      <c r="D156" s="99"/>
    </row>
    <row r="157" spans="1:5">
      <c r="A157" s="201"/>
      <c r="B157" s="92" t="s">
        <v>159</v>
      </c>
      <c r="C157" s="99"/>
      <c r="D157" s="99"/>
    </row>
    <row r="158" spans="1:5">
      <c r="A158" s="202"/>
      <c r="B158" t="s">
        <v>160</v>
      </c>
    </row>
    <row r="159" spans="1:5">
      <c r="A159" s="202"/>
      <c r="B159" t="s">
        <v>161</v>
      </c>
    </row>
    <row r="160" spans="1:5">
      <c r="A160" s="202"/>
      <c r="B160" t="s">
        <v>162</v>
      </c>
    </row>
    <row r="161" spans="1:2">
      <c r="A161" s="202"/>
    </row>
    <row r="162" spans="1:2">
      <c r="A162" s="202"/>
      <c r="B162" t="s">
        <v>163</v>
      </c>
    </row>
  </sheetData>
  <mergeCells count="1">
    <mergeCell ref="E35:E36"/>
  </mergeCells>
  <dataValidations count="1">
    <dataValidation type="list" allowBlank="1" showInputMessage="1" showErrorMessage="1" sqref="C11" xr:uid="{866A2B2A-7F69-46C3-9A6F-CC82F2331B6E}">
      <formula1>#REF!</formula1>
    </dataValidation>
  </dataValidations>
  <pageMargins left="0.70866141732283472" right="0.70866141732283472" top="0.74803149606299213" bottom="0.74803149606299213" header="0.31496062992125984" footer="0.31496062992125984"/>
  <pageSetup scale="60" fitToHeight="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0143-38A2-4098-B4FF-18C29BE3B78B}">
  <sheetPr>
    <pageSetUpPr fitToPage="1"/>
  </sheetPr>
  <dimension ref="A1:M21"/>
  <sheetViews>
    <sheetView topLeftCell="A4" zoomScale="84" zoomScaleNormal="84" workbookViewId="0">
      <selection activeCell="E27" activeCellId="1" sqref="A20 E27"/>
    </sheetView>
  </sheetViews>
  <sheetFormatPr baseColWidth="10" defaultColWidth="11.875" defaultRowHeight="18.75"/>
  <cols>
    <col min="1" max="1" width="11.875" style="169"/>
    <col min="2" max="2" width="31.875" style="169" bestFit="1" customWidth="1"/>
    <col min="3" max="3" width="11.875" style="169"/>
    <col min="4" max="4" width="20.5" style="169" customWidth="1"/>
    <col min="5" max="5" width="4.625" style="169" customWidth="1"/>
    <col min="6" max="6" width="17.25" style="169" customWidth="1"/>
    <col min="7" max="7" width="3" style="169" customWidth="1"/>
    <col min="8" max="8" width="18.5" style="169" customWidth="1"/>
    <col min="9" max="9" width="3.625" style="169" customWidth="1"/>
    <col min="10" max="10" width="16.125" style="169" customWidth="1"/>
    <col min="11" max="11" width="2.625" style="169" customWidth="1"/>
    <col min="12" max="12" width="13.625" style="169" customWidth="1"/>
    <col min="13" max="16384" width="11.875" style="169"/>
  </cols>
  <sheetData>
    <row r="1" spans="1:13">
      <c r="A1" s="165" t="s">
        <v>121</v>
      </c>
      <c r="B1" s="166"/>
      <c r="C1" s="166"/>
      <c r="D1" s="166"/>
      <c r="E1" s="166"/>
      <c r="F1" s="166"/>
      <c r="G1" s="166"/>
      <c r="H1" s="166"/>
      <c r="I1" s="167"/>
      <c r="J1" s="167"/>
      <c r="K1" s="167"/>
      <c r="L1" s="167"/>
      <c r="M1" s="168"/>
    </row>
    <row r="2" spans="1:13">
      <c r="A2" s="170"/>
      <c r="M2" s="171"/>
    </row>
    <row r="3" spans="1:13">
      <c r="A3" s="170"/>
      <c r="M3" s="171"/>
    </row>
    <row r="4" spans="1:13">
      <c r="A4" s="170"/>
      <c r="M4" s="171"/>
    </row>
    <row r="5" spans="1:13" ht="37.5">
      <c r="A5" s="170"/>
      <c r="B5" s="172" t="s">
        <v>122</v>
      </c>
      <c r="D5" s="173" t="s">
        <v>22</v>
      </c>
      <c r="E5" s="174"/>
      <c r="F5" s="173" t="s">
        <v>23</v>
      </c>
      <c r="G5" s="174"/>
      <c r="H5" s="173" t="s">
        <v>24</v>
      </c>
      <c r="I5" s="174"/>
      <c r="J5" s="173" t="s">
        <v>25</v>
      </c>
      <c r="K5" s="174"/>
      <c r="L5" s="175" t="s">
        <v>6</v>
      </c>
      <c r="M5" s="171"/>
    </row>
    <row r="6" spans="1:13">
      <c r="A6" s="170"/>
      <c r="B6" s="176" t="s">
        <v>123</v>
      </c>
      <c r="M6" s="171"/>
    </row>
    <row r="7" spans="1:13">
      <c r="A7" s="170"/>
      <c r="B7" s="177" t="s">
        <v>124</v>
      </c>
      <c r="D7" s="178"/>
      <c r="E7" s="178"/>
      <c r="F7" s="178"/>
      <c r="G7" s="178"/>
      <c r="H7" s="178"/>
      <c r="I7" s="178"/>
      <c r="J7" s="178"/>
      <c r="L7" s="179">
        <f>D7+F7+H7+J7</f>
        <v>0</v>
      </c>
      <c r="M7" s="171"/>
    </row>
    <row r="8" spans="1:13">
      <c r="A8" s="170"/>
      <c r="B8" s="177" t="s">
        <v>125</v>
      </c>
      <c r="D8" s="178"/>
      <c r="E8" s="178"/>
      <c r="F8" s="178"/>
      <c r="G8" s="178"/>
      <c r="H8" s="178"/>
      <c r="I8" s="178"/>
      <c r="J8" s="178"/>
      <c r="L8" s="179">
        <f>D8+F8+H8+J8</f>
        <v>0</v>
      </c>
      <c r="M8" s="171"/>
    </row>
    <row r="9" spans="1:13" ht="19.5" thickBot="1">
      <c r="A9" s="170"/>
      <c r="B9" s="177" t="s">
        <v>126</v>
      </c>
      <c r="D9" s="180"/>
      <c r="E9" s="178"/>
      <c r="F9" s="180"/>
      <c r="G9" s="178"/>
      <c r="H9" s="180"/>
      <c r="I9" s="178"/>
      <c r="J9" s="180"/>
      <c r="L9" s="181">
        <f>D9+F9+H9+J9</f>
        <v>0</v>
      </c>
      <c r="M9" s="171"/>
    </row>
    <row r="10" spans="1:13" ht="19.5" thickTop="1">
      <c r="A10" s="170"/>
      <c r="B10" s="182" t="s">
        <v>127</v>
      </c>
      <c r="D10" s="183">
        <f>SUM(D7:D9)</f>
        <v>0</v>
      </c>
      <c r="E10" s="184"/>
      <c r="F10" s="183">
        <f>SUM(F7:F9)</f>
        <v>0</v>
      </c>
      <c r="G10" s="184"/>
      <c r="H10" s="183">
        <f>SUM(H7:H9)</f>
        <v>0</v>
      </c>
      <c r="I10" s="184"/>
      <c r="J10" s="183">
        <f>SUM(J7:J9)</f>
        <v>0</v>
      </c>
      <c r="L10" s="179">
        <f>SUM(L7:L9)</f>
        <v>0</v>
      </c>
      <c r="M10" s="171"/>
    </row>
    <row r="11" spans="1:13">
      <c r="A11" s="170"/>
      <c r="B11" s="176" t="s">
        <v>128</v>
      </c>
      <c r="M11" s="171"/>
    </row>
    <row r="12" spans="1:13">
      <c r="A12" s="170"/>
      <c r="B12" s="177" t="s">
        <v>129</v>
      </c>
      <c r="D12" s="185"/>
      <c r="F12" s="185"/>
      <c r="H12" s="185"/>
      <c r="J12" s="185"/>
      <c r="L12" s="179">
        <f>D12+F12+H12+J12</f>
        <v>0</v>
      </c>
      <c r="M12" s="171"/>
    </row>
    <row r="13" spans="1:13">
      <c r="A13" s="170"/>
      <c r="B13" s="177" t="s">
        <v>130</v>
      </c>
      <c r="D13" s="185"/>
      <c r="F13" s="185"/>
      <c r="H13" s="185"/>
      <c r="J13" s="185"/>
      <c r="L13" s="179">
        <f>D13+F13+H13+J13</f>
        <v>0</v>
      </c>
      <c r="M13" s="171"/>
    </row>
    <row r="14" spans="1:13">
      <c r="A14" s="170"/>
      <c r="B14" s="177" t="s">
        <v>131</v>
      </c>
      <c r="D14" s="185"/>
      <c r="F14" s="185"/>
      <c r="H14" s="185"/>
      <c r="J14" s="185"/>
      <c r="L14" s="179">
        <f>D14+F14+H14+J14</f>
        <v>0</v>
      </c>
      <c r="M14" s="171"/>
    </row>
    <row r="15" spans="1:13" ht="19.5" thickBot="1">
      <c r="A15" s="170"/>
      <c r="B15" s="177" t="s">
        <v>132</v>
      </c>
      <c r="D15" s="186"/>
      <c r="F15" s="186"/>
      <c r="H15" s="186"/>
      <c r="J15" s="186"/>
      <c r="L15" s="181">
        <f>D15+F15+H15+J15</f>
        <v>0</v>
      </c>
      <c r="M15" s="171"/>
    </row>
    <row r="16" spans="1:13" ht="19.5" thickTop="1">
      <c r="A16" s="170"/>
      <c r="B16" s="182" t="s">
        <v>133</v>
      </c>
      <c r="D16" s="183">
        <f>SUM(D12:D15)</f>
        <v>0</v>
      </c>
      <c r="F16" s="183">
        <f>SUM(F12:F15)</f>
        <v>0</v>
      </c>
      <c r="H16" s="183">
        <f>SUM(H12:H15)</f>
        <v>0</v>
      </c>
      <c r="J16" s="183">
        <f>SUM(J12:J15)</f>
        <v>0</v>
      </c>
      <c r="L16" s="179">
        <f>SUM(L12:L15)</f>
        <v>0</v>
      </c>
      <c r="M16" s="171"/>
    </row>
    <row r="17" spans="1:13" ht="19.5" thickBot="1">
      <c r="A17" s="170"/>
      <c r="B17" s="182"/>
      <c r="M17" s="171"/>
    </row>
    <row r="18" spans="1:13" ht="19.5" thickBot="1">
      <c r="A18" s="170"/>
      <c r="B18" s="176" t="s">
        <v>4</v>
      </c>
      <c r="D18" s="187">
        <v>134390</v>
      </c>
      <c r="F18" s="187">
        <v>41515</v>
      </c>
      <c r="H18" s="187">
        <v>89820</v>
      </c>
      <c r="J18" s="187">
        <v>52632</v>
      </c>
      <c r="L18" s="188">
        <f>SUM(D18:J18)</f>
        <v>318357</v>
      </c>
      <c r="M18" s="171"/>
    </row>
    <row r="19" spans="1:13">
      <c r="A19" s="170"/>
      <c r="M19" s="171"/>
    </row>
    <row r="20" spans="1:13">
      <c r="A20" s="170"/>
      <c r="M20" s="171"/>
    </row>
    <row r="21" spans="1:13" ht="19.5" thickBot="1">
      <c r="A21" s="189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1"/>
    </row>
  </sheetData>
  <pageMargins left="0.70866141732283472" right="0.70866141732283472" top="0.74803149606299213" bottom="0.74803149606299213" header="0.31496062992125984" footer="0.31496062992125984"/>
  <pageSetup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210C906DD6AF4AAA0745DA7F7D668C" ma:contentTypeVersion="14" ma:contentTypeDescription="Create a new document." ma:contentTypeScope="" ma:versionID="8eeb7237fdd22a0de4de2b9852178c43">
  <xsd:schema xmlns:xsd="http://www.w3.org/2001/XMLSchema" xmlns:xs="http://www.w3.org/2001/XMLSchema" xmlns:p="http://schemas.microsoft.com/office/2006/metadata/properties" xmlns:ns3="9b797739-e8dc-4491-9318-4a619ee9b153" xmlns:ns4="08c3be05-7986-4e38-b56c-c7c4a964138c" targetNamespace="http://schemas.microsoft.com/office/2006/metadata/properties" ma:root="true" ma:fieldsID="59d0b6306d32e823f67d091a518c4f3f" ns3:_="" ns4:_="">
    <xsd:import namespace="9b797739-e8dc-4491-9318-4a619ee9b153"/>
    <xsd:import namespace="08c3be05-7986-4e38-b56c-c7c4a964138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97739-e8dc-4491-9318-4a619ee9b1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3be05-7986-4e38-b56c-c7c4a964138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958946-D8FA-4C9E-9CD8-EE501CEAD4DD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08c3be05-7986-4e38-b56c-c7c4a964138c"/>
    <ds:schemaRef ds:uri="9b797739-e8dc-4491-9318-4a619ee9b15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3EE00C6-0522-474C-B76D-6E96EF478A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797739-e8dc-4491-9318-4a619ee9b153"/>
    <ds:schemaRef ds:uri="08c3be05-7986-4e38-b56c-c7c4a96413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8753DD-3189-4F03-A4D9-5F192054CC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Instruction</vt:lpstr>
      <vt:lpstr>Question a) b)</vt:lpstr>
      <vt:lpstr>Question c)</vt:lpstr>
      <vt:lpstr>Question d)</vt:lpstr>
      <vt:lpstr>Solution</vt:lpstr>
      <vt:lpstr>Complément FGF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Microsoft Office</dc:creator>
  <cp:lastModifiedBy>loecha philion</cp:lastModifiedBy>
  <cp:lastPrinted>2020-05-11T22:04:14Z</cp:lastPrinted>
  <dcterms:created xsi:type="dcterms:W3CDTF">2020-04-30T16:40:16Z</dcterms:created>
  <dcterms:modified xsi:type="dcterms:W3CDTF">2023-09-25T12:15:19Z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0x0101003F210C906DD6AF4AAA0745DA7F7D668C</vt:lpwstr>
  </property>
</Properties>
</file>