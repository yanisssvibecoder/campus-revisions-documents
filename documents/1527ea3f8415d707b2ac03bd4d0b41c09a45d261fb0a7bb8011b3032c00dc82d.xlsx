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5" documentId="13_ncr:1_{96C26E38-F59A-423C-AAE9-E0343BA6676F}" xr6:coauthVersionLast="47" xr6:coauthVersionMax="47" xr10:uidLastSave="{B37BED1E-E8FA-43C4-A743-64AF20CDEB6A}"/>
  <bookViews>
    <workbookView xWindow="2685" yWindow="2685" windowWidth="21600" windowHeight="11175" xr2:uid="{00000000-000D-0000-FFFF-FFFF00000000}"/>
  </bookViews>
  <sheets>
    <sheet name="Calcul hypothèques" sheetId="4" r:id="rId1"/>
  </sheets>
  <definedNames>
    <definedName name="_xlnm.Print_Area" localSheetId="0">'Calcul hypothèques'!$A$4:$G$31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4" l="1"/>
  <c r="G28" i="4"/>
  <c r="F29" i="4"/>
  <c r="G29" i="4"/>
  <c r="F30" i="4"/>
  <c r="G30" i="4"/>
  <c r="D11" i="4"/>
  <c r="D28" i="4" s="1"/>
  <c r="E11" i="4"/>
  <c r="C11" i="4"/>
  <c r="C28" i="4" s="1"/>
  <c r="C39" i="4"/>
  <c r="C41" i="4" s="1"/>
  <c r="E28" i="4" l="1"/>
  <c r="F25" i="4"/>
  <c r="F24" i="4"/>
  <c r="F23" i="4"/>
  <c r="F22" i="4"/>
  <c r="F17" i="4"/>
  <c r="F16" i="4"/>
  <c r="D16" i="4" l="1"/>
  <c r="E16" i="4"/>
  <c r="G16" i="4"/>
  <c r="C16" i="4"/>
  <c r="G17" i="4" l="1"/>
  <c r="G19" i="4" s="1"/>
  <c r="F19" i="4"/>
  <c r="E17" i="4"/>
  <c r="E19" i="4" s="1"/>
  <c r="E29" i="4" s="1"/>
  <c r="E30" i="4" s="1"/>
  <c r="D17" i="4"/>
  <c r="D19" i="4" s="1"/>
  <c r="D29" i="4" s="1"/>
  <c r="D30" i="4" s="1"/>
  <c r="C17" i="4"/>
  <c r="C19" i="4" s="1"/>
  <c r="C22" i="4" s="1"/>
  <c r="C29" i="4" l="1"/>
  <c r="C30" i="4" s="1"/>
  <c r="E22" i="4"/>
  <c r="E24" i="4" s="1"/>
  <c r="E25" i="4" s="1"/>
  <c r="D22" i="4"/>
  <c r="D24" i="4" s="1"/>
  <c r="D25" i="4" s="1"/>
  <c r="G22" i="4"/>
  <c r="G23" i="4"/>
  <c r="G24" i="4"/>
  <c r="G25" i="4" s="1"/>
  <c r="C24" i="4"/>
  <c r="C25" i="4" s="1"/>
  <c r="C23" i="4"/>
  <c r="E23" i="4" l="1"/>
  <c r="D23" i="4"/>
</calcChain>
</file>

<file path=xl/sharedStrings.xml><?xml version="1.0" encoding="utf-8"?>
<sst xmlns="http://schemas.openxmlformats.org/spreadsheetml/2006/main" count="43" uniqueCount="41">
  <si>
    <t>Calculateur de paiement de prêt immobilier</t>
  </si>
  <si>
    <t>Période composée</t>
  </si>
  <si>
    <t>Informations sur les prêts hypothécaires</t>
  </si>
  <si>
    <t>Montant du prêt</t>
  </si>
  <si>
    <t>Taux d’intérêt annuel</t>
  </si>
  <si>
    <t>Conditions d’emprunt (en années)</t>
  </si>
  <si>
    <t>PAIEMENT</t>
  </si>
  <si>
    <t>Taux d’intérêt mensuel</t>
  </si>
  <si>
    <t>Mensualité</t>
  </si>
  <si>
    <t>Versement mensuel supplémentaire</t>
  </si>
  <si>
    <t>TOTAL DES MENSUALITÉS</t>
  </si>
  <si>
    <t>TOTAUX</t>
  </si>
  <si>
    <t>Nombre de paiements</t>
  </si>
  <si>
    <t>Nombre d’années avant remboursement</t>
  </si>
  <si>
    <t>Paiement total</t>
  </si>
  <si>
    <t>Total des INTÉRÊTS payés</t>
  </si>
  <si>
    <t>SOLDE pour l’année...</t>
  </si>
  <si>
    <t>Valeur de la propriété</t>
  </si>
  <si>
    <t>Solde de l’emprunt dû</t>
  </si>
  <si>
    <t>ÉQUITÉ DU PROPRIÉTAIRE</t>
  </si>
  <si>
    <t>Option nº 1</t>
  </si>
  <si>
    <t>Option nº 2</t>
  </si>
  <si>
    <t>Option nº 3</t>
  </si>
  <si>
    <t>Option nº 4</t>
  </si>
  <si>
    <t>Option nº 5</t>
  </si>
  <si>
    <t>← Entrer le montant de chaque emprunt</t>
  </si>
  <si>
    <t>← Entrer chaque taux d’intérêt</t>
  </si>
  <si>
    <t>← Entrer la durée de l’emprunt en années</t>
  </si>
  <si>
    <t>← (facultatif) Entrez les versements mensuels supplémentaires</t>
  </si>
  <si>
    <t>← Entrer l’année pour estimer le solde et les capitaux propres</t>
  </si>
  <si>
    <t>← Entrer la valeur de propriété estimée au cours de l’année spécifiée</t>
  </si>
  <si>
    <t>Montant du paiement mensuel</t>
  </si>
  <si>
    <t>Trouver la valeur de la maison selon un montant mensuel pré-établi</t>
  </si>
  <si>
    <t>Prix de la maison</t>
  </si>
  <si>
    <t>Prix de l'habitation</t>
  </si>
  <si>
    <t>Mise de fonds initiale</t>
  </si>
  <si>
    <t>Valeur du prêt</t>
  </si>
  <si>
    <t>Mise de fonds</t>
  </si>
  <si>
    <t>Modifié par Mélanie Harris Mai 2024.</t>
  </si>
  <si>
    <r>
      <t xml:space="preserve">Cellules à modifier </t>
    </r>
    <r>
      <rPr>
        <b/>
        <u/>
        <sz val="13"/>
        <rFont val="Calibri"/>
        <family val="2"/>
        <scheme val="minor"/>
      </rPr>
      <t>seulement</t>
    </r>
  </si>
  <si>
    <t xml:space="preserve">* Calcul exclu l'assurance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</si>
</sst>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* #,##0.00_);_(* \(#,##0.00\);_(* &quot;-&quot;??_);_(@_)"/>
    <numFmt numFmtId="167" formatCode="0.000%"/>
    <numFmt numFmtId="168" formatCode="_ * #,##0.00_ \ [$$-C0C]_ ;_ * \-#,##0.00\ \ [$$-C0C]_ ;_ * &quot;-&quot;??_ \ [$$-C0C]_ ;_ @_ "/>
    <numFmt numFmtId="169" formatCode="#,##0.00_ ;\-#,##0.00\ "/>
    <numFmt numFmtId="170" formatCode="#,##0_ ;\-#,##0\ "/>
  </numFmts>
  <fonts count="52" x14ac:knownFonts="1">
    <font>
      <sz val="10"/>
      <name val="Trebuchet MS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0"/>
      <name val="Calibri"/>
      <family val="2"/>
      <scheme val="minor"/>
    </font>
    <font>
      <u/>
      <sz val="10"/>
      <color indexed="12"/>
      <name val="Arial"/>
      <family val="2"/>
    </font>
    <font>
      <sz val="16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8"/>
      <color indexed="23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b/>
      <sz val="28"/>
      <color indexed="9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u/>
      <sz val="10"/>
      <color theme="11"/>
      <name val="Trebuchet MS"/>
      <family val="2"/>
    </font>
    <font>
      <sz val="10"/>
      <name val="Trebuchet MS"/>
      <family val="2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3"/>
      <color indexed="9"/>
      <name val="Calibri"/>
      <family val="2"/>
      <scheme val="minor"/>
    </font>
    <font>
      <b/>
      <sz val="13"/>
      <name val="Calibri"/>
      <family val="2"/>
      <scheme val="minor"/>
    </font>
    <font>
      <b/>
      <u/>
      <sz val="13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sz val="14"/>
      <name val="Trebuchet MS"/>
      <family val="2"/>
    </font>
    <font>
      <sz val="14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sz val="14"/>
      <color indexed="23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/>
      <bottom style="thick">
        <color theme="4" tint="-0.2499465926084170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1">
    <xf numFmtId="0" fontId="0" fillId="0" borderId="0"/>
    <xf numFmtId="168" fontId="2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0" fontId="1" fillId="0" borderId="0"/>
    <xf numFmtId="0" fontId="22" fillId="0" borderId="0" applyNumberFormat="0" applyFill="0" applyBorder="0" applyAlignment="0" applyProtection="0"/>
    <xf numFmtId="166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6" applyNumberFormat="0" applyFill="0" applyAlignment="0" applyProtection="0"/>
    <xf numFmtId="0" fontId="26" fillId="0" borderId="7" applyNumberFormat="0" applyFill="0" applyAlignment="0" applyProtection="0"/>
    <xf numFmtId="0" fontId="27" fillId="0" borderId="8" applyNumberFormat="0" applyFill="0" applyAlignment="0" applyProtection="0"/>
    <xf numFmtId="0" fontId="27" fillId="0" borderId="0" applyNumberFormat="0" applyFill="0" applyBorder="0" applyAlignment="0" applyProtection="0"/>
    <xf numFmtId="0" fontId="28" fillId="5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0" applyNumberFormat="0" applyBorder="0" applyAlignment="0" applyProtection="0"/>
    <xf numFmtId="0" fontId="31" fillId="8" borderId="9" applyNumberFormat="0" applyAlignment="0" applyProtection="0"/>
    <xf numFmtId="0" fontId="32" fillId="9" borderId="10" applyNumberFormat="0" applyAlignment="0" applyProtection="0"/>
    <xf numFmtId="0" fontId="33" fillId="9" borderId="9" applyNumberFormat="0" applyAlignment="0" applyProtection="0"/>
    <xf numFmtId="0" fontId="34" fillId="0" borderId="11" applyNumberFormat="0" applyFill="0" applyAlignment="0" applyProtection="0"/>
    <xf numFmtId="0" fontId="35" fillId="10" borderId="12" applyNumberFormat="0" applyAlignment="0" applyProtection="0"/>
    <xf numFmtId="0" fontId="36" fillId="0" borderId="0" applyNumberFormat="0" applyFill="0" applyBorder="0" applyAlignment="0" applyProtection="0"/>
    <xf numFmtId="0" fontId="23" fillId="11" borderId="13" applyNumberFormat="0" applyFont="0" applyAlignment="0" applyProtection="0"/>
    <xf numFmtId="0" fontId="37" fillId="0" borderId="0" applyNumberFormat="0" applyFill="0" applyBorder="0" applyAlignment="0" applyProtection="0"/>
    <xf numFmtId="0" fontId="38" fillId="0" borderId="14" applyNumberFormat="0" applyFill="0" applyAlignment="0" applyProtection="0"/>
    <xf numFmtId="0" fontId="39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9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9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9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9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9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" fillId="0" borderId="0"/>
  </cellStyleXfs>
  <cellXfs count="67">
    <xf numFmtId="0" fontId="0" fillId="0" borderId="0" xfId="0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8" fontId="7" fillId="0" borderId="0" xfId="1" applyFont="1" applyFill="1" applyBorder="1" applyAlignment="1" applyProtection="1">
      <alignment horizontal="right" vertical="center"/>
    </xf>
    <xf numFmtId="0" fontId="12" fillId="0" borderId="0" xfId="2" applyFont="1" applyAlignment="1" applyProtection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7" fillId="0" borderId="3" xfId="0" applyFont="1" applyBorder="1" applyAlignment="1">
      <alignment horizontal="left" vertical="center" indent="1"/>
    </xf>
    <xf numFmtId="0" fontId="18" fillId="3" borderId="4" xfId="0" applyFont="1" applyFill="1" applyBorder="1" applyAlignment="1">
      <alignment horizontal="left" vertical="center" indent="1"/>
    </xf>
    <xf numFmtId="0" fontId="18" fillId="3" borderId="2" xfId="0" applyFont="1" applyFill="1" applyBorder="1" applyAlignment="1">
      <alignment horizontal="left" vertical="center" indent="1"/>
    </xf>
    <xf numFmtId="167" fontId="20" fillId="0" borderId="0" xfId="3" applyNumberFormat="1" applyFont="1" applyFill="1" applyBorder="1" applyAlignment="1" applyProtection="1">
      <alignment horizontal="right" vertical="center"/>
    </xf>
    <xf numFmtId="0" fontId="20" fillId="0" borderId="5" xfId="1" applyNumberFormat="1" applyFont="1" applyFill="1" applyBorder="1" applyAlignment="1" applyProtection="1">
      <alignment horizontal="center" vertical="center"/>
      <protection locked="0"/>
    </xf>
    <xf numFmtId="0" fontId="15" fillId="4" borderId="0" xfId="0" applyFont="1" applyFill="1" applyAlignment="1">
      <alignment horizontal="center" vertical="center"/>
    </xf>
    <xf numFmtId="0" fontId="4" fillId="36" borderId="15" xfId="0" applyFont="1" applyFill="1" applyBorder="1" applyAlignment="1">
      <alignment vertical="center"/>
    </xf>
    <xf numFmtId="167" fontId="20" fillId="36" borderId="5" xfId="3" applyNumberFormat="1" applyFont="1" applyFill="1" applyBorder="1" applyAlignment="1" applyProtection="1">
      <alignment horizontal="right" vertical="center"/>
      <protection locked="0"/>
    </xf>
    <xf numFmtId="0" fontId="20" fillId="36" borderId="5" xfId="1" applyNumberFormat="1" applyFont="1" applyFill="1" applyBorder="1" applyAlignment="1" applyProtection="1">
      <alignment horizontal="center" vertical="center"/>
      <protection locked="0"/>
    </xf>
    <xf numFmtId="0" fontId="19" fillId="36" borderId="5" xfId="1" applyNumberFormat="1" applyFont="1" applyFill="1" applyBorder="1" applyAlignment="1" applyProtection="1">
      <alignment horizontal="center" vertical="center"/>
      <protection locked="0"/>
    </xf>
    <xf numFmtId="170" fontId="20" fillId="0" borderId="0" xfId="0" applyNumberFormat="1" applyFont="1" applyAlignment="1">
      <alignment horizontal="right" vertical="center"/>
    </xf>
    <xf numFmtId="170" fontId="16" fillId="2" borderId="0" xfId="0" applyNumberFormat="1" applyFont="1" applyFill="1" applyAlignment="1">
      <alignment horizontal="right" vertical="center"/>
    </xf>
    <xf numFmtId="1" fontId="20" fillId="0" borderId="0" xfId="1" applyNumberFormat="1" applyFont="1" applyFill="1" applyBorder="1" applyAlignment="1" applyProtection="1">
      <alignment horizontal="right" vertical="center"/>
    </xf>
    <xf numFmtId="1" fontId="16" fillId="2" borderId="0" xfId="1" applyNumberFormat="1" applyFont="1" applyFill="1" applyBorder="1" applyAlignment="1" applyProtection="1">
      <alignment horizontal="right" vertical="center"/>
    </xf>
    <xf numFmtId="170" fontId="20" fillId="0" borderId="0" xfId="1" applyNumberFormat="1" applyFont="1" applyFill="1" applyBorder="1" applyAlignment="1" applyProtection="1">
      <alignment horizontal="right" vertical="center"/>
    </xf>
    <xf numFmtId="170" fontId="20" fillId="36" borderId="5" xfId="1" applyNumberFormat="1" applyFont="1" applyFill="1" applyBorder="1" applyAlignment="1" applyProtection="1">
      <alignment vertical="center"/>
      <protection locked="0"/>
    </xf>
    <xf numFmtId="170" fontId="16" fillId="2" borderId="0" xfId="1" applyNumberFormat="1" applyFont="1" applyFill="1" applyBorder="1" applyAlignment="1" applyProtection="1">
      <alignment horizontal="right" vertical="center"/>
    </xf>
    <xf numFmtId="170" fontId="20" fillId="36" borderId="5" xfId="1" applyNumberFormat="1" applyFont="1" applyFill="1" applyBorder="1" applyAlignment="1" applyProtection="1">
      <alignment horizontal="center" vertical="center"/>
      <protection locked="0"/>
    </xf>
    <xf numFmtId="9" fontId="20" fillId="36" borderId="5" xfId="3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168" fontId="7" fillId="0" borderId="0" xfId="1" applyFont="1" applyFill="1" applyBorder="1" applyAlignment="1" applyProtection="1">
      <alignment horizontal="center" vertical="center"/>
    </xf>
    <xf numFmtId="167" fontId="20" fillId="0" borderId="0" xfId="3" applyNumberFormat="1" applyFont="1" applyFill="1" applyBorder="1" applyAlignment="1" applyProtection="1">
      <alignment horizontal="center" vertical="center"/>
    </xf>
    <xf numFmtId="1" fontId="20" fillId="0" borderId="0" xfId="1" applyNumberFormat="1" applyFont="1" applyFill="1" applyBorder="1" applyAlignment="1" applyProtection="1">
      <alignment horizontal="center" vertical="center"/>
    </xf>
    <xf numFmtId="170" fontId="20" fillId="0" borderId="0" xfId="0" applyNumberFormat="1" applyFont="1" applyAlignment="1">
      <alignment horizontal="center" vertical="center"/>
    </xf>
    <xf numFmtId="170" fontId="16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70" fontId="20" fillId="36" borderId="5" xfId="1" applyNumberFormat="1" applyFont="1" applyFill="1" applyBorder="1" applyAlignment="1" applyProtection="1">
      <alignment horizontal="center" vertical="center"/>
    </xf>
    <xf numFmtId="170" fontId="20" fillId="36" borderId="5" xfId="1" applyNumberFormat="1" applyFont="1" applyFill="1" applyBorder="1" applyAlignment="1" applyProtection="1">
      <alignment horizontal="right" vertical="center"/>
    </xf>
    <xf numFmtId="170" fontId="20" fillId="36" borderId="0" xfId="1" applyNumberFormat="1" applyFont="1" applyFill="1" applyBorder="1" applyAlignment="1" applyProtection="1">
      <alignment horizontal="center" vertical="center"/>
      <protection locked="0"/>
    </xf>
    <xf numFmtId="169" fontId="20" fillId="36" borderId="0" xfId="1" applyNumberFormat="1" applyFont="1" applyFill="1" applyBorder="1" applyAlignment="1" applyProtection="1">
      <alignment horizontal="right" vertical="center"/>
      <protection locked="0"/>
    </xf>
    <xf numFmtId="170" fontId="20" fillId="37" borderId="5" xfId="1" applyNumberFormat="1" applyFont="1" applyFill="1" applyBorder="1" applyAlignment="1" applyProtection="1">
      <alignment horizontal="center" vertical="center"/>
      <protection locked="0"/>
    </xf>
    <xf numFmtId="169" fontId="20" fillId="37" borderId="5" xfId="1" applyNumberFormat="1" applyFont="1" applyFill="1" applyBorder="1" applyAlignment="1" applyProtection="1">
      <alignment horizontal="right" vertical="center"/>
      <protection locked="0"/>
    </xf>
    <xf numFmtId="170" fontId="20" fillId="36" borderId="15" xfId="1" applyNumberFormat="1" applyFont="1" applyFill="1" applyBorder="1" applyAlignment="1" applyProtection="1">
      <alignment horizontal="center" vertical="center"/>
      <protection locked="0"/>
    </xf>
    <xf numFmtId="170" fontId="20" fillId="0" borderId="16" xfId="0" applyNumberFormat="1" applyFont="1" applyBorder="1" applyAlignment="1">
      <alignment horizontal="center" vertical="center"/>
    </xf>
    <xf numFmtId="170" fontId="20" fillId="0" borderId="17" xfId="0" applyNumberFormat="1" applyFont="1" applyBorder="1" applyAlignment="1">
      <alignment horizontal="center" vertical="center"/>
    </xf>
    <xf numFmtId="0" fontId="6" fillId="38" borderId="0" xfId="0" applyFont="1" applyFill="1" applyAlignment="1">
      <alignment vertical="center"/>
    </xf>
    <xf numFmtId="0" fontId="41" fillId="0" borderId="0" xfId="0" applyFont="1" applyAlignment="1">
      <alignment horizontal="left" vertical="center"/>
    </xf>
    <xf numFmtId="170" fontId="38" fillId="0" borderId="0" xfId="1" applyNumberFormat="1" applyFont="1" applyFill="1" applyBorder="1" applyAlignment="1" applyProtection="1">
      <alignment horizontal="center" vertical="center"/>
    </xf>
    <xf numFmtId="0" fontId="44" fillId="0" borderId="0" xfId="0" applyFont="1" applyAlignment="1">
      <alignment horizontal="left" vertical="center" indent="1"/>
    </xf>
    <xf numFmtId="0" fontId="45" fillId="2" borderId="0" xfId="0" applyFont="1" applyFill="1" applyAlignment="1">
      <alignment horizontal="left" vertical="center" indent="1"/>
    </xf>
    <xf numFmtId="170" fontId="46" fillId="2" borderId="0" xfId="1" applyNumberFormat="1" applyFont="1" applyFill="1" applyBorder="1" applyAlignment="1" applyProtection="1">
      <alignment horizontal="center" vertical="center"/>
    </xf>
    <xf numFmtId="1" fontId="46" fillId="2" borderId="0" xfId="1" applyNumberFormat="1" applyFont="1" applyFill="1" applyBorder="1" applyAlignment="1" applyProtection="1">
      <alignment horizontal="center" vertical="center"/>
    </xf>
    <xf numFmtId="0" fontId="47" fillId="0" borderId="0" xfId="0" applyFont="1" applyAlignment="1">
      <alignment vertic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 indent="1"/>
    </xf>
    <xf numFmtId="0" fontId="44" fillId="2" borderId="0" xfId="0" applyFont="1" applyFill="1" applyAlignment="1">
      <alignment horizontal="left" vertical="center" indent="1"/>
    </xf>
    <xf numFmtId="0" fontId="51" fillId="0" borderId="0" xfId="0" applyFont="1" applyAlignment="1">
      <alignment vertical="center"/>
    </xf>
    <xf numFmtId="0" fontId="47" fillId="0" borderId="0" xfId="0" applyFont="1"/>
    <xf numFmtId="0" fontId="21" fillId="0" borderId="1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3" fillId="38" borderId="0" xfId="0" applyFont="1" applyFill="1" applyAlignment="1">
      <alignment horizontal="center" vertical="center"/>
    </xf>
    <xf numFmtId="0" fontId="40" fillId="38" borderId="0" xfId="0" applyFont="1" applyFill="1" applyAlignment="1">
      <alignment horizontal="center" vertical="center"/>
    </xf>
  </cellXfs>
  <cellStyles count="51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5" builtinId="27" customBuiltin="1"/>
    <cellStyle name="Calculation" xfId="19" builtinId="22" customBuiltin="1"/>
    <cellStyle name="Check Cell" xfId="21" builtinId="23" customBuiltin="1"/>
    <cellStyle name="Comma" xfId="6" builtinId="3" customBuiltin="1"/>
    <cellStyle name="Comma [0]" xfId="7" builtinId="6" customBuiltin="1"/>
    <cellStyle name="Currency" xfId="1" builtinId="4" customBuiltin="1"/>
    <cellStyle name="Currency [0]" xfId="8" builtinId="7" customBuiltin="1"/>
    <cellStyle name="Explanatory Text" xfId="24" builtinId="53" customBuiltin="1"/>
    <cellStyle name="Followed Hyperlink" xfId="5" builtinId="9" customBuiltin="1"/>
    <cellStyle name="Good" xfId="14" builtinId="26" customBuiltin="1"/>
    <cellStyle name="Heading 1" xfId="10" builtinId="16" customBuiltin="1"/>
    <cellStyle name="Heading 2" xfId="11" builtinId="17" customBuiltin="1"/>
    <cellStyle name="Heading 3" xfId="12" builtinId="18" customBuiltin="1"/>
    <cellStyle name="Heading 4" xfId="13" builtinId="19" customBuiltin="1"/>
    <cellStyle name="Hyperlink" xfId="2" builtinId="8" customBuiltin="1"/>
    <cellStyle name="Input" xfId="17" builtinId="20" customBuiltin="1"/>
    <cellStyle name="Linked Cell" xfId="20" builtinId="24" customBuiltin="1"/>
    <cellStyle name="Neutral" xfId="16" builtinId="28" customBuiltin="1"/>
    <cellStyle name="Normal" xfId="0" builtinId="0" customBuiltin="1"/>
    <cellStyle name="Normal 2" xfId="50" xr:uid="{B7D8C1DE-5FA7-4B65-9D01-E3B587E054EE}"/>
    <cellStyle name="Normal 2" xfId="4" xr:uid="{F489BE68-2631-41ED-945F-412B0D33B22E}"/>
    <cellStyle name="Note" xfId="23" builtinId="10" customBuiltin="1"/>
    <cellStyle name="Output" xfId="18" builtinId="21" customBuiltin="1"/>
    <cellStyle name="Percent" xfId="3" builtinId="5" customBuiltin="1"/>
    <cellStyle name="Title" xfId="9" builtinId="15" customBuiltin="1"/>
    <cellStyle name="Total" xfId="25" builtinId="25" customBuiltin="1"/>
    <cellStyle name="Warning Text" xfId="22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ertex42.com/?utm_source=ms&amp;utm_medium=file&amp;utm_campaign=office&amp;utm_term=mortgage&amp;utm_content=log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561975</xdr:colOff>
      <xdr:row>3</xdr:row>
      <xdr:rowOff>66675</xdr:rowOff>
    </xdr:from>
    <xdr:to>
      <xdr:col>8</xdr:col>
      <xdr:colOff>1473200</xdr:colOff>
      <xdr:row>4</xdr:row>
      <xdr:rowOff>104775</xdr:rowOff>
    </xdr:to>
    <xdr:pic>
      <xdr:nvPicPr>
        <xdr:cNvPr id="5" name="Imag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66675"/>
          <a:ext cx="1905000" cy="428625"/>
        </a:xfrm>
        <a:prstGeom prst="rect">
          <a:avLst/>
        </a:prstGeom>
      </xdr:spPr>
    </xdr:pic>
    <xdr:clientData/>
  </xdr:twoCellAnchor>
  <xdr:twoCellAnchor>
    <xdr:from>
      <xdr:col>7</xdr:col>
      <xdr:colOff>493394</xdr:colOff>
      <xdr:row>2</xdr:row>
      <xdr:rowOff>85725</xdr:rowOff>
    </xdr:from>
    <xdr:to>
      <xdr:col>13</xdr:col>
      <xdr:colOff>254000</xdr:colOff>
      <xdr:row>5</xdr:row>
      <xdr:rowOff>200025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07EF08CA-93D5-961C-01AD-ACE8B2054E13}"/>
            </a:ext>
          </a:extLst>
        </xdr:cNvPr>
        <xdr:cNvSpPr/>
      </xdr:nvSpPr>
      <xdr:spPr>
        <a:xfrm>
          <a:off x="9065894" y="714375"/>
          <a:ext cx="5866131" cy="1133475"/>
        </a:xfrm>
        <a:prstGeom prst="wedgeRectCallout">
          <a:avLst>
            <a:gd name="adj1" fmla="val -56907"/>
            <a:gd name="adj2" fmla="val 190315"/>
          </a:avLst>
        </a:prstGeom>
        <a:solidFill>
          <a:schemeClr val="accent1">
            <a:lumMod val="40000"/>
            <a:lumOff val="60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A" sz="1800">
              <a:solidFill>
                <a:sysClr val="windowText" lastClr="000000"/>
              </a:solidFill>
              <a:latin typeface="Georgia" panose="02040502050405020303" pitchFamily="18" charset="0"/>
            </a:rPr>
            <a:t>https://www.ratehub.ca/hypotheque/quotes </a:t>
          </a:r>
        </a:p>
        <a:p>
          <a:pPr algn="l"/>
          <a:endParaRPr lang="fr-CA" sz="1800">
            <a:solidFill>
              <a:sysClr val="windowText" lastClr="000000"/>
            </a:solidFill>
            <a:latin typeface="Georgia" panose="02040502050405020303" pitchFamily="18" charset="0"/>
          </a:endParaRPr>
        </a:p>
        <a:p>
          <a:pPr algn="l"/>
          <a:r>
            <a:rPr lang="fr-CA" sz="1800">
              <a:solidFill>
                <a:sysClr val="windowText" lastClr="000000"/>
              </a:solidFill>
              <a:latin typeface="Ink Free" panose="03080402000500000000" pitchFamily="66" charset="0"/>
            </a:rPr>
            <a:t>Bon</a:t>
          </a:r>
          <a:r>
            <a:rPr lang="fr-CA" sz="1800" baseline="0">
              <a:solidFill>
                <a:sysClr val="windowText" lastClr="000000"/>
              </a:solidFill>
              <a:latin typeface="Ink Free" panose="03080402000500000000" pitchFamily="66" charset="0"/>
            </a:rPr>
            <a:t> site pour magasiner les taux hypothèquaires!!</a:t>
          </a:r>
          <a:endParaRPr lang="fr-CA" sz="1800">
            <a:solidFill>
              <a:sysClr val="windowText" lastClr="000000"/>
            </a:solidFill>
            <a:latin typeface="Ink Free" panose="03080402000500000000" pitchFamily="66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1"/>
  <sheetViews>
    <sheetView showGridLines="0" tabSelected="1" topLeftCell="A20" zoomScale="70" zoomScaleNormal="70" workbookViewId="0">
      <selection activeCell="G39" sqref="G39"/>
    </sheetView>
  </sheetViews>
  <sheetFormatPr defaultColWidth="9.140625" defaultRowHeight="18.75" x14ac:dyDescent="0.3"/>
  <cols>
    <col min="1" max="1" width="3.42578125" style="2" customWidth="1"/>
    <col min="2" max="2" width="52.85546875" style="54" customWidth="1"/>
    <col min="3" max="5" width="15.7109375" style="29" customWidth="1"/>
    <col min="6" max="7" width="15.7109375" style="2" customWidth="1"/>
    <col min="8" max="8" width="15.140625" style="2" customWidth="1"/>
    <col min="9" max="9" width="44.42578125" style="52" customWidth="1"/>
    <col min="10" max="16384" width="9.140625" style="2"/>
  </cols>
  <sheetData>
    <row r="1" spans="2:10" ht="19.5" thickBot="1" x14ac:dyDescent="0.35">
      <c r="B1" s="57" t="s">
        <v>38</v>
      </c>
    </row>
    <row r="2" spans="2:10" ht="35.450000000000003" customHeight="1" thickBot="1" x14ac:dyDescent="0.35">
      <c r="C2" s="16"/>
      <c r="D2" s="46" t="s">
        <v>39</v>
      </c>
      <c r="I2" s="53"/>
    </row>
    <row r="3" spans="2:10" ht="30.6" customHeight="1" x14ac:dyDescent="0.3"/>
    <row r="4" spans="2:10" s="5" customFormat="1" ht="30.6" customHeight="1" x14ac:dyDescent="0.3">
      <c r="B4" s="65" t="s">
        <v>0</v>
      </c>
      <c r="C4" s="65"/>
      <c r="D4" s="65"/>
      <c r="E4" s="65"/>
      <c r="F4" s="65"/>
      <c r="G4" s="65"/>
      <c r="H4" s="45"/>
      <c r="I4" s="54"/>
    </row>
    <row r="5" spans="2:10" ht="18.95" customHeight="1" x14ac:dyDescent="0.3">
      <c r="B5" s="58"/>
      <c r="J5" s="6"/>
    </row>
    <row r="6" spans="2:10" ht="21.95" customHeight="1" x14ac:dyDescent="0.3">
      <c r="B6" s="59" t="s">
        <v>1</v>
      </c>
      <c r="C6" s="14">
        <v>2</v>
      </c>
      <c r="D6" s="63"/>
      <c r="E6" s="64"/>
      <c r="F6" s="64"/>
      <c r="G6" s="64"/>
      <c r="J6" s="4"/>
    </row>
    <row r="7" spans="2:10" ht="18.95" customHeight="1" x14ac:dyDescent="0.3">
      <c r="B7" s="48"/>
    </row>
    <row r="8" spans="2:10" s="1" customFormat="1" ht="21.95" customHeight="1" x14ac:dyDescent="0.3">
      <c r="B8" s="12" t="s">
        <v>2</v>
      </c>
      <c r="C8" s="15" t="s">
        <v>20</v>
      </c>
      <c r="D8" s="15" t="s">
        <v>21</v>
      </c>
      <c r="E8" s="15" t="s">
        <v>22</v>
      </c>
      <c r="F8" s="15" t="s">
        <v>23</v>
      </c>
      <c r="G8" s="15" t="s">
        <v>24</v>
      </c>
      <c r="I8" s="54"/>
    </row>
    <row r="9" spans="2:10" ht="21.95" customHeight="1" x14ac:dyDescent="0.3">
      <c r="B9" s="60" t="s">
        <v>34</v>
      </c>
      <c r="C9" s="38">
        <v>500000</v>
      </c>
      <c r="D9" s="38">
        <v>500000</v>
      </c>
      <c r="E9" s="38">
        <v>500000</v>
      </c>
      <c r="F9" s="39"/>
      <c r="G9" s="39"/>
      <c r="I9" s="55"/>
    </row>
    <row r="10" spans="2:10" ht="21.95" customHeight="1" x14ac:dyDescent="0.3">
      <c r="B10" s="60" t="s">
        <v>35</v>
      </c>
      <c r="C10" s="38">
        <v>50000</v>
      </c>
      <c r="D10" s="38">
        <v>50000</v>
      </c>
      <c r="E10" s="38">
        <v>50000</v>
      </c>
      <c r="F10" s="39"/>
      <c r="G10" s="39"/>
      <c r="I10" s="55"/>
    </row>
    <row r="11" spans="2:10" ht="21.95" customHeight="1" x14ac:dyDescent="0.3">
      <c r="B11" s="60" t="s">
        <v>3</v>
      </c>
      <c r="C11" s="40">
        <f>C9-C10</f>
        <v>450000</v>
      </c>
      <c r="D11" s="40">
        <f t="shared" ref="D11:E11" si="0">D9-D10</f>
        <v>450000</v>
      </c>
      <c r="E11" s="40">
        <f t="shared" si="0"/>
        <v>450000</v>
      </c>
      <c r="F11" s="41"/>
      <c r="G11" s="41"/>
      <c r="I11" s="55" t="s">
        <v>25</v>
      </c>
    </row>
    <row r="12" spans="2:10" ht="21.95" customHeight="1" x14ac:dyDescent="0.3">
      <c r="B12" s="60" t="s">
        <v>4</v>
      </c>
      <c r="C12" s="28">
        <v>0.03</v>
      </c>
      <c r="D12" s="28">
        <v>0.04</v>
      </c>
      <c r="E12" s="28">
        <v>0.06</v>
      </c>
      <c r="F12" s="17"/>
      <c r="G12" s="17"/>
      <c r="I12" s="56" t="s">
        <v>26</v>
      </c>
    </row>
    <row r="13" spans="2:10" ht="21.95" customHeight="1" x14ac:dyDescent="0.3">
      <c r="B13" s="60" t="s">
        <v>5</v>
      </c>
      <c r="C13" s="18">
        <v>30</v>
      </c>
      <c r="D13" s="18">
        <v>30</v>
      </c>
      <c r="E13" s="18">
        <v>30</v>
      </c>
      <c r="F13" s="18"/>
      <c r="G13" s="18"/>
      <c r="I13" s="55" t="s">
        <v>27</v>
      </c>
    </row>
    <row r="14" spans="2:10" ht="30" customHeight="1" x14ac:dyDescent="0.3">
      <c r="B14" s="48"/>
      <c r="C14" s="30"/>
      <c r="D14" s="30"/>
      <c r="E14" s="30"/>
      <c r="F14" s="3"/>
      <c r="G14" s="3"/>
    </row>
    <row r="15" spans="2:10" ht="21.95" customHeight="1" thickBot="1" x14ac:dyDescent="0.35">
      <c r="B15" s="10" t="s">
        <v>6</v>
      </c>
      <c r="C15" s="8"/>
      <c r="D15" s="8"/>
      <c r="E15" s="8"/>
      <c r="F15" s="8"/>
      <c r="G15" s="8"/>
    </row>
    <row r="16" spans="2:10" ht="21.95" customHeight="1" thickTop="1" x14ac:dyDescent="0.3">
      <c r="B16" s="48" t="s">
        <v>7</v>
      </c>
      <c r="C16" s="31">
        <f>IF(COUNTA(C11,C12,C13)&lt;3," - ",((1+C12/$C$6)^($C$6/12))-1)</f>
        <v>2.4845167246487776E-3</v>
      </c>
      <c r="D16" s="31">
        <f t="shared" ref="D16:G16" si="1">IF(COUNTA(D11,D12,D13)&lt;3," - ",((1+D12/$C$6)^($C$6/12))-1)</f>
        <v>3.3058903246372395E-3</v>
      </c>
      <c r="E16" s="31">
        <f t="shared" si="1"/>
        <v>4.938622031196882E-3</v>
      </c>
      <c r="F16" s="13" t="str">
        <f>IF(COUNTA(F11,F12,F13)&lt;3," - ",((1+F12/$C$6)^($C$6/12))-1)</f>
        <v xml:space="preserve"> - </v>
      </c>
      <c r="G16" s="13" t="str">
        <f t="shared" si="1"/>
        <v xml:space="preserve"> - </v>
      </c>
      <c r="I16" s="54"/>
    </row>
    <row r="17" spans="1:9" ht="21.95" customHeight="1" x14ac:dyDescent="0.3">
      <c r="B17" s="48" t="s">
        <v>8</v>
      </c>
      <c r="C17" s="47">
        <f>IF(COUNTA(C11,C12,C13)&lt;3," - ",PMT(C16,C13*12,-C11))</f>
        <v>1892.7118541642017</v>
      </c>
      <c r="D17" s="47">
        <f t="shared" ref="D17:G17" si="2">IF(COUNTA(D11,D12,D13)&lt;3," - ",PMT(D16,D13*12,-D11))</f>
        <v>2139.8341473681153</v>
      </c>
      <c r="E17" s="47">
        <f t="shared" si="2"/>
        <v>2676.7053911404919</v>
      </c>
      <c r="F17" s="24" t="str">
        <f>IF(COUNTA(F11,F12,F13)&lt;3," - ",PMT(F16,F13*12,-F11))</f>
        <v xml:space="preserve"> - </v>
      </c>
      <c r="G17" s="24" t="str">
        <f t="shared" si="2"/>
        <v xml:space="preserve"> - </v>
      </c>
      <c r="I17" s="55"/>
    </row>
    <row r="18" spans="1:9" ht="21.95" customHeight="1" x14ac:dyDescent="0.3">
      <c r="B18" s="48" t="s">
        <v>9</v>
      </c>
      <c r="C18" s="27">
        <v>0</v>
      </c>
      <c r="D18" s="27">
        <v>0</v>
      </c>
      <c r="E18" s="27">
        <v>0</v>
      </c>
      <c r="F18" s="25"/>
      <c r="G18" s="25"/>
      <c r="I18" s="55" t="s">
        <v>28</v>
      </c>
    </row>
    <row r="19" spans="1:9" ht="24.95" customHeight="1" x14ac:dyDescent="0.3">
      <c r="B19" s="49" t="s">
        <v>10</v>
      </c>
      <c r="C19" s="50">
        <f>IF(COUNTA(C11,C12,C13)&lt;3," - ",C17+C18)</f>
        <v>1892.7118541642017</v>
      </c>
      <c r="D19" s="50">
        <f t="shared" ref="D19:G19" si="3">IF(COUNTA(D11,D12,D13)&lt;3," - ",D17+D18)</f>
        <v>2139.8341473681153</v>
      </c>
      <c r="E19" s="50">
        <f t="shared" si="3"/>
        <v>2676.7053911404919</v>
      </c>
      <c r="F19" s="26" t="str">
        <f t="shared" si="3"/>
        <v xml:space="preserve"> - </v>
      </c>
      <c r="G19" s="26" t="str">
        <f t="shared" si="3"/>
        <v xml:space="preserve"> - </v>
      </c>
    </row>
    <row r="20" spans="1:9" ht="30" customHeight="1" x14ac:dyDescent="0.3">
      <c r="B20" s="48"/>
      <c r="C20" s="30"/>
      <c r="D20" s="30"/>
      <c r="E20" s="30"/>
      <c r="F20" s="3"/>
      <c r="G20" s="3"/>
    </row>
    <row r="21" spans="1:9" ht="21.95" customHeight="1" thickBot="1" x14ac:dyDescent="0.35">
      <c r="B21" s="10" t="s">
        <v>11</v>
      </c>
      <c r="C21" s="8"/>
      <c r="D21" s="8"/>
      <c r="E21" s="8"/>
      <c r="F21" s="8"/>
      <c r="G21" s="8"/>
    </row>
    <row r="22" spans="1:9" ht="21.95" customHeight="1" thickTop="1" x14ac:dyDescent="0.3">
      <c r="B22" s="48" t="s">
        <v>12</v>
      </c>
      <c r="C22" s="32">
        <f>IF(COUNTA(C11,C12,C13)&lt;3," - ",NPER(C16,-C19,C11))</f>
        <v>359.99999999999983</v>
      </c>
      <c r="D22" s="32">
        <f t="shared" ref="D22:G22" si="4">IF(COUNTA(D11,D12,D13)&lt;3," - ",NPER(D16,-D19,D11))</f>
        <v>360.00000000000006</v>
      </c>
      <c r="E22" s="32">
        <f t="shared" si="4"/>
        <v>359.99999999999989</v>
      </c>
      <c r="F22" s="22" t="str">
        <f>IF(COUNTA(F11,F12,F13)&lt;3," - ",NPER(F16,-F19,F11))</f>
        <v xml:space="preserve"> - </v>
      </c>
      <c r="G22" s="22" t="str">
        <f t="shared" si="4"/>
        <v xml:space="preserve"> - </v>
      </c>
    </row>
    <row r="23" spans="1:9" ht="21.95" customHeight="1" x14ac:dyDescent="0.3">
      <c r="B23" s="48" t="s">
        <v>13</v>
      </c>
      <c r="C23" s="32">
        <f>IF(COUNTA(C11,C12,C13)&lt;3," - ",C22/12)</f>
        <v>29.999999999999986</v>
      </c>
      <c r="D23" s="32">
        <f t="shared" ref="D23:G23" si="5">IF(COUNTA(D11,D12,D13)&lt;3," - ",D22/12)</f>
        <v>30.000000000000004</v>
      </c>
      <c r="E23" s="32">
        <f t="shared" si="5"/>
        <v>29.999999999999989</v>
      </c>
      <c r="F23" s="22" t="str">
        <f>IF(COUNTA(F11,F12,F13)&lt;3," - ",F22/12)</f>
        <v xml:space="preserve"> - </v>
      </c>
      <c r="G23" s="22" t="str">
        <f t="shared" si="5"/>
        <v xml:space="preserve"> - </v>
      </c>
    </row>
    <row r="24" spans="1:9" ht="21.95" customHeight="1" x14ac:dyDescent="0.3">
      <c r="B24" s="48" t="s">
        <v>14</v>
      </c>
      <c r="C24" s="32">
        <f>IF(COUNTA(C11,C12,C13)&lt;3," - ",C22*C19)</f>
        <v>681376.26749911229</v>
      </c>
      <c r="D24" s="32">
        <f t="shared" ref="D24:G24" si="6">IF(COUNTA(D11,D12,D13)&lt;3," - ",D22*D19)</f>
        <v>770340.29305252165</v>
      </c>
      <c r="E24" s="32">
        <f t="shared" si="6"/>
        <v>963613.94081057678</v>
      </c>
      <c r="F24" s="22" t="str">
        <f>IF(COUNTA(F11,F12,F13)&lt;3," - ",F22*F19)</f>
        <v xml:space="preserve"> - </v>
      </c>
      <c r="G24" s="22" t="str">
        <f t="shared" si="6"/>
        <v xml:space="preserve"> - </v>
      </c>
    </row>
    <row r="25" spans="1:9" ht="24.95" customHeight="1" x14ac:dyDescent="0.3">
      <c r="B25" s="49" t="s">
        <v>15</v>
      </c>
      <c r="C25" s="51">
        <f>IF(COUNTA(C11,C12,C13)&lt;3," - ",C24-C11)</f>
        <v>231376.26749911229</v>
      </c>
      <c r="D25" s="51">
        <f t="shared" ref="D25:G25" si="7">IF(COUNTA(D11,D12,D13)&lt;3," - ",D24-D11)</f>
        <v>320340.29305252165</v>
      </c>
      <c r="E25" s="51">
        <f t="shared" si="7"/>
        <v>513613.94081057678</v>
      </c>
      <c r="F25" s="23" t="str">
        <f>IF(COUNTA(F11,F12,F13)&lt;3," - ",F24-F11)</f>
        <v xml:space="preserve"> - </v>
      </c>
      <c r="G25" s="23" t="str">
        <f t="shared" si="7"/>
        <v xml:space="preserve"> - </v>
      </c>
      <c r="I25" s="54"/>
    </row>
    <row r="26" spans="1:9" ht="30" customHeight="1" x14ac:dyDescent="0.3">
      <c r="B26" s="48"/>
      <c r="C26" s="30"/>
      <c r="D26" s="30"/>
      <c r="E26" s="30"/>
      <c r="F26" s="3"/>
      <c r="G26" s="3"/>
    </row>
    <row r="27" spans="1:9" ht="21.95" hidden="1" customHeight="1" x14ac:dyDescent="0.3">
      <c r="B27" s="11" t="s">
        <v>16</v>
      </c>
      <c r="C27" s="19">
        <v>0</v>
      </c>
      <c r="D27" s="19">
        <v>10</v>
      </c>
      <c r="E27" s="19">
        <v>5</v>
      </c>
      <c r="F27" s="19"/>
      <c r="G27" s="19"/>
      <c r="I27" s="55" t="s">
        <v>29</v>
      </c>
    </row>
    <row r="28" spans="1:9" ht="21.95" hidden="1" customHeight="1" x14ac:dyDescent="0.3">
      <c r="B28" s="48" t="s">
        <v>17</v>
      </c>
      <c r="C28" s="36">
        <f>C11</f>
        <v>450000</v>
      </c>
      <c r="D28" s="36">
        <f>D11</f>
        <v>450000</v>
      </c>
      <c r="E28" s="36">
        <f t="shared" ref="E28:G28" si="8">E11</f>
        <v>450000</v>
      </c>
      <c r="F28" s="37">
        <f t="shared" si="8"/>
        <v>0</v>
      </c>
      <c r="G28" s="37">
        <f t="shared" si="8"/>
        <v>0</v>
      </c>
      <c r="I28" s="55" t="s">
        <v>30</v>
      </c>
    </row>
    <row r="29" spans="1:9" ht="21.95" hidden="1" customHeight="1" x14ac:dyDescent="0.3">
      <c r="B29" s="48" t="s">
        <v>18</v>
      </c>
      <c r="C29" s="33">
        <f>IF(COUNTA(C11,C12,C13,C27)&lt;4," - ",-FV(C16,C27*12,-C19,C11))</f>
        <v>450000</v>
      </c>
      <c r="D29" s="33">
        <f t="shared" ref="D29:G29" si="9">IF(COUNTA(D11,D12,D13,D27)&lt;4," - ",-FV(D16,D27*12,-D19,D11))</f>
        <v>354132.67137574934</v>
      </c>
      <c r="E29" s="33">
        <f t="shared" si="9"/>
        <v>418361.62554217555</v>
      </c>
      <c r="F29" s="20" t="str">
        <f t="shared" si="9"/>
        <v xml:space="preserve"> - </v>
      </c>
      <c r="G29" s="20" t="str">
        <f t="shared" si="9"/>
        <v xml:space="preserve"> - </v>
      </c>
    </row>
    <row r="30" spans="1:9" ht="24.95" hidden="1" customHeight="1" x14ac:dyDescent="0.3">
      <c r="B30" s="49" t="s">
        <v>19</v>
      </c>
      <c r="C30" s="34">
        <f>IF(COUNTA(C11,C12,C13,C27,C28)&lt;5," - ",C28-C29)</f>
        <v>0</v>
      </c>
      <c r="D30" s="34">
        <f t="shared" ref="D30:G30" si="10">IF(COUNTA(D11,D12,D13,D27,D28)&lt;5," - ",D28-D29)</f>
        <v>95867.328624250658</v>
      </c>
      <c r="E30" s="34">
        <f>IF(COUNTA(E11,E12,E13,E27,E28)&lt;5," - ",E28-E29)</f>
        <v>31638.374457824451</v>
      </c>
      <c r="F30" s="21" t="str">
        <f t="shared" si="10"/>
        <v xml:space="preserve"> - </v>
      </c>
      <c r="G30" s="21" t="str">
        <f t="shared" si="10"/>
        <v xml:space="preserve"> - </v>
      </c>
    </row>
    <row r="31" spans="1:9" x14ac:dyDescent="0.3">
      <c r="A31" s="9"/>
      <c r="B31" s="61"/>
      <c r="C31" s="35"/>
      <c r="D31" s="35"/>
    </row>
    <row r="32" spans="1:9" ht="30" x14ac:dyDescent="0.3">
      <c r="A32" s="7"/>
      <c r="B32" s="66" t="s">
        <v>32</v>
      </c>
      <c r="C32" s="66"/>
      <c r="D32" s="66"/>
      <c r="E32" s="66"/>
      <c r="F32" s="66"/>
      <c r="G32" s="66"/>
      <c r="H32" s="66"/>
    </row>
    <row r="33" spans="2:9" x14ac:dyDescent="0.3">
      <c r="I33" s="54"/>
    </row>
    <row r="35" spans="2:9" ht="20.100000000000001" customHeight="1" x14ac:dyDescent="0.3">
      <c r="B35" s="60" t="s">
        <v>31</v>
      </c>
      <c r="C35" s="27">
        <v>2500</v>
      </c>
    </row>
    <row r="36" spans="2:9" ht="24.95" customHeight="1" x14ac:dyDescent="0.3">
      <c r="B36" s="60" t="s">
        <v>4</v>
      </c>
      <c r="C36" s="28">
        <v>0.05</v>
      </c>
    </row>
    <row r="37" spans="2:9" ht="24.95" customHeight="1" x14ac:dyDescent="0.3">
      <c r="B37" s="60" t="s">
        <v>5</v>
      </c>
      <c r="C37" s="18">
        <v>30</v>
      </c>
    </row>
    <row r="38" spans="2:9" ht="19.5" thickBot="1" x14ac:dyDescent="0.35">
      <c r="B38" s="62"/>
      <c r="C38"/>
    </row>
    <row r="39" spans="2:9" ht="20.45" customHeight="1" thickBot="1" x14ac:dyDescent="0.35">
      <c r="B39" s="60" t="s">
        <v>36</v>
      </c>
      <c r="C39" s="43">
        <f>C35*((1-(1+C36/12)^-(C37*12))/(C36/12))</f>
        <v>465704.04261518951</v>
      </c>
      <c r="E39" s="29" t="s">
        <v>40</v>
      </c>
    </row>
    <row r="40" spans="2:9" ht="21.6" customHeight="1" thickBot="1" x14ac:dyDescent="0.35">
      <c r="B40" s="60" t="s">
        <v>37</v>
      </c>
      <c r="C40" s="42">
        <v>50000</v>
      </c>
    </row>
    <row r="41" spans="2:9" ht="21" customHeight="1" thickBot="1" x14ac:dyDescent="0.35">
      <c r="B41" s="60" t="s">
        <v>33</v>
      </c>
      <c r="C41" s="44">
        <f>C39+C40</f>
        <v>515704.04261518951</v>
      </c>
    </row>
  </sheetData>
  <mergeCells count="3">
    <mergeCell ref="D6:G6"/>
    <mergeCell ref="B4:G4"/>
    <mergeCell ref="B32:H32"/>
  </mergeCells>
  <phoneticPr fontId="3" type="noConversion"/>
  <printOptions horizontalCentered="1"/>
  <pageMargins left="0.5" right="0.5" top="0.75" bottom="0.5" header="0.5" footer="0.25"/>
  <pageSetup paperSize="9" scale="75" fitToHeight="0" orientation="portrait" r:id="rId1"/>
  <headerFooter scaleWithDoc="0">
    <oddFooter>&amp;L&amp;"Arial,Regular"&amp;8https://www.vertex42.com/Calculators/mortgage-calculators.html&amp;R&amp;"Arial,Regular"&amp;8© 2008 Vertex42 LLC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TM16410084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Calcul hypothèques</vt:lpstr>
      <vt:lpstr>'Calcul hypothèques'!Print_Area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2022-01-03T22:56:50Z</dcterms:created>
  <dcterms:modified xsi:type="dcterms:W3CDTF">2026-06-01T15:05:22Z</dcterms:modified>
</cp:coreProperties>
</file>