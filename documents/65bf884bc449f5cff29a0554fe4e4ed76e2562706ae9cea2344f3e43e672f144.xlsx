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cmtl-my.sharepoint.com/personal/melanie_2_caron_hec_ca/Documents/Desktop/Teaching/Finance 10200/classe 2 maths fin/"/>
    </mc:Choice>
  </mc:AlternateContent>
  <xr:revisionPtr revIDLastSave="0" documentId="13_ncr:1_{E1D1CB95-CFBC-4122-ACEA-A509C0571F85}" xr6:coauthVersionLast="47" xr6:coauthVersionMax="47" xr10:uidLastSave="{00000000-0000-0000-0000-000000000000}"/>
  <bookViews>
    <workbookView xWindow="-110" yWindow="-110" windowWidth="19420" windowHeight="10300" xr2:uid="{23BB5A16-050E-436E-B165-8F46DF93E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" i="1"/>
  <c r="I13" i="1"/>
  <c r="I14" i="1"/>
  <c r="I15" i="1"/>
  <c r="I16" i="1"/>
  <c r="I17" i="1"/>
  <c r="I18" i="1"/>
  <c r="I19" i="1"/>
  <c r="I11" i="1"/>
  <c r="I10" i="1"/>
  <c r="J10" i="1" s="1"/>
  <c r="L10" i="1" l="1"/>
  <c r="J11" i="1"/>
  <c r="M10" i="1"/>
  <c r="K10" i="1"/>
  <c r="L11" i="1" s="1"/>
  <c r="M11" i="1" s="1"/>
  <c r="J12" i="1"/>
  <c r="J13" i="1" s="1"/>
  <c r="J14" i="1" s="1"/>
  <c r="J15" i="1" s="1"/>
  <c r="J16" i="1" s="1"/>
  <c r="J17" i="1" s="1"/>
  <c r="J18" i="1" s="1"/>
  <c r="J19" i="1" s="1"/>
  <c r="J20" i="1" s="1"/>
  <c r="K20" i="1" s="1"/>
  <c r="L21" i="1" s="1"/>
  <c r="K11" i="1"/>
  <c r="L12" i="1" s="1"/>
  <c r="M12" i="1" s="1"/>
  <c r="K12" i="1" l="1"/>
  <c r="L13" i="1" s="1"/>
  <c r="M13" i="1" s="1"/>
  <c r="O12" i="1"/>
  <c r="N12" i="1"/>
  <c r="K13" i="1"/>
  <c r="L14" i="1" s="1"/>
  <c r="O11" i="1"/>
  <c r="N11" i="1"/>
  <c r="J21" i="1"/>
  <c r="N10" i="1"/>
  <c r="O10" i="1"/>
  <c r="K21" i="1" l="1"/>
  <c r="L22" i="1" s="1"/>
  <c r="J22" i="1"/>
  <c r="M14" i="1"/>
  <c r="O13" i="1"/>
  <c r="N13" i="1"/>
  <c r="K14" i="1"/>
  <c r="L15" i="1" s="1"/>
  <c r="M15" i="1" l="1"/>
  <c r="O14" i="1"/>
  <c r="N14" i="1"/>
  <c r="K22" i="1"/>
  <c r="L23" i="1" s="1"/>
  <c r="J23" i="1"/>
  <c r="K15" i="1"/>
  <c r="L16" i="1" s="1"/>
  <c r="K23" i="1" l="1"/>
  <c r="L24" i="1" s="1"/>
  <c r="J24" i="1"/>
  <c r="M16" i="1"/>
  <c r="N15" i="1"/>
  <c r="O15" i="1"/>
  <c r="K16" i="1"/>
  <c r="L17" i="1" s="1"/>
  <c r="M17" i="1" l="1"/>
  <c r="N16" i="1"/>
  <c r="O16" i="1"/>
  <c r="K24" i="1"/>
  <c r="L25" i="1" s="1"/>
  <c r="J25" i="1"/>
  <c r="K17" i="1"/>
  <c r="L18" i="1" s="1"/>
  <c r="K25" i="1" l="1"/>
  <c r="L26" i="1" s="1"/>
  <c r="J26" i="1"/>
  <c r="M18" i="1"/>
  <c r="O17" i="1"/>
  <c r="N17" i="1"/>
  <c r="K18" i="1"/>
  <c r="L19" i="1" s="1"/>
  <c r="K19" i="1"/>
  <c r="L20" i="1" s="1"/>
  <c r="M19" i="1" l="1"/>
  <c r="O18" i="1"/>
  <c r="N18" i="1"/>
  <c r="K26" i="1"/>
  <c r="L27" i="1" s="1"/>
  <c r="J27" i="1"/>
  <c r="J28" i="1" l="1"/>
  <c r="K27" i="1"/>
  <c r="L28" i="1" s="1"/>
  <c r="O19" i="1"/>
  <c r="N19" i="1"/>
  <c r="M20" i="1"/>
  <c r="O20" i="1" l="1"/>
  <c r="N20" i="1"/>
  <c r="M21" i="1"/>
  <c r="K28" i="1"/>
  <c r="L29" i="1" s="1"/>
  <c r="J29" i="1"/>
  <c r="J30" i="1" l="1"/>
  <c r="K29" i="1"/>
  <c r="L30" i="1" s="1"/>
  <c r="O21" i="1"/>
  <c r="N21" i="1"/>
  <c r="M22" i="1"/>
  <c r="N22" i="1" l="1"/>
  <c r="O22" i="1"/>
  <c r="M23" i="1"/>
  <c r="K30" i="1"/>
  <c r="L31" i="1" s="1"/>
  <c r="J31" i="1"/>
  <c r="N23" i="1" l="1"/>
  <c r="O23" i="1"/>
  <c r="M24" i="1"/>
  <c r="K31" i="1"/>
  <c r="L32" i="1" s="1"/>
  <c r="J32" i="1"/>
  <c r="N24" i="1" l="1"/>
  <c r="O24" i="1"/>
  <c r="M25" i="1"/>
  <c r="K32" i="1"/>
  <c r="L33" i="1" s="1"/>
  <c r="J33" i="1"/>
  <c r="K33" i="1" l="1"/>
  <c r="L34" i="1" s="1"/>
  <c r="J34" i="1"/>
  <c r="N25" i="1"/>
  <c r="O25" i="1"/>
  <c r="M26" i="1"/>
  <c r="O26" i="1" l="1"/>
  <c r="N26" i="1"/>
  <c r="M27" i="1"/>
  <c r="K34" i="1"/>
  <c r="L35" i="1" s="1"/>
  <c r="J35" i="1"/>
  <c r="N27" i="1" l="1"/>
  <c r="O27" i="1"/>
  <c r="M28" i="1"/>
  <c r="J36" i="1"/>
  <c r="K35" i="1"/>
  <c r="L36" i="1" s="1"/>
  <c r="O28" i="1" l="1"/>
  <c r="N28" i="1"/>
  <c r="M29" i="1"/>
  <c r="K36" i="1"/>
  <c r="L37" i="1" s="1"/>
  <c r="J37" i="1"/>
  <c r="N29" i="1" l="1"/>
  <c r="O29" i="1"/>
  <c r="M30" i="1"/>
  <c r="K37" i="1"/>
  <c r="L38" i="1" s="1"/>
  <c r="J38" i="1"/>
  <c r="N30" i="1" l="1"/>
  <c r="O30" i="1"/>
  <c r="M31" i="1"/>
  <c r="K38" i="1"/>
  <c r="L39" i="1" s="1"/>
  <c r="J39" i="1"/>
  <c r="N31" i="1" l="1"/>
  <c r="O31" i="1"/>
  <c r="M32" i="1"/>
  <c r="J40" i="1"/>
  <c r="K39" i="1"/>
  <c r="L40" i="1" s="1"/>
  <c r="J41" i="1" l="1"/>
  <c r="K40" i="1"/>
  <c r="L41" i="1" s="1"/>
  <c r="N32" i="1"/>
  <c r="O32" i="1"/>
  <c r="M33" i="1"/>
  <c r="O33" i="1" l="1"/>
  <c r="N33" i="1"/>
  <c r="M34" i="1"/>
  <c r="K41" i="1"/>
  <c r="L42" i="1" s="1"/>
  <c r="J42" i="1"/>
  <c r="K42" i="1" l="1"/>
  <c r="L43" i="1" s="1"/>
  <c r="J43" i="1"/>
  <c r="O34" i="1"/>
  <c r="N34" i="1"/>
  <c r="M35" i="1"/>
  <c r="O35" i="1" l="1"/>
  <c r="N35" i="1"/>
  <c r="M36" i="1"/>
  <c r="J44" i="1"/>
  <c r="K43" i="1"/>
  <c r="L44" i="1" s="1"/>
  <c r="K44" i="1" l="1"/>
  <c r="L45" i="1" s="1"/>
  <c r="J45" i="1"/>
  <c r="N36" i="1"/>
  <c r="O36" i="1"/>
  <c r="M37" i="1"/>
  <c r="N37" i="1" l="1"/>
  <c r="O37" i="1"/>
  <c r="M38" i="1"/>
  <c r="K45" i="1"/>
  <c r="L46" i="1" s="1"/>
  <c r="J46" i="1"/>
  <c r="J47" i="1" l="1"/>
  <c r="K46" i="1"/>
  <c r="L47" i="1" s="1"/>
  <c r="N38" i="1"/>
  <c r="O38" i="1"/>
  <c r="M39" i="1"/>
  <c r="N39" i="1" l="1"/>
  <c r="O39" i="1"/>
  <c r="M40" i="1"/>
  <c r="J48" i="1"/>
  <c r="K47" i="1"/>
  <c r="L48" i="1" s="1"/>
  <c r="J49" i="1" l="1"/>
  <c r="K48" i="1"/>
  <c r="L49" i="1" s="1"/>
  <c r="N40" i="1"/>
  <c r="O40" i="1"/>
  <c r="M41" i="1"/>
  <c r="O41" i="1" l="1"/>
  <c r="N41" i="1"/>
  <c r="M42" i="1"/>
  <c r="J50" i="1"/>
  <c r="K49" i="1"/>
  <c r="L50" i="1" s="1"/>
  <c r="K50" i="1" l="1"/>
  <c r="L51" i="1" s="1"/>
  <c r="J51" i="1"/>
  <c r="O42" i="1"/>
  <c r="N42" i="1"/>
  <c r="M43" i="1"/>
  <c r="O43" i="1" l="1"/>
  <c r="N43" i="1"/>
  <c r="M44" i="1"/>
  <c r="K51" i="1"/>
  <c r="L52" i="1" s="1"/>
  <c r="J52" i="1"/>
  <c r="N44" i="1" l="1"/>
  <c r="O44" i="1"/>
  <c r="M45" i="1"/>
  <c r="J53" i="1"/>
  <c r="K52" i="1"/>
  <c r="L53" i="1" s="1"/>
  <c r="K53" i="1" l="1"/>
  <c r="L54" i="1" s="1"/>
  <c r="J54" i="1"/>
  <c r="N45" i="1"/>
  <c r="O45" i="1"/>
  <c r="M46" i="1"/>
  <c r="K54" i="1" l="1"/>
  <c r="L55" i="1" s="1"/>
  <c r="J55" i="1"/>
  <c r="N46" i="1"/>
  <c r="O46" i="1"/>
  <c r="M47" i="1"/>
  <c r="N47" i="1" l="1"/>
  <c r="O47" i="1"/>
  <c r="M48" i="1"/>
  <c r="K55" i="1"/>
  <c r="L56" i="1" s="1"/>
  <c r="J56" i="1"/>
  <c r="N48" i="1" l="1"/>
  <c r="O48" i="1"/>
  <c r="M49" i="1"/>
  <c r="J57" i="1"/>
  <c r="K56" i="1"/>
  <c r="L57" i="1" s="1"/>
  <c r="J58" i="1" l="1"/>
  <c r="K57" i="1"/>
  <c r="L58" i="1" s="1"/>
  <c r="N49" i="1"/>
  <c r="O49" i="1"/>
  <c r="M50" i="1"/>
  <c r="O50" i="1" l="1"/>
  <c r="N50" i="1"/>
  <c r="M51" i="1"/>
  <c r="K58" i="1"/>
  <c r="L59" i="1" s="1"/>
  <c r="J59" i="1"/>
  <c r="O51" i="1" l="1"/>
  <c r="N51" i="1"/>
  <c r="M52" i="1"/>
  <c r="K59" i="1"/>
  <c r="L60" i="1" s="1"/>
  <c r="J60" i="1"/>
  <c r="K60" i="1" l="1"/>
  <c r="L61" i="1" s="1"/>
  <c r="J61" i="1"/>
  <c r="N52" i="1"/>
  <c r="O52" i="1"/>
  <c r="M53" i="1"/>
  <c r="N53" i="1" l="1"/>
  <c r="O53" i="1"/>
  <c r="M54" i="1"/>
  <c r="K61" i="1"/>
  <c r="L62" i="1" s="1"/>
  <c r="J62" i="1"/>
  <c r="K62" i="1" l="1"/>
  <c r="L63" i="1" s="1"/>
  <c r="J63" i="1"/>
  <c r="N54" i="1"/>
  <c r="O54" i="1"/>
  <c r="M55" i="1"/>
  <c r="N55" i="1" l="1"/>
  <c r="O55" i="1"/>
  <c r="M56" i="1"/>
  <c r="K63" i="1"/>
  <c r="L64" i="1" s="1"/>
  <c r="J64" i="1"/>
  <c r="N56" i="1" l="1"/>
  <c r="O56" i="1"/>
  <c r="M57" i="1"/>
  <c r="J65" i="1"/>
  <c r="K64" i="1"/>
  <c r="L65" i="1" s="1"/>
  <c r="K65" i="1" l="1"/>
  <c r="L66" i="1" s="1"/>
  <c r="J66" i="1"/>
  <c r="O57" i="1"/>
  <c r="N57" i="1"/>
  <c r="M58" i="1"/>
  <c r="N58" i="1" l="1"/>
  <c r="O58" i="1"/>
  <c r="M59" i="1"/>
  <c r="K66" i="1"/>
  <c r="L67" i="1" s="1"/>
  <c r="J67" i="1"/>
  <c r="O59" i="1" l="1"/>
  <c r="N59" i="1"/>
  <c r="M60" i="1"/>
  <c r="K67" i="1"/>
  <c r="L68" i="1" s="1"/>
  <c r="J68" i="1"/>
  <c r="N60" i="1" l="1"/>
  <c r="O60" i="1"/>
  <c r="M61" i="1"/>
  <c r="K68" i="1"/>
  <c r="L69" i="1" s="1"/>
  <c r="J69" i="1"/>
  <c r="J70" i="1" l="1"/>
  <c r="K69" i="1"/>
  <c r="L70" i="1" s="1"/>
  <c r="N61" i="1"/>
  <c r="O61" i="1"/>
  <c r="M62" i="1"/>
  <c r="O62" i="1" l="1"/>
  <c r="N62" i="1"/>
  <c r="M63" i="1"/>
  <c r="K70" i="1"/>
  <c r="L71" i="1" s="1"/>
  <c r="J71" i="1"/>
  <c r="K71" i="1" l="1"/>
  <c r="L72" i="1" s="1"/>
  <c r="J72" i="1"/>
  <c r="N63" i="1"/>
  <c r="O63" i="1"/>
  <c r="M64" i="1"/>
  <c r="O64" i="1" l="1"/>
  <c r="N64" i="1"/>
  <c r="M65" i="1"/>
  <c r="J73" i="1"/>
  <c r="K72" i="1"/>
  <c r="L73" i="1" s="1"/>
  <c r="N65" i="1" l="1"/>
  <c r="O65" i="1"/>
  <c r="M66" i="1"/>
  <c r="J74" i="1"/>
  <c r="K73" i="1"/>
  <c r="L74" i="1" s="1"/>
  <c r="O66" i="1" l="1"/>
  <c r="N66" i="1"/>
  <c r="M67" i="1"/>
  <c r="K74" i="1"/>
  <c r="L75" i="1" s="1"/>
  <c r="J75" i="1"/>
  <c r="N67" i="1" l="1"/>
  <c r="O67" i="1"/>
  <c r="M68" i="1"/>
  <c r="K75" i="1"/>
  <c r="L76" i="1" s="1"/>
  <c r="J76" i="1"/>
  <c r="K76" i="1" l="1"/>
  <c r="L77" i="1" s="1"/>
  <c r="J77" i="1"/>
  <c r="N68" i="1"/>
  <c r="O68" i="1"/>
  <c r="M69" i="1"/>
  <c r="J78" i="1" l="1"/>
  <c r="K77" i="1"/>
  <c r="L78" i="1" s="1"/>
  <c r="N69" i="1"/>
  <c r="O69" i="1"/>
  <c r="M70" i="1"/>
  <c r="N70" i="1" l="1"/>
  <c r="O70" i="1"/>
  <c r="M71" i="1"/>
  <c r="J79" i="1"/>
  <c r="K78" i="1"/>
  <c r="L79" i="1" s="1"/>
  <c r="K79" i="1" l="1"/>
  <c r="L80" i="1" s="1"/>
  <c r="J80" i="1"/>
  <c r="N71" i="1"/>
  <c r="O71" i="1"/>
  <c r="M72" i="1"/>
  <c r="N72" i="1" l="1"/>
  <c r="O72" i="1"/>
  <c r="M73" i="1"/>
  <c r="J81" i="1"/>
  <c r="K80" i="1"/>
  <c r="L81" i="1" s="1"/>
  <c r="N73" i="1" l="1"/>
  <c r="O73" i="1"/>
  <c r="M74" i="1"/>
  <c r="J82" i="1"/>
  <c r="K81" i="1"/>
  <c r="L82" i="1" s="1"/>
  <c r="J83" i="1" l="1"/>
  <c r="K82" i="1"/>
  <c r="L83" i="1" s="1"/>
  <c r="N74" i="1"/>
  <c r="O74" i="1"/>
  <c r="M75" i="1"/>
  <c r="N75" i="1" l="1"/>
  <c r="O75" i="1"/>
  <c r="M76" i="1"/>
  <c r="K83" i="1"/>
  <c r="L84" i="1" s="1"/>
  <c r="J84" i="1"/>
  <c r="J85" i="1" l="1"/>
  <c r="K84" i="1"/>
  <c r="L85" i="1" s="1"/>
  <c r="O76" i="1"/>
  <c r="N76" i="1"/>
  <c r="M77" i="1"/>
  <c r="N77" i="1" l="1"/>
  <c r="O77" i="1"/>
  <c r="M78" i="1"/>
  <c r="J86" i="1"/>
  <c r="K85" i="1"/>
  <c r="L86" i="1" s="1"/>
  <c r="J87" i="1" l="1"/>
  <c r="K86" i="1"/>
  <c r="L87" i="1" s="1"/>
  <c r="N78" i="1"/>
  <c r="O78" i="1"/>
  <c r="M79" i="1"/>
  <c r="N79" i="1" l="1"/>
  <c r="O79" i="1"/>
  <c r="M80" i="1"/>
  <c r="J88" i="1"/>
  <c r="K87" i="1"/>
  <c r="L88" i="1" s="1"/>
  <c r="K88" i="1" l="1"/>
  <c r="L89" i="1" s="1"/>
  <c r="J89" i="1"/>
  <c r="N80" i="1"/>
  <c r="O80" i="1"/>
  <c r="M81" i="1"/>
  <c r="O81" i="1" l="1"/>
  <c r="N81" i="1"/>
  <c r="M82" i="1"/>
  <c r="J90" i="1"/>
  <c r="K89" i="1"/>
  <c r="L90" i="1" s="1"/>
  <c r="J91" i="1" l="1"/>
  <c r="K90" i="1"/>
  <c r="L91" i="1" s="1"/>
  <c r="N82" i="1"/>
  <c r="O82" i="1"/>
  <c r="M83" i="1"/>
  <c r="O83" i="1" l="1"/>
  <c r="N83" i="1"/>
  <c r="M84" i="1"/>
  <c r="K91" i="1"/>
  <c r="L92" i="1" s="1"/>
  <c r="J92" i="1"/>
  <c r="N84" i="1" l="1"/>
  <c r="O84" i="1"/>
  <c r="M85" i="1"/>
  <c r="K92" i="1"/>
  <c r="L93" i="1" s="1"/>
  <c r="J93" i="1"/>
  <c r="N85" i="1" l="1"/>
  <c r="O85" i="1"/>
  <c r="M86" i="1"/>
  <c r="K93" i="1"/>
  <c r="L94" i="1" s="1"/>
  <c r="J94" i="1"/>
  <c r="J95" i="1" l="1"/>
  <c r="K94" i="1"/>
  <c r="L95" i="1" s="1"/>
  <c r="N86" i="1"/>
  <c r="O86" i="1"/>
  <c r="M87" i="1"/>
  <c r="N87" i="1" l="1"/>
  <c r="O87" i="1"/>
  <c r="M88" i="1"/>
  <c r="K95" i="1"/>
  <c r="L96" i="1" s="1"/>
  <c r="J96" i="1"/>
  <c r="O88" i="1" l="1"/>
  <c r="N88" i="1"/>
  <c r="M89" i="1"/>
  <c r="J97" i="1"/>
  <c r="K96" i="1"/>
  <c r="L97" i="1" s="1"/>
  <c r="J98" i="1" l="1"/>
  <c r="K97" i="1"/>
  <c r="L98" i="1" s="1"/>
  <c r="N89" i="1"/>
  <c r="O89" i="1"/>
  <c r="M90" i="1"/>
  <c r="O90" i="1" l="1"/>
  <c r="N90" i="1"/>
  <c r="M91" i="1"/>
  <c r="K98" i="1"/>
  <c r="L99" i="1" s="1"/>
  <c r="J99" i="1"/>
  <c r="J100" i="1" l="1"/>
  <c r="K99" i="1"/>
  <c r="L100" i="1" s="1"/>
  <c r="N91" i="1"/>
  <c r="O91" i="1"/>
  <c r="M92" i="1"/>
  <c r="O92" i="1" l="1"/>
  <c r="N92" i="1"/>
  <c r="M93" i="1"/>
  <c r="K100" i="1"/>
  <c r="L101" i="1" s="1"/>
  <c r="J101" i="1"/>
  <c r="O93" i="1" l="1"/>
  <c r="N93" i="1"/>
  <c r="M94" i="1"/>
  <c r="K101" i="1"/>
  <c r="L102" i="1" s="1"/>
  <c r="J102" i="1"/>
  <c r="N94" i="1" l="1"/>
  <c r="O94" i="1"/>
  <c r="M95" i="1"/>
  <c r="K102" i="1"/>
  <c r="L103" i="1" s="1"/>
  <c r="J103" i="1"/>
  <c r="K103" i="1" l="1"/>
  <c r="L104" i="1" s="1"/>
  <c r="J104" i="1"/>
  <c r="N95" i="1"/>
  <c r="O95" i="1"/>
  <c r="M96" i="1"/>
  <c r="K104" i="1" l="1"/>
  <c r="L105" i="1" s="1"/>
  <c r="J105" i="1"/>
  <c r="N96" i="1"/>
  <c r="O96" i="1"/>
  <c r="M97" i="1"/>
  <c r="O97" i="1" l="1"/>
  <c r="N97" i="1"/>
  <c r="M98" i="1"/>
  <c r="K105" i="1"/>
  <c r="L106" i="1" s="1"/>
  <c r="J106" i="1"/>
  <c r="K106" i="1" l="1"/>
  <c r="L107" i="1" s="1"/>
  <c r="J107" i="1"/>
  <c r="O98" i="1"/>
  <c r="N98" i="1"/>
  <c r="M99" i="1"/>
  <c r="N99" i="1" l="1"/>
  <c r="O99" i="1"/>
  <c r="M100" i="1"/>
  <c r="K107" i="1"/>
  <c r="L108" i="1" s="1"/>
  <c r="J108" i="1"/>
  <c r="N100" i="1" l="1"/>
  <c r="O100" i="1"/>
  <c r="M101" i="1"/>
  <c r="K108" i="1"/>
  <c r="L109" i="1" s="1"/>
  <c r="J109" i="1"/>
  <c r="K109" i="1" l="1"/>
  <c r="L110" i="1" s="1"/>
  <c r="J110" i="1"/>
  <c r="N101" i="1"/>
  <c r="O101" i="1"/>
  <c r="M102" i="1"/>
  <c r="K110" i="1" l="1"/>
  <c r="L111" i="1" s="1"/>
  <c r="J111" i="1"/>
  <c r="N102" i="1"/>
  <c r="O102" i="1"/>
  <c r="M103" i="1"/>
  <c r="N103" i="1" l="1"/>
  <c r="O103" i="1"/>
  <c r="M104" i="1"/>
  <c r="J112" i="1"/>
  <c r="K111" i="1"/>
  <c r="L112" i="1" s="1"/>
  <c r="N104" i="1" l="1"/>
  <c r="O104" i="1"/>
  <c r="M105" i="1"/>
  <c r="K112" i="1"/>
  <c r="L113" i="1" s="1"/>
  <c r="J113" i="1"/>
  <c r="O105" i="1" l="1"/>
  <c r="N105" i="1"/>
  <c r="M106" i="1"/>
  <c r="J114" i="1"/>
  <c r="K113" i="1"/>
  <c r="L114" i="1" s="1"/>
  <c r="K114" i="1" l="1"/>
  <c r="L115" i="1" s="1"/>
  <c r="J115" i="1"/>
  <c r="O106" i="1"/>
  <c r="N106" i="1"/>
  <c r="M107" i="1"/>
  <c r="N107" i="1" l="1"/>
  <c r="O107" i="1"/>
  <c r="M108" i="1"/>
  <c r="K115" i="1"/>
  <c r="L116" i="1" s="1"/>
  <c r="J116" i="1"/>
  <c r="N108" i="1" l="1"/>
  <c r="O108" i="1"/>
  <c r="M109" i="1"/>
  <c r="K116" i="1"/>
  <c r="L117" i="1" s="1"/>
  <c r="J117" i="1"/>
  <c r="N109" i="1" l="1"/>
  <c r="O109" i="1"/>
  <c r="M110" i="1"/>
  <c r="K117" i="1"/>
  <c r="L118" i="1" s="1"/>
  <c r="J118" i="1"/>
  <c r="J119" i="1" l="1"/>
  <c r="K118" i="1"/>
  <c r="L119" i="1" s="1"/>
  <c r="N110" i="1"/>
  <c r="O110" i="1"/>
  <c r="M111" i="1"/>
  <c r="N111" i="1" l="1"/>
  <c r="O111" i="1"/>
  <c r="M112" i="1"/>
  <c r="J120" i="1"/>
  <c r="K119" i="1"/>
  <c r="L120" i="1" s="1"/>
  <c r="N112" i="1" l="1"/>
  <c r="O112" i="1"/>
  <c r="M113" i="1"/>
  <c r="K120" i="1"/>
  <c r="L121" i="1" s="1"/>
  <c r="J121" i="1"/>
  <c r="J122" i="1" l="1"/>
  <c r="K121" i="1"/>
  <c r="L122" i="1" s="1"/>
  <c r="O113" i="1"/>
  <c r="N113" i="1"/>
  <c r="M114" i="1"/>
  <c r="N114" i="1" l="1"/>
  <c r="O114" i="1"/>
  <c r="M115" i="1"/>
  <c r="K122" i="1"/>
  <c r="L123" i="1" s="1"/>
  <c r="J123" i="1"/>
  <c r="K123" i="1" s="1"/>
  <c r="N115" i="1" l="1"/>
  <c r="O115" i="1"/>
  <c r="M116" i="1"/>
  <c r="N116" i="1" l="1"/>
  <c r="O116" i="1"/>
  <c r="M117" i="1"/>
  <c r="N117" i="1" l="1"/>
  <c r="O117" i="1"/>
  <c r="M118" i="1"/>
  <c r="N118" i="1" l="1"/>
  <c r="O118" i="1"/>
  <c r="M119" i="1"/>
  <c r="N119" i="1" l="1"/>
  <c r="O119" i="1"/>
  <c r="M120" i="1"/>
  <c r="O120" i="1" l="1"/>
  <c r="N120" i="1"/>
  <c r="M121" i="1"/>
  <c r="N121" i="1" l="1"/>
  <c r="O121" i="1"/>
  <c r="M122" i="1"/>
  <c r="O122" i="1" l="1"/>
  <c r="N122" i="1"/>
  <c r="M123" i="1"/>
  <c r="N123" i="1" l="1"/>
  <c r="O123" i="1"/>
</calcChain>
</file>

<file path=xl/sharedStrings.xml><?xml version="1.0" encoding="utf-8"?>
<sst xmlns="http://schemas.openxmlformats.org/spreadsheetml/2006/main" count="22" uniqueCount="17">
  <si>
    <t>Intérêt uniquement sur le capital.</t>
  </si>
  <si>
    <t>Exemple : 100 $ à 5 % simple pendant 3 ans →</t>
  </si>
  <si>
    <t>Intérêt = 100 $ × 0,05 × 3 = 150 $</t>
  </si>
  <si>
    <t>Montant final = 100 + 15 = 115 $</t>
  </si>
  <si>
    <t>Intérêt simple</t>
  </si>
  <si>
    <t>Intérêt composé</t>
  </si>
  <si>
    <t>Capital</t>
  </si>
  <si>
    <t>Intérêt</t>
  </si>
  <si>
    <t>Intérêt cumulé</t>
  </si>
  <si>
    <t>Capital + intérêt</t>
  </si>
  <si>
    <t>Différence</t>
  </si>
  <si>
    <t>Intérêt sur le capital et sur l’intérêt accumulé.</t>
  </si>
  <si>
    <t>Exemple : 100 $ à 5 % composé pendant 3 ans →</t>
  </si>
  <si>
    <t>Remarquez que c’est plus élevé que l’intérêt simple.</t>
  </si>
  <si>
    <t>Montant final = 100 $ × (1,05)³ = 115,75 $</t>
  </si>
  <si>
    <t>Années</t>
  </si>
  <si>
    <t>Calcul de la valeur finale avec intérêt simple et intérêt composé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</si>
</sst>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Ink Free"/>
      <family val="4"/>
    </font>
    <font>
      <b/>
      <sz val="16"/>
      <color theme="0"/>
      <name val="Georgia"/>
      <family val="1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4" fillId="4" borderId="0" xfId="0" applyFont="1" applyFill="1"/>
    <xf numFmtId="0" fontId="0" fillId="5" borderId="0" xfId="0" applyFill="1"/>
    <xf numFmtId="0" fontId="1" fillId="5" borderId="0" xfId="0" applyFont="1" applyFill="1"/>
    <xf numFmtId="0" fontId="4" fillId="5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 vertical="center" indent="1"/>
    </xf>
    <xf numFmtId="0" fontId="0" fillId="0" borderId="5" xfId="0" applyBorder="1"/>
    <xf numFmtId="0" fontId="0" fillId="2" borderId="0" xfId="0" applyFill="1" applyAlignment="1">
      <alignment horizontal="left" vertical="center" indent="2"/>
    </xf>
    <xf numFmtId="0" fontId="0" fillId="2" borderId="5" xfId="0" applyFill="1" applyBorder="1"/>
    <xf numFmtId="0" fontId="0" fillId="3" borderId="0" xfId="0" applyFill="1" applyAlignment="1">
      <alignment horizontal="left" vertical="center" indent="2"/>
    </xf>
    <xf numFmtId="0" fontId="0" fillId="3" borderId="5" xfId="0" applyFill="1" applyBorder="1"/>
    <xf numFmtId="0" fontId="2" fillId="0" borderId="0" xfId="0" applyFont="1" applyAlignment="1">
      <alignment horizontal="left" vertical="center" indent="2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2" xfId="0" applyFont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CA">
                <a:solidFill>
                  <a:sysClr val="windowText" lastClr="000000"/>
                </a:solidFill>
              </a:rPr>
              <a:t>Intérêt simple et composé</a:t>
            </a:r>
          </a:p>
        </c:rich>
      </c:tx>
      <c:layout>
        <c:manualLayout>
          <c:xMode val="edge"/>
          <c:yMode val="edge"/>
          <c:x val="0.3093333333333333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Capital 100 $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Sheet1!$G$10:$G$123</c:f>
              <c:numCache>
                <c:formatCode>General</c:formatCode>
                <c:ptCount val="1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5-4455-9B2B-AA08AE50DC13}"/>
            </c:ext>
          </c:extLst>
        </c:ser>
        <c:ser>
          <c:idx val="1"/>
          <c:order val="1"/>
          <c:tx>
            <c:v>Int simple accumulé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Sheet1!$J$10:$J$123</c:f>
              <c:numCache>
                <c:formatCode>General</c:formatCode>
                <c:ptCount val="11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5-4455-9B2B-AA08AE50DC13}"/>
            </c:ext>
          </c:extLst>
        </c:ser>
        <c:ser>
          <c:idx val="2"/>
          <c:order val="2"/>
          <c:tx>
            <c:v>Montant supplémentaire dû à l'intérêt composé</c:v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Sheet1!$O$10:$O$123</c:f>
              <c:numCache>
                <c:formatCode>General</c:formatCode>
                <c:ptCount val="114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  <c:pt idx="3">
                  <c:v>1.5</c:v>
                </c:pt>
                <c:pt idx="4">
                  <c:v>2.5</c:v>
                </c:pt>
                <c:pt idx="5">
                  <c:v>3.75</c:v>
                </c:pt>
                <c:pt idx="6">
                  <c:v>5.25</c:v>
                </c:pt>
                <c:pt idx="7">
                  <c:v>7</c:v>
                </c:pt>
                <c:pt idx="8">
                  <c:v>9</c:v>
                </c:pt>
                <c:pt idx="9">
                  <c:v>11.25</c:v>
                </c:pt>
                <c:pt idx="10">
                  <c:v>13.75</c:v>
                </c:pt>
                <c:pt idx="11">
                  <c:v>16.5</c:v>
                </c:pt>
                <c:pt idx="12">
                  <c:v>19.5</c:v>
                </c:pt>
                <c:pt idx="13">
                  <c:v>22.75</c:v>
                </c:pt>
                <c:pt idx="14">
                  <c:v>26.25</c:v>
                </c:pt>
                <c:pt idx="15">
                  <c:v>30</c:v>
                </c:pt>
                <c:pt idx="16">
                  <c:v>34</c:v>
                </c:pt>
                <c:pt idx="17">
                  <c:v>38.25</c:v>
                </c:pt>
                <c:pt idx="18">
                  <c:v>42.75</c:v>
                </c:pt>
                <c:pt idx="19">
                  <c:v>47.5</c:v>
                </c:pt>
                <c:pt idx="20">
                  <c:v>52.5</c:v>
                </c:pt>
                <c:pt idx="21">
                  <c:v>57.75</c:v>
                </c:pt>
                <c:pt idx="22">
                  <c:v>63.25</c:v>
                </c:pt>
                <c:pt idx="23">
                  <c:v>69</c:v>
                </c:pt>
                <c:pt idx="24">
                  <c:v>75</c:v>
                </c:pt>
                <c:pt idx="25">
                  <c:v>81.25</c:v>
                </c:pt>
                <c:pt idx="26">
                  <c:v>87.75</c:v>
                </c:pt>
                <c:pt idx="27">
                  <c:v>94.5</c:v>
                </c:pt>
                <c:pt idx="28">
                  <c:v>101.5</c:v>
                </c:pt>
                <c:pt idx="29">
                  <c:v>108.75</c:v>
                </c:pt>
                <c:pt idx="30">
                  <c:v>116.25</c:v>
                </c:pt>
                <c:pt idx="31">
                  <c:v>124</c:v>
                </c:pt>
                <c:pt idx="32">
                  <c:v>132</c:v>
                </c:pt>
                <c:pt idx="33">
                  <c:v>140.25</c:v>
                </c:pt>
                <c:pt idx="34">
                  <c:v>148.75</c:v>
                </c:pt>
                <c:pt idx="35">
                  <c:v>157.5</c:v>
                </c:pt>
                <c:pt idx="36">
                  <c:v>166.5</c:v>
                </c:pt>
                <c:pt idx="37">
                  <c:v>175.75</c:v>
                </c:pt>
                <c:pt idx="38">
                  <c:v>185.25</c:v>
                </c:pt>
                <c:pt idx="39">
                  <c:v>195</c:v>
                </c:pt>
                <c:pt idx="40">
                  <c:v>205</c:v>
                </c:pt>
                <c:pt idx="41">
                  <c:v>215.25</c:v>
                </c:pt>
                <c:pt idx="42">
                  <c:v>225.75</c:v>
                </c:pt>
                <c:pt idx="43">
                  <c:v>236.5</c:v>
                </c:pt>
                <c:pt idx="44">
                  <c:v>247.5</c:v>
                </c:pt>
                <c:pt idx="45">
                  <c:v>258.75</c:v>
                </c:pt>
                <c:pt idx="46">
                  <c:v>270.25</c:v>
                </c:pt>
                <c:pt idx="47">
                  <c:v>282</c:v>
                </c:pt>
                <c:pt idx="48">
                  <c:v>294</c:v>
                </c:pt>
                <c:pt idx="49">
                  <c:v>306.25</c:v>
                </c:pt>
                <c:pt idx="50">
                  <c:v>318.75</c:v>
                </c:pt>
                <c:pt idx="51">
                  <c:v>331.5</c:v>
                </c:pt>
                <c:pt idx="52">
                  <c:v>344.5</c:v>
                </c:pt>
                <c:pt idx="53">
                  <c:v>357.75</c:v>
                </c:pt>
                <c:pt idx="54">
                  <c:v>371.25</c:v>
                </c:pt>
                <c:pt idx="55">
                  <c:v>385</c:v>
                </c:pt>
                <c:pt idx="56">
                  <c:v>399</c:v>
                </c:pt>
                <c:pt idx="57">
                  <c:v>413.25</c:v>
                </c:pt>
                <c:pt idx="58">
                  <c:v>427.75</c:v>
                </c:pt>
                <c:pt idx="59">
                  <c:v>442.5</c:v>
                </c:pt>
                <c:pt idx="60">
                  <c:v>457.5</c:v>
                </c:pt>
                <c:pt idx="61">
                  <c:v>472.75</c:v>
                </c:pt>
                <c:pt idx="62">
                  <c:v>488.25</c:v>
                </c:pt>
                <c:pt idx="63">
                  <c:v>504</c:v>
                </c:pt>
                <c:pt idx="64">
                  <c:v>520</c:v>
                </c:pt>
                <c:pt idx="65">
                  <c:v>536.25</c:v>
                </c:pt>
                <c:pt idx="66">
                  <c:v>552.75</c:v>
                </c:pt>
                <c:pt idx="67">
                  <c:v>569.5</c:v>
                </c:pt>
                <c:pt idx="68">
                  <c:v>586.5</c:v>
                </c:pt>
                <c:pt idx="69">
                  <c:v>603.75</c:v>
                </c:pt>
                <c:pt idx="70">
                  <c:v>621.25</c:v>
                </c:pt>
                <c:pt idx="71">
                  <c:v>639</c:v>
                </c:pt>
                <c:pt idx="72">
                  <c:v>657</c:v>
                </c:pt>
                <c:pt idx="73">
                  <c:v>675.25</c:v>
                </c:pt>
                <c:pt idx="74">
                  <c:v>693.75</c:v>
                </c:pt>
                <c:pt idx="75">
                  <c:v>712.5</c:v>
                </c:pt>
                <c:pt idx="76">
                  <c:v>731.5</c:v>
                </c:pt>
                <c:pt idx="77">
                  <c:v>750.75</c:v>
                </c:pt>
                <c:pt idx="78">
                  <c:v>770.25</c:v>
                </c:pt>
                <c:pt idx="79">
                  <c:v>790</c:v>
                </c:pt>
                <c:pt idx="80">
                  <c:v>810</c:v>
                </c:pt>
                <c:pt idx="81">
                  <c:v>830.25</c:v>
                </c:pt>
                <c:pt idx="82">
                  <c:v>850.75</c:v>
                </c:pt>
                <c:pt idx="83">
                  <c:v>871.5</c:v>
                </c:pt>
                <c:pt idx="84">
                  <c:v>892.5</c:v>
                </c:pt>
                <c:pt idx="85">
                  <c:v>913.75</c:v>
                </c:pt>
                <c:pt idx="86">
                  <c:v>935.25</c:v>
                </c:pt>
                <c:pt idx="87">
                  <c:v>957</c:v>
                </c:pt>
                <c:pt idx="88">
                  <c:v>979</c:v>
                </c:pt>
                <c:pt idx="89">
                  <c:v>1001.25</c:v>
                </c:pt>
                <c:pt idx="90">
                  <c:v>1023.75</c:v>
                </c:pt>
                <c:pt idx="91">
                  <c:v>1046.5</c:v>
                </c:pt>
                <c:pt idx="92">
                  <c:v>1069.5</c:v>
                </c:pt>
                <c:pt idx="93">
                  <c:v>1092.75</c:v>
                </c:pt>
                <c:pt idx="94">
                  <c:v>1116.25</c:v>
                </c:pt>
                <c:pt idx="95">
                  <c:v>1140</c:v>
                </c:pt>
                <c:pt idx="96">
                  <c:v>1164</c:v>
                </c:pt>
                <c:pt idx="97">
                  <c:v>1188.25</c:v>
                </c:pt>
                <c:pt idx="98">
                  <c:v>1212.75</c:v>
                </c:pt>
                <c:pt idx="99">
                  <c:v>1237.5</c:v>
                </c:pt>
                <c:pt idx="100">
                  <c:v>1262.5</c:v>
                </c:pt>
                <c:pt idx="101">
                  <c:v>1287.75</c:v>
                </c:pt>
                <c:pt idx="102">
                  <c:v>1313.25</c:v>
                </c:pt>
                <c:pt idx="103">
                  <c:v>1339</c:v>
                </c:pt>
                <c:pt idx="104">
                  <c:v>1365</c:v>
                </c:pt>
                <c:pt idx="105">
                  <c:v>1391.25</c:v>
                </c:pt>
                <c:pt idx="106">
                  <c:v>1417.75</c:v>
                </c:pt>
                <c:pt idx="107">
                  <c:v>1444.5</c:v>
                </c:pt>
                <c:pt idx="108">
                  <c:v>1471.5</c:v>
                </c:pt>
                <c:pt idx="109">
                  <c:v>1498.75</c:v>
                </c:pt>
                <c:pt idx="110">
                  <c:v>1526.25</c:v>
                </c:pt>
                <c:pt idx="111">
                  <c:v>1554</c:v>
                </c:pt>
                <c:pt idx="112">
                  <c:v>1582</c:v>
                </c:pt>
                <c:pt idx="113">
                  <c:v>1610.25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A5-4455-9B2B-AA08AE50DC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5144991"/>
        <c:axId val="2085144511"/>
      </c:barChart>
      <c:catAx>
        <c:axId val="208514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5144511"/>
        <c:crosses val="autoZero"/>
        <c:auto val="1"/>
        <c:lblAlgn val="ctr"/>
        <c:lblOffset val="100"/>
        <c:noMultiLvlLbl val="0"/>
      </c:catAx>
      <c:valAx>
        <c:axId val="208514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514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CA">
                <a:solidFill>
                  <a:sysClr val="windowText" lastClr="000000"/>
                </a:solidFill>
              </a:rPr>
              <a:t>Montant accumulé</a:t>
            </a:r>
            <a:r>
              <a:rPr lang="fr-CA" baseline="0">
                <a:solidFill>
                  <a:sysClr val="windowText" lastClr="000000"/>
                </a:solidFill>
              </a:rPr>
              <a:t> à la fin de chaque année</a:t>
            </a:r>
            <a:endParaRPr lang="fr-CA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Sheet1!$I$8</c:f>
              <c:strCache>
                <c:ptCount val="1"/>
                <c:pt idx="0">
                  <c:v>Intérêt simple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Sheet1!$K$10:$K$119</c:f>
              <c:numCache>
                <c:formatCode>General</c:formatCode>
                <c:ptCount val="110"/>
                <c:pt idx="0">
                  <c:v>105</c:v>
                </c:pt>
                <c:pt idx="1">
                  <c:v>110</c:v>
                </c:pt>
                <c:pt idx="2">
                  <c:v>115</c:v>
                </c:pt>
                <c:pt idx="3">
                  <c:v>120</c:v>
                </c:pt>
                <c:pt idx="4">
                  <c:v>125</c:v>
                </c:pt>
                <c:pt idx="5">
                  <c:v>130</c:v>
                </c:pt>
                <c:pt idx="6">
                  <c:v>135</c:v>
                </c:pt>
                <c:pt idx="7">
                  <c:v>140</c:v>
                </c:pt>
                <c:pt idx="8">
                  <c:v>145</c:v>
                </c:pt>
                <c:pt idx="9">
                  <c:v>150</c:v>
                </c:pt>
                <c:pt idx="10">
                  <c:v>155</c:v>
                </c:pt>
                <c:pt idx="11">
                  <c:v>160</c:v>
                </c:pt>
                <c:pt idx="12">
                  <c:v>165</c:v>
                </c:pt>
                <c:pt idx="13">
                  <c:v>170</c:v>
                </c:pt>
                <c:pt idx="14">
                  <c:v>175</c:v>
                </c:pt>
                <c:pt idx="15">
                  <c:v>180</c:v>
                </c:pt>
                <c:pt idx="16">
                  <c:v>185</c:v>
                </c:pt>
                <c:pt idx="17">
                  <c:v>190</c:v>
                </c:pt>
                <c:pt idx="18">
                  <c:v>195</c:v>
                </c:pt>
                <c:pt idx="19">
                  <c:v>200</c:v>
                </c:pt>
                <c:pt idx="20">
                  <c:v>205</c:v>
                </c:pt>
                <c:pt idx="21">
                  <c:v>210</c:v>
                </c:pt>
                <c:pt idx="22">
                  <c:v>215</c:v>
                </c:pt>
                <c:pt idx="23">
                  <c:v>220</c:v>
                </c:pt>
                <c:pt idx="24">
                  <c:v>225</c:v>
                </c:pt>
                <c:pt idx="25">
                  <c:v>230</c:v>
                </c:pt>
                <c:pt idx="26">
                  <c:v>235</c:v>
                </c:pt>
                <c:pt idx="27">
                  <c:v>240</c:v>
                </c:pt>
                <c:pt idx="28">
                  <c:v>245</c:v>
                </c:pt>
                <c:pt idx="29">
                  <c:v>250</c:v>
                </c:pt>
                <c:pt idx="30">
                  <c:v>255</c:v>
                </c:pt>
                <c:pt idx="31">
                  <c:v>260</c:v>
                </c:pt>
                <c:pt idx="32">
                  <c:v>265</c:v>
                </c:pt>
                <c:pt idx="33">
                  <c:v>270</c:v>
                </c:pt>
                <c:pt idx="34">
                  <c:v>275</c:v>
                </c:pt>
                <c:pt idx="35">
                  <c:v>280</c:v>
                </c:pt>
                <c:pt idx="36">
                  <c:v>285</c:v>
                </c:pt>
                <c:pt idx="37">
                  <c:v>290</c:v>
                </c:pt>
                <c:pt idx="38">
                  <c:v>295</c:v>
                </c:pt>
                <c:pt idx="39">
                  <c:v>300</c:v>
                </c:pt>
                <c:pt idx="40">
                  <c:v>305</c:v>
                </c:pt>
                <c:pt idx="41">
                  <c:v>310</c:v>
                </c:pt>
                <c:pt idx="42">
                  <c:v>315</c:v>
                </c:pt>
                <c:pt idx="43">
                  <c:v>320</c:v>
                </c:pt>
                <c:pt idx="44">
                  <c:v>325</c:v>
                </c:pt>
                <c:pt idx="45">
                  <c:v>330</c:v>
                </c:pt>
                <c:pt idx="46">
                  <c:v>335</c:v>
                </c:pt>
                <c:pt idx="47">
                  <c:v>340</c:v>
                </c:pt>
                <c:pt idx="48">
                  <c:v>345</c:v>
                </c:pt>
                <c:pt idx="49">
                  <c:v>350</c:v>
                </c:pt>
                <c:pt idx="50">
                  <c:v>355</c:v>
                </c:pt>
                <c:pt idx="51">
                  <c:v>360</c:v>
                </c:pt>
                <c:pt idx="52">
                  <c:v>365</c:v>
                </c:pt>
                <c:pt idx="53">
                  <c:v>370</c:v>
                </c:pt>
                <c:pt idx="54">
                  <c:v>375</c:v>
                </c:pt>
                <c:pt idx="55">
                  <c:v>380</c:v>
                </c:pt>
                <c:pt idx="56">
                  <c:v>385</c:v>
                </c:pt>
                <c:pt idx="57">
                  <c:v>390</c:v>
                </c:pt>
                <c:pt idx="58">
                  <c:v>395</c:v>
                </c:pt>
                <c:pt idx="59">
                  <c:v>400</c:v>
                </c:pt>
                <c:pt idx="60">
                  <c:v>405</c:v>
                </c:pt>
                <c:pt idx="61">
                  <c:v>410</c:v>
                </c:pt>
                <c:pt idx="62">
                  <c:v>415</c:v>
                </c:pt>
                <c:pt idx="63">
                  <c:v>420</c:v>
                </c:pt>
                <c:pt idx="64">
                  <c:v>425</c:v>
                </c:pt>
                <c:pt idx="65">
                  <c:v>430</c:v>
                </c:pt>
                <c:pt idx="66">
                  <c:v>435</c:v>
                </c:pt>
                <c:pt idx="67">
                  <c:v>440</c:v>
                </c:pt>
                <c:pt idx="68">
                  <c:v>445</c:v>
                </c:pt>
                <c:pt idx="69">
                  <c:v>450</c:v>
                </c:pt>
                <c:pt idx="70">
                  <c:v>455</c:v>
                </c:pt>
                <c:pt idx="71">
                  <c:v>460</c:v>
                </c:pt>
                <c:pt idx="72">
                  <c:v>465</c:v>
                </c:pt>
                <c:pt idx="73">
                  <c:v>470</c:v>
                </c:pt>
                <c:pt idx="74">
                  <c:v>475</c:v>
                </c:pt>
                <c:pt idx="75">
                  <c:v>480</c:v>
                </c:pt>
                <c:pt idx="76">
                  <c:v>485</c:v>
                </c:pt>
                <c:pt idx="77">
                  <c:v>490</c:v>
                </c:pt>
                <c:pt idx="78">
                  <c:v>495</c:v>
                </c:pt>
                <c:pt idx="79">
                  <c:v>500</c:v>
                </c:pt>
                <c:pt idx="80">
                  <c:v>505</c:v>
                </c:pt>
                <c:pt idx="81">
                  <c:v>510</c:v>
                </c:pt>
                <c:pt idx="82">
                  <c:v>515</c:v>
                </c:pt>
                <c:pt idx="83">
                  <c:v>520</c:v>
                </c:pt>
                <c:pt idx="84">
                  <c:v>525</c:v>
                </c:pt>
                <c:pt idx="85">
                  <c:v>530</c:v>
                </c:pt>
                <c:pt idx="86">
                  <c:v>535</c:v>
                </c:pt>
                <c:pt idx="87">
                  <c:v>540</c:v>
                </c:pt>
                <c:pt idx="88">
                  <c:v>545</c:v>
                </c:pt>
                <c:pt idx="89">
                  <c:v>550</c:v>
                </c:pt>
                <c:pt idx="90">
                  <c:v>555</c:v>
                </c:pt>
                <c:pt idx="91">
                  <c:v>560</c:v>
                </c:pt>
                <c:pt idx="92">
                  <c:v>565</c:v>
                </c:pt>
                <c:pt idx="93">
                  <c:v>570</c:v>
                </c:pt>
                <c:pt idx="94">
                  <c:v>575</c:v>
                </c:pt>
                <c:pt idx="95">
                  <c:v>580</c:v>
                </c:pt>
                <c:pt idx="96">
                  <c:v>585</c:v>
                </c:pt>
                <c:pt idx="97">
                  <c:v>590</c:v>
                </c:pt>
                <c:pt idx="98">
                  <c:v>595</c:v>
                </c:pt>
                <c:pt idx="99">
                  <c:v>600</c:v>
                </c:pt>
                <c:pt idx="100">
                  <c:v>605</c:v>
                </c:pt>
                <c:pt idx="101">
                  <c:v>610</c:v>
                </c:pt>
                <c:pt idx="102">
                  <c:v>615</c:v>
                </c:pt>
                <c:pt idx="103">
                  <c:v>620</c:v>
                </c:pt>
                <c:pt idx="104">
                  <c:v>625</c:v>
                </c:pt>
                <c:pt idx="105">
                  <c:v>630</c:v>
                </c:pt>
                <c:pt idx="106">
                  <c:v>635</c:v>
                </c:pt>
                <c:pt idx="107">
                  <c:v>640</c:v>
                </c:pt>
                <c:pt idx="108">
                  <c:v>645</c:v>
                </c:pt>
                <c:pt idx="109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1-479E-AF03-DA44811DDFE3}"/>
            </c:ext>
          </c:extLst>
        </c:ser>
        <c:ser>
          <c:idx val="1"/>
          <c:order val="1"/>
          <c:tx>
            <c:strRef>
              <c:f>Sheet1!$L$8</c:f>
              <c:strCache>
                <c:ptCount val="1"/>
                <c:pt idx="0">
                  <c:v>Intérêt composé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Sheet1!$N$10:$N$119</c:f>
              <c:numCache>
                <c:formatCode>General</c:formatCode>
                <c:ptCount val="110"/>
                <c:pt idx="0">
                  <c:v>105</c:v>
                </c:pt>
                <c:pt idx="1">
                  <c:v>110.25</c:v>
                </c:pt>
                <c:pt idx="2">
                  <c:v>115.75</c:v>
                </c:pt>
                <c:pt idx="3">
                  <c:v>121.5</c:v>
                </c:pt>
                <c:pt idx="4">
                  <c:v>127.5</c:v>
                </c:pt>
                <c:pt idx="5">
                  <c:v>133.75</c:v>
                </c:pt>
                <c:pt idx="6">
                  <c:v>140.25</c:v>
                </c:pt>
                <c:pt idx="7">
                  <c:v>147</c:v>
                </c:pt>
                <c:pt idx="8">
                  <c:v>154</c:v>
                </c:pt>
                <c:pt idx="9">
                  <c:v>161.25</c:v>
                </c:pt>
                <c:pt idx="10">
                  <c:v>168.75</c:v>
                </c:pt>
                <c:pt idx="11">
                  <c:v>176.5</c:v>
                </c:pt>
                <c:pt idx="12">
                  <c:v>184.5</c:v>
                </c:pt>
                <c:pt idx="13">
                  <c:v>192.75</c:v>
                </c:pt>
                <c:pt idx="14">
                  <c:v>201.25</c:v>
                </c:pt>
                <c:pt idx="15">
                  <c:v>210</c:v>
                </c:pt>
                <c:pt idx="16">
                  <c:v>219</c:v>
                </c:pt>
                <c:pt idx="17">
                  <c:v>228.25</c:v>
                </c:pt>
                <c:pt idx="18">
                  <c:v>237.75</c:v>
                </c:pt>
                <c:pt idx="19">
                  <c:v>247.5</c:v>
                </c:pt>
                <c:pt idx="20">
                  <c:v>257.5</c:v>
                </c:pt>
                <c:pt idx="21">
                  <c:v>267.75</c:v>
                </c:pt>
                <c:pt idx="22">
                  <c:v>278.25</c:v>
                </c:pt>
                <c:pt idx="23">
                  <c:v>289</c:v>
                </c:pt>
                <c:pt idx="24">
                  <c:v>300</c:v>
                </c:pt>
                <c:pt idx="25">
                  <c:v>311.25</c:v>
                </c:pt>
                <c:pt idx="26">
                  <c:v>322.75</c:v>
                </c:pt>
                <c:pt idx="27">
                  <c:v>334.5</c:v>
                </c:pt>
                <c:pt idx="28">
                  <c:v>346.5</c:v>
                </c:pt>
                <c:pt idx="29">
                  <c:v>358.75</c:v>
                </c:pt>
                <c:pt idx="30">
                  <c:v>371.25</c:v>
                </c:pt>
                <c:pt idx="31">
                  <c:v>384</c:v>
                </c:pt>
                <c:pt idx="32">
                  <c:v>397</c:v>
                </c:pt>
                <c:pt idx="33">
                  <c:v>410.25</c:v>
                </c:pt>
                <c:pt idx="34">
                  <c:v>423.75</c:v>
                </c:pt>
                <c:pt idx="35">
                  <c:v>437.5</c:v>
                </c:pt>
                <c:pt idx="36">
                  <c:v>451.5</c:v>
                </c:pt>
                <c:pt idx="37">
                  <c:v>465.75</c:v>
                </c:pt>
                <c:pt idx="38">
                  <c:v>480.25</c:v>
                </c:pt>
                <c:pt idx="39">
                  <c:v>495</c:v>
                </c:pt>
                <c:pt idx="40">
                  <c:v>510</c:v>
                </c:pt>
                <c:pt idx="41">
                  <c:v>525.25</c:v>
                </c:pt>
                <c:pt idx="42">
                  <c:v>540.75</c:v>
                </c:pt>
                <c:pt idx="43">
                  <c:v>556.5</c:v>
                </c:pt>
                <c:pt idx="44">
                  <c:v>572.5</c:v>
                </c:pt>
                <c:pt idx="45">
                  <c:v>588.75</c:v>
                </c:pt>
                <c:pt idx="46">
                  <c:v>605.25</c:v>
                </c:pt>
                <c:pt idx="47">
                  <c:v>622</c:v>
                </c:pt>
                <c:pt idx="48">
                  <c:v>639</c:v>
                </c:pt>
                <c:pt idx="49">
                  <c:v>656.25</c:v>
                </c:pt>
                <c:pt idx="50">
                  <c:v>673.75</c:v>
                </c:pt>
                <c:pt idx="51">
                  <c:v>691.5</c:v>
                </c:pt>
                <c:pt idx="52">
                  <c:v>709.5</c:v>
                </c:pt>
                <c:pt idx="53">
                  <c:v>727.75</c:v>
                </c:pt>
                <c:pt idx="54">
                  <c:v>746.25</c:v>
                </c:pt>
                <c:pt idx="55">
                  <c:v>765</c:v>
                </c:pt>
                <c:pt idx="56">
                  <c:v>784</c:v>
                </c:pt>
                <c:pt idx="57">
                  <c:v>803.25</c:v>
                </c:pt>
                <c:pt idx="58">
                  <c:v>822.75</c:v>
                </c:pt>
                <c:pt idx="59">
                  <c:v>842.5</c:v>
                </c:pt>
                <c:pt idx="60">
                  <c:v>862.5</c:v>
                </c:pt>
                <c:pt idx="61">
                  <c:v>882.75</c:v>
                </c:pt>
                <c:pt idx="62">
                  <c:v>903.25</c:v>
                </c:pt>
                <c:pt idx="63">
                  <c:v>924</c:v>
                </c:pt>
                <c:pt idx="64">
                  <c:v>945</c:v>
                </c:pt>
                <c:pt idx="65">
                  <c:v>966.25</c:v>
                </c:pt>
                <c:pt idx="66">
                  <c:v>987.75</c:v>
                </c:pt>
                <c:pt idx="67">
                  <c:v>1009.5</c:v>
                </c:pt>
                <c:pt idx="68">
                  <c:v>1031.5</c:v>
                </c:pt>
                <c:pt idx="69">
                  <c:v>1053.75</c:v>
                </c:pt>
                <c:pt idx="70">
                  <c:v>1076.25</c:v>
                </c:pt>
                <c:pt idx="71">
                  <c:v>1099</c:v>
                </c:pt>
                <c:pt idx="72">
                  <c:v>1122</c:v>
                </c:pt>
                <c:pt idx="73">
                  <c:v>1145.25</c:v>
                </c:pt>
                <c:pt idx="74">
                  <c:v>1168.75</c:v>
                </c:pt>
                <c:pt idx="75">
                  <c:v>1192.5</c:v>
                </c:pt>
                <c:pt idx="76">
                  <c:v>1216.5</c:v>
                </c:pt>
                <c:pt idx="77">
                  <c:v>1240.75</c:v>
                </c:pt>
                <c:pt idx="78">
                  <c:v>1265.25</c:v>
                </c:pt>
                <c:pt idx="79">
                  <c:v>1290</c:v>
                </c:pt>
                <c:pt idx="80">
                  <c:v>1315</c:v>
                </c:pt>
                <c:pt idx="81">
                  <c:v>1340.25</c:v>
                </c:pt>
                <c:pt idx="82">
                  <c:v>1365.75</c:v>
                </c:pt>
                <c:pt idx="83">
                  <c:v>1391.5</c:v>
                </c:pt>
                <c:pt idx="84">
                  <c:v>1417.5</c:v>
                </c:pt>
                <c:pt idx="85">
                  <c:v>1443.75</c:v>
                </c:pt>
                <c:pt idx="86">
                  <c:v>1470.25</c:v>
                </c:pt>
                <c:pt idx="87">
                  <c:v>1497</c:v>
                </c:pt>
                <c:pt idx="88">
                  <c:v>1524</c:v>
                </c:pt>
                <c:pt idx="89">
                  <c:v>1551.25</c:v>
                </c:pt>
                <c:pt idx="90">
                  <c:v>1578.75</c:v>
                </c:pt>
                <c:pt idx="91">
                  <c:v>1606.5</c:v>
                </c:pt>
                <c:pt idx="92">
                  <c:v>1634.5</c:v>
                </c:pt>
                <c:pt idx="93">
                  <c:v>1662.75</c:v>
                </c:pt>
                <c:pt idx="94">
                  <c:v>1691.25</c:v>
                </c:pt>
                <c:pt idx="95">
                  <c:v>1720</c:v>
                </c:pt>
                <c:pt idx="96">
                  <c:v>1749</c:v>
                </c:pt>
                <c:pt idx="97">
                  <c:v>1778.25</c:v>
                </c:pt>
                <c:pt idx="98">
                  <c:v>1807.75</c:v>
                </c:pt>
                <c:pt idx="99">
                  <c:v>1837.5</c:v>
                </c:pt>
                <c:pt idx="100">
                  <c:v>1867.5</c:v>
                </c:pt>
                <c:pt idx="101">
                  <c:v>1897.75</c:v>
                </c:pt>
                <c:pt idx="102">
                  <c:v>1928.25</c:v>
                </c:pt>
                <c:pt idx="103">
                  <c:v>1959</c:v>
                </c:pt>
                <c:pt idx="104">
                  <c:v>1990</c:v>
                </c:pt>
                <c:pt idx="105">
                  <c:v>2021.25</c:v>
                </c:pt>
                <c:pt idx="106">
                  <c:v>2052.75</c:v>
                </c:pt>
                <c:pt idx="107">
                  <c:v>2084.5</c:v>
                </c:pt>
                <c:pt idx="108">
                  <c:v>2116.5</c:v>
                </c:pt>
                <c:pt idx="109">
                  <c:v>2148.75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1-479E-AF03-DA44811D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932639"/>
        <c:axId val="1977926879"/>
      </c:lineChart>
      <c:catAx>
        <c:axId val="19779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7926879"/>
        <c:crosses val="autoZero"/>
        <c:auto val="1"/>
        <c:lblAlgn val="ctr"/>
        <c:lblOffset val="100"/>
        <c:noMultiLvlLbl val="0"/>
      </c:catAx>
      <c:valAx>
        <c:axId val="19779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793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53975</xdr:colOff>
      <xdr:row>7</xdr:row>
      <xdr:rowOff>44450</xdr:rowOff>
    </xdr:from>
    <xdr:to>
      <xdr:col>23</xdr:col>
      <xdr:colOff>19050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3FC51-2D23-7D9B-54F5-D78771673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53975</xdr:colOff>
      <xdr:row>22</xdr:row>
      <xdr:rowOff>120650</xdr:rowOff>
    </xdr:from>
    <xdr:to>
      <xdr:col>23</xdr:col>
      <xdr:colOff>355600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55E5AB-6CE9-F02D-FF57-6206A898F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1</xdr:row>
      <xdr:rowOff>57150</xdr:rowOff>
    </xdr:from>
    <xdr:to>
      <xdr:col>23</xdr:col>
      <xdr:colOff>12700</xdr:colOff>
      <xdr:row>6</xdr:row>
      <xdr:rowOff>342900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7F122C-6E07-4C2E-97C6-E7C2B8945E41}"/>
            </a:ext>
          </a:extLst>
        </xdr:cNvPr>
        <xdr:cNvSpPr txBox="1"/>
      </xdr:nvSpPr>
      <xdr:spPr>
        <a:xfrm>
          <a:off x="50800" y="469900"/>
          <a:ext cx="16116300" cy="1206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tx2">
              <a:lumMod val="10000"/>
              <a:lumOff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200" b="1">
              <a:latin typeface="Georgia" panose="02040502050405020303" pitchFamily="18" charset="0"/>
            </a:rPr>
            <a:t>But de ce chiffrier : </a:t>
          </a:r>
          <a:r>
            <a:rPr lang="fr-CA" sz="1200">
              <a:latin typeface="Georgia" panose="02040502050405020303" pitchFamily="18" charset="0"/>
            </a:rPr>
            <a:t>Ce chiffrier a pour but d’illustrer, de façon visuelle et chiffrée, la différence entre l’intérêt simple et l’intérêt composé.</a:t>
          </a:r>
        </a:p>
        <a:p>
          <a:endParaRPr lang="fr-CA" sz="1200">
            <a:solidFill>
              <a:schemeClr val="dk1"/>
            </a:solidFill>
            <a:effectLst/>
            <a:latin typeface="Georgia" panose="02040502050405020303" pitchFamily="18" charset="0"/>
            <a:ea typeface="+mn-ea"/>
            <a:cs typeface="+mn-cs"/>
          </a:endParaRPr>
        </a:p>
        <a:p>
          <a:r>
            <a:rPr lang="fr-CA" sz="1200">
              <a:solidFill>
                <a:schemeClr val="dk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👉 </a:t>
          </a:r>
          <a:r>
            <a:rPr lang="fr-CA" sz="1200">
              <a:latin typeface="Georgia" panose="02040502050405020303" pitchFamily="18" charset="0"/>
            </a:rPr>
            <a:t>Ces outils servent à :</a:t>
          </a:r>
        </a:p>
        <a:p>
          <a:pPr lvl="1"/>
          <a:r>
            <a:rPr lang="fr-CA" sz="1200" b="1">
              <a:latin typeface="Georgia" panose="02040502050405020303" pitchFamily="18" charset="0"/>
            </a:rPr>
            <a:t>Comprendre comment l’intérêt est calculé </a:t>
          </a:r>
          <a:r>
            <a:rPr lang="fr-CA" sz="1200" b="0">
              <a:latin typeface="Georgia" panose="02040502050405020303" pitchFamily="18" charset="0"/>
            </a:rPr>
            <a:t>sur le capital initial seulement (intérêt simple) ou sur le capital plus les intérêts accumulés (intérêt composé).</a:t>
          </a:r>
        </a:p>
        <a:p>
          <a:pPr lvl="1"/>
          <a:r>
            <a:rPr lang="fr-CA" sz="1200" b="0">
              <a:latin typeface="Georgia" panose="02040502050405020303" pitchFamily="18" charset="0"/>
            </a:rPr>
            <a:t>Observer l’</a:t>
          </a:r>
          <a:r>
            <a:rPr lang="fr-CA" sz="1200" b="1">
              <a:latin typeface="Georgia" panose="02040502050405020303" pitchFamily="18" charset="0"/>
            </a:rPr>
            <a:t>effet du temps </a:t>
          </a:r>
          <a:r>
            <a:rPr lang="fr-CA" sz="1200" b="0">
              <a:latin typeface="Georgia" panose="02040502050405020303" pitchFamily="18" charset="0"/>
            </a:rPr>
            <a:t>et du taux d’intérêt sur la valeur finale d’un placement.</a:t>
          </a:r>
        </a:p>
        <a:p>
          <a:pPr lvl="1"/>
          <a:r>
            <a:rPr lang="fr-CA" sz="1200" b="1">
              <a:latin typeface="Georgia" panose="02040502050405020303" pitchFamily="18" charset="0"/>
            </a:rPr>
            <a:t>Comparer </a:t>
          </a:r>
          <a:r>
            <a:rPr lang="fr-CA" sz="1200" b="0">
              <a:latin typeface="Georgia" panose="02040502050405020303" pitchFamily="18" charset="0"/>
            </a:rPr>
            <a:t>directement les deux </a:t>
          </a:r>
          <a:r>
            <a:rPr lang="fr-CA" sz="1200" b="1">
              <a:latin typeface="Georgia" panose="02040502050405020303" pitchFamily="18" charset="0"/>
            </a:rPr>
            <a:t>méthodes</a:t>
          </a:r>
          <a:r>
            <a:rPr lang="fr-CA" sz="1200" b="0">
              <a:latin typeface="Georgia" panose="02040502050405020303" pitchFamily="18" charset="0"/>
            </a:rPr>
            <a:t> de calcul afin de </a:t>
          </a:r>
          <a:r>
            <a:rPr lang="fr-CA" sz="1200" b="0" u="sng">
              <a:latin typeface="Georgia" panose="02040502050405020303" pitchFamily="18" charset="0"/>
            </a:rPr>
            <a:t>mieux saisir l’impact de la capitalisation</a:t>
          </a:r>
          <a:r>
            <a:rPr lang="fr-CA" sz="1200" b="0">
              <a:latin typeface="Georgia" panose="02040502050405020303" pitchFamily="18" charset="0"/>
            </a:rPr>
            <a:t>.</a:t>
          </a:r>
        </a:p>
        <a:p>
          <a:r>
            <a:rPr lang="fr-CA" sz="1200">
              <a:latin typeface="Georgia" panose="02040502050405020303" pitchFamily="18" charset="0"/>
            </a:rPr>
            <a:t> </a:t>
          </a:r>
        </a:p>
      </xdr:txBody>
    </xdr:sp>
    <xdr:clientData/>
  </xdr:twoCellAnchor>
  <xdr:twoCellAnchor editAs="oneCell">
    <xdr:from>
      <xdr:col>4</xdr:col>
      <xdr:colOff>965200</xdr:colOff>
      <xdr:row>7</xdr:row>
      <xdr:rowOff>76200</xdr:rowOff>
    </xdr:from>
    <xdr:to>
      <xdr:col>4</xdr:col>
      <xdr:colOff>1671982</xdr:colOff>
      <xdr:row>10</xdr:row>
      <xdr:rowOff>33683</xdr:rowOff>
    </xdr:to>
    <xdr:pic>
      <xdr:nvPicPr>
        <xdr:cNvPr id="5" name="Picture 4" descr="Red alert button">
          <a:extLst>
            <a:ext uri="{FF2B5EF4-FFF2-40B4-BE49-F238E27FC236}">
              <a16:creationId xmlns:a16="http://schemas.microsoft.com/office/drawing/2014/main" id="{2BE9F5E1-9541-4804-8557-99D0DC009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2000250"/>
          <a:ext cx="706782" cy="528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B210-827E-45CA-B712-49D7A3A3F7F8}">
  <dimension ref="A1:W123"/>
  <sheetViews>
    <sheetView tabSelected="1" workbookViewId="0">
      <selection activeCell="X7" sqref="X7"/>
    </sheetView>
  </sheetViews>
  <sheetFormatPr defaultRowHeight="14.5" x14ac:dyDescent="0.35"/>
  <cols>
    <col min="1" max="1" width="4.1796875" customWidth="1"/>
    <col min="5" max="5" width="26" customWidth="1"/>
    <col min="10" max="10" width="10.36328125" customWidth="1"/>
    <col min="11" max="11" width="17.36328125" customWidth="1"/>
    <col min="12" max="12" width="7.08984375" bestFit="1" customWidth="1"/>
    <col min="13" max="13" width="10.453125" customWidth="1"/>
    <col min="14" max="14" width="16.1796875" customWidth="1"/>
    <col min="23" max="23" width="14.453125" customWidth="1"/>
    <col min="24" max="16384" width="8.7265625" style="7"/>
  </cols>
  <sheetData>
    <row r="1" spans="1:23" s="9" customFormat="1" ht="32.5" customHeight="1" x14ac:dyDescent="0.55000000000000004">
      <c r="A1" s="5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35">
      <c r="A2" s="7"/>
      <c r="B2" s="8"/>
      <c r="C2" s="7"/>
      <c r="D2" s="7"/>
      <c r="E2" s="7"/>
      <c r="F2" s="7"/>
      <c r="G2" s="7"/>
      <c r="H2" s="7"/>
      <c r="I2" s="8"/>
      <c r="J2" s="7"/>
      <c r="K2" s="7"/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5">
      <c r="A3" s="7"/>
      <c r="B3" s="8"/>
      <c r="C3" s="7"/>
      <c r="D3" s="7"/>
      <c r="E3" s="7"/>
      <c r="F3" s="7"/>
      <c r="G3" s="7"/>
      <c r="H3" s="7"/>
      <c r="I3" s="8"/>
      <c r="J3" s="7"/>
      <c r="K3" s="7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5">
      <c r="A4" s="7"/>
      <c r="B4" s="8"/>
      <c r="C4" s="7"/>
      <c r="D4" s="7"/>
      <c r="E4" s="7"/>
      <c r="F4" s="7"/>
      <c r="G4" s="7"/>
      <c r="H4" s="7"/>
      <c r="I4" s="8"/>
      <c r="J4" s="7"/>
      <c r="K4" s="7"/>
      <c r="L4" s="8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35">
      <c r="A5" s="7"/>
      <c r="B5" s="8"/>
      <c r="C5" s="7"/>
      <c r="D5" s="7"/>
      <c r="E5" s="7"/>
      <c r="F5" s="7"/>
      <c r="G5" s="7"/>
      <c r="H5" s="7"/>
      <c r="I5" s="8"/>
      <c r="J5" s="7"/>
      <c r="K5" s="7"/>
      <c r="L5" s="8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35">
      <c r="A6" s="7"/>
      <c r="B6" s="8"/>
      <c r="C6" s="7"/>
      <c r="D6" s="7"/>
      <c r="E6" s="7"/>
      <c r="F6" s="7"/>
      <c r="G6" s="7"/>
      <c r="H6" s="7"/>
      <c r="I6" s="8"/>
      <c r="J6" s="7"/>
      <c r="K6" s="7"/>
      <c r="L6" s="8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37.5" customHeight="1" thickBot="1" x14ac:dyDescent="0.4">
      <c r="A7" s="7"/>
      <c r="B7" s="8"/>
      <c r="C7" s="7"/>
      <c r="D7" s="7"/>
      <c r="E7" s="7"/>
      <c r="F7" s="7"/>
      <c r="G7" s="7"/>
      <c r="H7" s="7"/>
      <c r="I7" s="8"/>
      <c r="J7" s="7"/>
      <c r="K7" s="7"/>
      <c r="L7" s="8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6" x14ac:dyDescent="0.4">
      <c r="A8" s="10"/>
      <c r="B8" s="24" t="s">
        <v>4</v>
      </c>
      <c r="C8" s="11"/>
      <c r="D8" s="11"/>
      <c r="E8" s="12"/>
      <c r="I8" s="1" t="s">
        <v>4</v>
      </c>
      <c r="L8" s="1" t="s">
        <v>5</v>
      </c>
    </row>
    <row r="9" spans="1:23" x14ac:dyDescent="0.35">
      <c r="A9" s="13"/>
      <c r="B9" s="14"/>
      <c r="E9" s="15"/>
      <c r="F9" t="s">
        <v>15</v>
      </c>
      <c r="G9" t="s">
        <v>6</v>
      </c>
      <c r="I9" t="s">
        <v>7</v>
      </c>
      <c r="J9" t="s">
        <v>8</v>
      </c>
      <c r="K9" t="s">
        <v>9</v>
      </c>
      <c r="L9" t="s">
        <v>7</v>
      </c>
      <c r="M9" t="s">
        <v>8</v>
      </c>
      <c r="N9" t="s">
        <v>9</v>
      </c>
      <c r="O9" t="s">
        <v>10</v>
      </c>
    </row>
    <row r="10" spans="1:23" x14ac:dyDescent="0.35">
      <c r="A10" s="13"/>
      <c r="B10" s="26" t="s">
        <v>0</v>
      </c>
      <c r="E10" s="15"/>
      <c r="F10">
        <v>1</v>
      </c>
      <c r="G10">
        <v>100</v>
      </c>
      <c r="H10" s="2">
        <v>0.05</v>
      </c>
      <c r="I10">
        <f>H10*G10</f>
        <v>5</v>
      </c>
      <c r="J10">
        <f>I10</f>
        <v>5</v>
      </c>
      <c r="K10">
        <f>G10+J10</f>
        <v>105</v>
      </c>
      <c r="L10">
        <f>I10</f>
        <v>5</v>
      </c>
      <c r="M10">
        <f>J10</f>
        <v>5</v>
      </c>
      <c r="N10">
        <f>G10+M10</f>
        <v>105</v>
      </c>
      <c r="O10">
        <f>M10-J10</f>
        <v>0</v>
      </c>
    </row>
    <row r="11" spans="1:23" x14ac:dyDescent="0.35">
      <c r="A11" s="13"/>
      <c r="B11" t="s">
        <v>1</v>
      </c>
      <c r="E11" s="15"/>
      <c r="F11">
        <v>2</v>
      </c>
      <c r="G11">
        <v>100</v>
      </c>
      <c r="H11" s="2">
        <v>0.05</v>
      </c>
      <c r="I11">
        <f t="shared" ref="I11:I19" si="0">H11*G11</f>
        <v>5</v>
      </c>
      <c r="J11">
        <f>I11+J10</f>
        <v>10</v>
      </c>
      <c r="K11">
        <f t="shared" ref="K11:K19" si="1">G11+J11</f>
        <v>110</v>
      </c>
      <c r="L11">
        <f>H11*K10</f>
        <v>5.25</v>
      </c>
      <c r="M11">
        <f>L11+M10</f>
        <v>10.25</v>
      </c>
      <c r="N11">
        <f t="shared" ref="N11:N19" si="2">G11+M11</f>
        <v>110.25</v>
      </c>
      <c r="O11">
        <f t="shared" ref="O11:O19" si="3">M11-J11</f>
        <v>0.25</v>
      </c>
    </row>
    <row r="12" spans="1:23" x14ac:dyDescent="0.35">
      <c r="A12" s="13"/>
      <c r="B12" t="s">
        <v>2</v>
      </c>
      <c r="E12" s="15"/>
      <c r="F12">
        <v>3</v>
      </c>
      <c r="G12">
        <v>100</v>
      </c>
      <c r="H12" s="2">
        <v>0.05</v>
      </c>
      <c r="I12">
        <f t="shared" si="0"/>
        <v>5</v>
      </c>
      <c r="J12">
        <f t="shared" ref="J12:J19" si="4">I12+J11</f>
        <v>15</v>
      </c>
      <c r="K12" s="3">
        <f t="shared" si="1"/>
        <v>115</v>
      </c>
      <c r="L12">
        <f t="shared" ref="L12:L18" si="5">H12*K11</f>
        <v>5.5</v>
      </c>
      <c r="M12">
        <f t="shared" ref="M12:M19" si="6">L12+M11</f>
        <v>15.75</v>
      </c>
      <c r="N12" s="4">
        <f t="shared" si="2"/>
        <v>115.75</v>
      </c>
      <c r="O12">
        <f t="shared" si="3"/>
        <v>0.75</v>
      </c>
    </row>
    <row r="13" spans="1:23" x14ac:dyDescent="0.35">
      <c r="A13" s="13"/>
      <c r="B13" s="16" t="s">
        <v>3</v>
      </c>
      <c r="C13" s="3"/>
      <c r="D13" s="3"/>
      <c r="E13" s="17"/>
      <c r="F13">
        <v>4</v>
      </c>
      <c r="G13">
        <v>100</v>
      </c>
      <c r="H13" s="2">
        <v>0.05</v>
      </c>
      <c r="I13">
        <f t="shared" si="0"/>
        <v>5</v>
      </c>
      <c r="J13">
        <f t="shared" si="4"/>
        <v>20</v>
      </c>
      <c r="K13">
        <f t="shared" si="1"/>
        <v>120</v>
      </c>
      <c r="L13">
        <f t="shared" si="5"/>
        <v>5.75</v>
      </c>
      <c r="M13">
        <f t="shared" si="6"/>
        <v>21.5</v>
      </c>
      <c r="N13">
        <f t="shared" si="2"/>
        <v>121.5</v>
      </c>
      <c r="O13">
        <f t="shared" si="3"/>
        <v>1.5</v>
      </c>
    </row>
    <row r="14" spans="1:23" x14ac:dyDescent="0.35">
      <c r="A14" s="13"/>
      <c r="E14" s="15"/>
      <c r="F14">
        <v>5</v>
      </c>
      <c r="G14">
        <v>100</v>
      </c>
      <c r="H14" s="2">
        <v>0.05</v>
      </c>
      <c r="I14">
        <f t="shared" si="0"/>
        <v>5</v>
      </c>
      <c r="J14">
        <f t="shared" si="4"/>
        <v>25</v>
      </c>
      <c r="K14">
        <f t="shared" si="1"/>
        <v>125</v>
      </c>
      <c r="L14">
        <f t="shared" si="5"/>
        <v>6</v>
      </c>
      <c r="M14">
        <f t="shared" si="6"/>
        <v>27.5</v>
      </c>
      <c r="N14">
        <f t="shared" si="2"/>
        <v>127.5</v>
      </c>
      <c r="O14">
        <f t="shared" si="3"/>
        <v>2.5</v>
      </c>
    </row>
    <row r="15" spans="1:23" ht="16" x14ac:dyDescent="0.4">
      <c r="A15" s="13"/>
      <c r="B15" s="25" t="s">
        <v>5</v>
      </c>
      <c r="E15" s="15"/>
      <c r="F15">
        <v>6</v>
      </c>
      <c r="G15">
        <v>100</v>
      </c>
      <c r="H15" s="2">
        <v>0.05</v>
      </c>
      <c r="I15">
        <f t="shared" si="0"/>
        <v>5</v>
      </c>
      <c r="J15">
        <f t="shared" si="4"/>
        <v>30</v>
      </c>
      <c r="K15">
        <f t="shared" si="1"/>
        <v>130</v>
      </c>
      <c r="L15">
        <f t="shared" si="5"/>
        <v>6.25</v>
      </c>
      <c r="M15">
        <f t="shared" si="6"/>
        <v>33.75</v>
      </c>
      <c r="N15">
        <f t="shared" si="2"/>
        <v>133.75</v>
      </c>
      <c r="O15">
        <f t="shared" si="3"/>
        <v>3.75</v>
      </c>
    </row>
    <row r="16" spans="1:23" x14ac:dyDescent="0.35">
      <c r="A16" s="13"/>
      <c r="B16" s="14"/>
      <c r="E16" s="15"/>
      <c r="F16">
        <v>7</v>
      </c>
      <c r="G16">
        <v>100</v>
      </c>
      <c r="H16" s="2">
        <v>0.05</v>
      </c>
      <c r="I16">
        <f t="shared" si="0"/>
        <v>5</v>
      </c>
      <c r="J16">
        <f t="shared" si="4"/>
        <v>35</v>
      </c>
      <c r="K16">
        <f t="shared" si="1"/>
        <v>135</v>
      </c>
      <c r="L16">
        <f t="shared" si="5"/>
        <v>6.5</v>
      </c>
      <c r="M16">
        <f t="shared" si="6"/>
        <v>40.25</v>
      </c>
      <c r="N16">
        <f t="shared" si="2"/>
        <v>140.25</v>
      </c>
      <c r="O16">
        <f t="shared" si="3"/>
        <v>5.25</v>
      </c>
    </row>
    <row r="17" spans="1:15" x14ac:dyDescent="0.35">
      <c r="A17" s="13"/>
      <c r="B17" s="27" t="s">
        <v>11</v>
      </c>
      <c r="E17" s="15"/>
      <c r="F17">
        <v>8</v>
      </c>
      <c r="G17">
        <v>100</v>
      </c>
      <c r="H17" s="2">
        <v>0.05</v>
      </c>
      <c r="I17">
        <f t="shared" si="0"/>
        <v>5</v>
      </c>
      <c r="J17">
        <f t="shared" si="4"/>
        <v>40</v>
      </c>
      <c r="K17">
        <f t="shared" si="1"/>
        <v>140</v>
      </c>
      <c r="L17">
        <f t="shared" si="5"/>
        <v>6.75</v>
      </c>
      <c r="M17">
        <f t="shared" si="6"/>
        <v>47</v>
      </c>
      <c r="N17">
        <f t="shared" si="2"/>
        <v>147</v>
      </c>
      <c r="O17">
        <f t="shared" si="3"/>
        <v>7</v>
      </c>
    </row>
    <row r="18" spans="1:15" x14ac:dyDescent="0.35">
      <c r="A18" s="13"/>
      <c r="B18" s="14" t="s">
        <v>12</v>
      </c>
      <c r="E18" s="15"/>
      <c r="F18">
        <v>9</v>
      </c>
      <c r="G18">
        <v>100</v>
      </c>
      <c r="H18" s="2">
        <v>0.05</v>
      </c>
      <c r="I18">
        <f t="shared" si="0"/>
        <v>5</v>
      </c>
      <c r="J18">
        <f t="shared" si="4"/>
        <v>45</v>
      </c>
      <c r="K18">
        <f t="shared" si="1"/>
        <v>145</v>
      </c>
      <c r="L18">
        <f t="shared" si="5"/>
        <v>7</v>
      </c>
      <c r="M18">
        <f t="shared" si="6"/>
        <v>54</v>
      </c>
      <c r="N18">
        <f t="shared" si="2"/>
        <v>154</v>
      </c>
      <c r="O18">
        <f t="shared" si="3"/>
        <v>9</v>
      </c>
    </row>
    <row r="19" spans="1:15" x14ac:dyDescent="0.35">
      <c r="A19" s="13"/>
      <c r="B19" s="18" t="s">
        <v>14</v>
      </c>
      <c r="C19" s="4"/>
      <c r="D19" s="4"/>
      <c r="E19" s="19"/>
      <c r="F19">
        <v>10</v>
      </c>
      <c r="G19">
        <v>100</v>
      </c>
      <c r="H19" s="2">
        <v>0.05</v>
      </c>
      <c r="I19">
        <f t="shared" si="0"/>
        <v>5</v>
      </c>
      <c r="J19">
        <f t="shared" si="4"/>
        <v>50</v>
      </c>
      <c r="K19">
        <f t="shared" si="1"/>
        <v>150</v>
      </c>
      <c r="L19">
        <f>H19*K18</f>
        <v>7.25</v>
      </c>
      <c r="M19">
        <f t="shared" si="6"/>
        <v>61.25</v>
      </c>
      <c r="N19">
        <f t="shared" si="2"/>
        <v>161.25</v>
      </c>
      <c r="O19">
        <f t="shared" si="3"/>
        <v>11.25</v>
      </c>
    </row>
    <row r="20" spans="1:15" ht="15" x14ac:dyDescent="0.35">
      <c r="A20" s="13"/>
      <c r="B20" s="20" t="s">
        <v>13</v>
      </c>
      <c r="E20" s="15"/>
      <c r="F20">
        <v>11</v>
      </c>
      <c r="G20">
        <v>100</v>
      </c>
      <c r="H20" s="2">
        <v>0.05</v>
      </c>
      <c r="I20">
        <f t="shared" ref="I20:I83" si="7">H20*G20</f>
        <v>5</v>
      </c>
      <c r="J20">
        <f t="shared" ref="J20:J83" si="8">I20+J19</f>
        <v>55</v>
      </c>
      <c r="K20">
        <f t="shared" ref="K20:K83" si="9">G20+J20</f>
        <v>155</v>
      </c>
      <c r="L20">
        <f t="shared" ref="L20:L83" si="10">H20*K19</f>
        <v>7.5</v>
      </c>
      <c r="M20">
        <f t="shared" ref="M20:M83" si="11">L20+M19</f>
        <v>68.75</v>
      </c>
      <c r="N20">
        <f t="shared" ref="N20:N83" si="12">G20+M20</f>
        <v>168.75</v>
      </c>
      <c r="O20">
        <f t="shared" ref="O20:O83" si="13">M20-J20</f>
        <v>13.75</v>
      </c>
    </row>
    <row r="21" spans="1:15" ht="15" thickBot="1" x14ac:dyDescent="0.4">
      <c r="A21" s="21"/>
      <c r="B21" s="22"/>
      <c r="C21" s="22"/>
      <c r="D21" s="22"/>
      <c r="E21" s="23"/>
      <c r="F21">
        <v>12</v>
      </c>
      <c r="G21">
        <v>100</v>
      </c>
      <c r="H21" s="2">
        <v>0.05</v>
      </c>
      <c r="I21">
        <f t="shared" si="7"/>
        <v>5</v>
      </c>
      <c r="J21">
        <f t="shared" si="8"/>
        <v>60</v>
      </c>
      <c r="K21">
        <f t="shared" si="9"/>
        <v>160</v>
      </c>
      <c r="L21">
        <f t="shared" si="10"/>
        <v>7.75</v>
      </c>
      <c r="M21">
        <f t="shared" si="11"/>
        <v>76.5</v>
      </c>
      <c r="N21">
        <f t="shared" si="12"/>
        <v>176.5</v>
      </c>
      <c r="O21">
        <f t="shared" si="13"/>
        <v>16.5</v>
      </c>
    </row>
    <row r="22" spans="1:15" x14ac:dyDescent="0.35">
      <c r="F22">
        <v>13</v>
      </c>
      <c r="G22">
        <v>100</v>
      </c>
      <c r="H22" s="2">
        <v>0.05</v>
      </c>
      <c r="I22">
        <f t="shared" si="7"/>
        <v>5</v>
      </c>
      <c r="J22">
        <f t="shared" si="8"/>
        <v>65</v>
      </c>
      <c r="K22">
        <f t="shared" si="9"/>
        <v>165</v>
      </c>
      <c r="L22">
        <f t="shared" si="10"/>
        <v>8</v>
      </c>
      <c r="M22">
        <f t="shared" si="11"/>
        <v>84.5</v>
      </c>
      <c r="N22">
        <f t="shared" si="12"/>
        <v>184.5</v>
      </c>
      <c r="O22">
        <f t="shared" si="13"/>
        <v>19.5</v>
      </c>
    </row>
    <row r="23" spans="1:15" x14ac:dyDescent="0.35">
      <c r="F23">
        <v>14</v>
      </c>
      <c r="G23">
        <v>100</v>
      </c>
      <c r="H23" s="2">
        <v>0.05</v>
      </c>
      <c r="I23">
        <f t="shared" si="7"/>
        <v>5</v>
      </c>
      <c r="J23">
        <f t="shared" si="8"/>
        <v>70</v>
      </c>
      <c r="K23">
        <f t="shared" si="9"/>
        <v>170</v>
      </c>
      <c r="L23">
        <f t="shared" si="10"/>
        <v>8.25</v>
      </c>
      <c r="M23">
        <f t="shared" si="11"/>
        <v>92.75</v>
      </c>
      <c r="N23">
        <f t="shared" si="12"/>
        <v>192.75</v>
      </c>
      <c r="O23">
        <f t="shared" si="13"/>
        <v>22.75</v>
      </c>
    </row>
    <row r="24" spans="1:15" x14ac:dyDescent="0.35">
      <c r="F24">
        <v>15</v>
      </c>
      <c r="G24">
        <v>100</v>
      </c>
      <c r="H24" s="2">
        <v>0.05</v>
      </c>
      <c r="I24">
        <f t="shared" si="7"/>
        <v>5</v>
      </c>
      <c r="J24">
        <f t="shared" si="8"/>
        <v>75</v>
      </c>
      <c r="K24">
        <f t="shared" si="9"/>
        <v>175</v>
      </c>
      <c r="L24">
        <f t="shared" si="10"/>
        <v>8.5</v>
      </c>
      <c r="M24">
        <f t="shared" si="11"/>
        <v>101.25</v>
      </c>
      <c r="N24">
        <f t="shared" si="12"/>
        <v>201.25</v>
      </c>
      <c r="O24">
        <f t="shared" si="13"/>
        <v>26.25</v>
      </c>
    </row>
    <row r="25" spans="1:15" x14ac:dyDescent="0.35">
      <c r="F25">
        <v>16</v>
      </c>
      <c r="G25">
        <v>100</v>
      </c>
      <c r="H25" s="2">
        <v>0.05</v>
      </c>
      <c r="I25">
        <f t="shared" si="7"/>
        <v>5</v>
      </c>
      <c r="J25">
        <f t="shared" si="8"/>
        <v>80</v>
      </c>
      <c r="K25">
        <f t="shared" si="9"/>
        <v>180</v>
      </c>
      <c r="L25">
        <f t="shared" si="10"/>
        <v>8.75</v>
      </c>
      <c r="M25">
        <f t="shared" si="11"/>
        <v>110</v>
      </c>
      <c r="N25">
        <f t="shared" si="12"/>
        <v>210</v>
      </c>
      <c r="O25">
        <f t="shared" si="13"/>
        <v>30</v>
      </c>
    </row>
    <row r="26" spans="1:15" x14ac:dyDescent="0.35">
      <c r="F26">
        <v>17</v>
      </c>
      <c r="G26">
        <v>100</v>
      </c>
      <c r="H26" s="2">
        <v>0.05</v>
      </c>
      <c r="I26">
        <f t="shared" si="7"/>
        <v>5</v>
      </c>
      <c r="J26">
        <f t="shared" si="8"/>
        <v>85</v>
      </c>
      <c r="K26">
        <f t="shared" si="9"/>
        <v>185</v>
      </c>
      <c r="L26">
        <f t="shared" si="10"/>
        <v>9</v>
      </c>
      <c r="M26">
        <f t="shared" si="11"/>
        <v>119</v>
      </c>
      <c r="N26">
        <f t="shared" si="12"/>
        <v>219</v>
      </c>
      <c r="O26">
        <f t="shared" si="13"/>
        <v>34</v>
      </c>
    </row>
    <row r="27" spans="1:15" x14ac:dyDescent="0.35">
      <c r="F27">
        <v>18</v>
      </c>
      <c r="G27">
        <v>100</v>
      </c>
      <c r="H27" s="2">
        <v>0.05</v>
      </c>
      <c r="I27">
        <f t="shared" si="7"/>
        <v>5</v>
      </c>
      <c r="J27">
        <f t="shared" si="8"/>
        <v>90</v>
      </c>
      <c r="K27">
        <f t="shared" si="9"/>
        <v>190</v>
      </c>
      <c r="L27">
        <f t="shared" si="10"/>
        <v>9.25</v>
      </c>
      <c r="M27">
        <f t="shared" si="11"/>
        <v>128.25</v>
      </c>
      <c r="N27">
        <f t="shared" si="12"/>
        <v>228.25</v>
      </c>
      <c r="O27">
        <f t="shared" si="13"/>
        <v>38.25</v>
      </c>
    </row>
    <row r="28" spans="1:15" x14ac:dyDescent="0.35">
      <c r="F28">
        <v>19</v>
      </c>
      <c r="G28">
        <v>100</v>
      </c>
      <c r="H28" s="2">
        <v>0.05</v>
      </c>
      <c r="I28">
        <f t="shared" si="7"/>
        <v>5</v>
      </c>
      <c r="J28">
        <f t="shared" si="8"/>
        <v>95</v>
      </c>
      <c r="K28">
        <f t="shared" si="9"/>
        <v>195</v>
      </c>
      <c r="L28">
        <f t="shared" si="10"/>
        <v>9.5</v>
      </c>
      <c r="M28">
        <f t="shared" si="11"/>
        <v>137.75</v>
      </c>
      <c r="N28">
        <f t="shared" si="12"/>
        <v>237.75</v>
      </c>
      <c r="O28">
        <f t="shared" si="13"/>
        <v>42.75</v>
      </c>
    </row>
    <row r="29" spans="1:15" x14ac:dyDescent="0.35">
      <c r="F29">
        <v>20</v>
      </c>
      <c r="G29">
        <v>100</v>
      </c>
      <c r="H29" s="2">
        <v>0.05</v>
      </c>
      <c r="I29">
        <f t="shared" si="7"/>
        <v>5</v>
      </c>
      <c r="J29">
        <f t="shared" si="8"/>
        <v>100</v>
      </c>
      <c r="K29">
        <f t="shared" si="9"/>
        <v>200</v>
      </c>
      <c r="L29">
        <f t="shared" si="10"/>
        <v>9.75</v>
      </c>
      <c r="M29">
        <f t="shared" si="11"/>
        <v>147.5</v>
      </c>
      <c r="N29">
        <f t="shared" si="12"/>
        <v>247.5</v>
      </c>
      <c r="O29">
        <f t="shared" si="13"/>
        <v>47.5</v>
      </c>
    </row>
    <row r="30" spans="1:15" x14ac:dyDescent="0.35">
      <c r="F30">
        <v>21</v>
      </c>
      <c r="G30">
        <v>100</v>
      </c>
      <c r="H30" s="2">
        <v>0.05</v>
      </c>
      <c r="I30">
        <f t="shared" si="7"/>
        <v>5</v>
      </c>
      <c r="J30">
        <f t="shared" si="8"/>
        <v>105</v>
      </c>
      <c r="K30">
        <f t="shared" si="9"/>
        <v>205</v>
      </c>
      <c r="L30">
        <f t="shared" si="10"/>
        <v>10</v>
      </c>
      <c r="M30">
        <f t="shared" si="11"/>
        <v>157.5</v>
      </c>
      <c r="N30">
        <f t="shared" si="12"/>
        <v>257.5</v>
      </c>
      <c r="O30">
        <f t="shared" si="13"/>
        <v>52.5</v>
      </c>
    </row>
    <row r="31" spans="1:15" x14ac:dyDescent="0.35">
      <c r="F31">
        <v>22</v>
      </c>
      <c r="G31">
        <v>100</v>
      </c>
      <c r="H31" s="2">
        <v>0.05</v>
      </c>
      <c r="I31">
        <f t="shared" si="7"/>
        <v>5</v>
      </c>
      <c r="J31">
        <f t="shared" si="8"/>
        <v>110</v>
      </c>
      <c r="K31">
        <f t="shared" si="9"/>
        <v>210</v>
      </c>
      <c r="L31">
        <f t="shared" si="10"/>
        <v>10.25</v>
      </c>
      <c r="M31">
        <f t="shared" si="11"/>
        <v>167.75</v>
      </c>
      <c r="N31">
        <f t="shared" si="12"/>
        <v>267.75</v>
      </c>
      <c r="O31">
        <f t="shared" si="13"/>
        <v>57.75</v>
      </c>
    </row>
    <row r="32" spans="1:15" x14ac:dyDescent="0.35">
      <c r="F32">
        <v>23</v>
      </c>
      <c r="G32">
        <v>100</v>
      </c>
      <c r="H32" s="2">
        <v>0.05</v>
      </c>
      <c r="I32">
        <f t="shared" si="7"/>
        <v>5</v>
      </c>
      <c r="J32">
        <f t="shared" si="8"/>
        <v>115</v>
      </c>
      <c r="K32">
        <f t="shared" si="9"/>
        <v>215</v>
      </c>
      <c r="L32">
        <f t="shared" si="10"/>
        <v>10.5</v>
      </c>
      <c r="M32">
        <f t="shared" si="11"/>
        <v>178.25</v>
      </c>
      <c r="N32">
        <f t="shared" si="12"/>
        <v>278.25</v>
      </c>
      <c r="O32">
        <f t="shared" si="13"/>
        <v>63.25</v>
      </c>
    </row>
    <row r="33" spans="6:15" x14ac:dyDescent="0.35">
      <c r="F33">
        <v>24</v>
      </c>
      <c r="G33">
        <v>100</v>
      </c>
      <c r="H33" s="2">
        <v>0.05</v>
      </c>
      <c r="I33">
        <f t="shared" si="7"/>
        <v>5</v>
      </c>
      <c r="J33">
        <f t="shared" si="8"/>
        <v>120</v>
      </c>
      <c r="K33">
        <f t="shared" si="9"/>
        <v>220</v>
      </c>
      <c r="L33">
        <f t="shared" si="10"/>
        <v>10.75</v>
      </c>
      <c r="M33">
        <f t="shared" si="11"/>
        <v>189</v>
      </c>
      <c r="N33">
        <f t="shared" si="12"/>
        <v>289</v>
      </c>
      <c r="O33">
        <f t="shared" si="13"/>
        <v>69</v>
      </c>
    </row>
    <row r="34" spans="6:15" x14ac:dyDescent="0.35">
      <c r="F34">
        <v>25</v>
      </c>
      <c r="G34">
        <v>100</v>
      </c>
      <c r="H34" s="2">
        <v>0.05</v>
      </c>
      <c r="I34">
        <f t="shared" si="7"/>
        <v>5</v>
      </c>
      <c r="J34">
        <f t="shared" si="8"/>
        <v>125</v>
      </c>
      <c r="K34">
        <f t="shared" si="9"/>
        <v>225</v>
      </c>
      <c r="L34">
        <f t="shared" si="10"/>
        <v>11</v>
      </c>
      <c r="M34">
        <f t="shared" si="11"/>
        <v>200</v>
      </c>
      <c r="N34">
        <f t="shared" si="12"/>
        <v>300</v>
      </c>
      <c r="O34">
        <f t="shared" si="13"/>
        <v>75</v>
      </c>
    </row>
    <row r="35" spans="6:15" x14ac:dyDescent="0.35">
      <c r="F35">
        <v>26</v>
      </c>
      <c r="G35">
        <v>100</v>
      </c>
      <c r="H35" s="2">
        <v>0.05</v>
      </c>
      <c r="I35">
        <f t="shared" si="7"/>
        <v>5</v>
      </c>
      <c r="J35">
        <f t="shared" si="8"/>
        <v>130</v>
      </c>
      <c r="K35">
        <f t="shared" si="9"/>
        <v>230</v>
      </c>
      <c r="L35">
        <f t="shared" si="10"/>
        <v>11.25</v>
      </c>
      <c r="M35">
        <f t="shared" si="11"/>
        <v>211.25</v>
      </c>
      <c r="N35">
        <f t="shared" si="12"/>
        <v>311.25</v>
      </c>
      <c r="O35">
        <f t="shared" si="13"/>
        <v>81.25</v>
      </c>
    </row>
    <row r="36" spans="6:15" x14ac:dyDescent="0.35">
      <c r="F36">
        <v>27</v>
      </c>
      <c r="G36">
        <v>100</v>
      </c>
      <c r="H36" s="2">
        <v>0.05</v>
      </c>
      <c r="I36">
        <f t="shared" si="7"/>
        <v>5</v>
      </c>
      <c r="J36">
        <f t="shared" si="8"/>
        <v>135</v>
      </c>
      <c r="K36">
        <f t="shared" si="9"/>
        <v>235</v>
      </c>
      <c r="L36">
        <f t="shared" si="10"/>
        <v>11.5</v>
      </c>
      <c r="M36">
        <f t="shared" si="11"/>
        <v>222.75</v>
      </c>
      <c r="N36">
        <f t="shared" si="12"/>
        <v>322.75</v>
      </c>
      <c r="O36">
        <f t="shared" si="13"/>
        <v>87.75</v>
      </c>
    </row>
    <row r="37" spans="6:15" x14ac:dyDescent="0.35">
      <c r="F37">
        <v>28</v>
      </c>
      <c r="G37">
        <v>100</v>
      </c>
      <c r="H37" s="2">
        <v>0.05</v>
      </c>
      <c r="I37">
        <f t="shared" si="7"/>
        <v>5</v>
      </c>
      <c r="J37">
        <f t="shared" si="8"/>
        <v>140</v>
      </c>
      <c r="K37">
        <f t="shared" si="9"/>
        <v>240</v>
      </c>
      <c r="L37">
        <f t="shared" si="10"/>
        <v>11.75</v>
      </c>
      <c r="M37">
        <f t="shared" si="11"/>
        <v>234.5</v>
      </c>
      <c r="N37">
        <f t="shared" si="12"/>
        <v>334.5</v>
      </c>
      <c r="O37">
        <f t="shared" si="13"/>
        <v>94.5</v>
      </c>
    </row>
    <row r="38" spans="6:15" x14ac:dyDescent="0.35">
      <c r="F38">
        <v>29</v>
      </c>
      <c r="G38">
        <v>100</v>
      </c>
      <c r="H38" s="2">
        <v>0.05</v>
      </c>
      <c r="I38">
        <f t="shared" si="7"/>
        <v>5</v>
      </c>
      <c r="J38">
        <f t="shared" si="8"/>
        <v>145</v>
      </c>
      <c r="K38">
        <f t="shared" si="9"/>
        <v>245</v>
      </c>
      <c r="L38">
        <f t="shared" si="10"/>
        <v>12</v>
      </c>
      <c r="M38">
        <f t="shared" si="11"/>
        <v>246.5</v>
      </c>
      <c r="N38">
        <f t="shared" si="12"/>
        <v>346.5</v>
      </c>
      <c r="O38">
        <f t="shared" si="13"/>
        <v>101.5</v>
      </c>
    </row>
    <row r="39" spans="6:15" x14ac:dyDescent="0.35">
      <c r="F39">
        <v>30</v>
      </c>
      <c r="G39">
        <v>100</v>
      </c>
      <c r="H39" s="2">
        <v>0.05</v>
      </c>
      <c r="I39">
        <f t="shared" si="7"/>
        <v>5</v>
      </c>
      <c r="J39">
        <f t="shared" si="8"/>
        <v>150</v>
      </c>
      <c r="K39">
        <f t="shared" si="9"/>
        <v>250</v>
      </c>
      <c r="L39">
        <f t="shared" si="10"/>
        <v>12.25</v>
      </c>
      <c r="M39">
        <f t="shared" si="11"/>
        <v>258.75</v>
      </c>
      <c r="N39">
        <f t="shared" si="12"/>
        <v>358.75</v>
      </c>
      <c r="O39">
        <f t="shared" si="13"/>
        <v>108.75</v>
      </c>
    </row>
    <row r="40" spans="6:15" x14ac:dyDescent="0.35">
      <c r="F40">
        <v>31</v>
      </c>
      <c r="G40">
        <v>100</v>
      </c>
      <c r="H40" s="2">
        <v>0.05</v>
      </c>
      <c r="I40">
        <f t="shared" si="7"/>
        <v>5</v>
      </c>
      <c r="J40">
        <f t="shared" si="8"/>
        <v>155</v>
      </c>
      <c r="K40">
        <f t="shared" si="9"/>
        <v>255</v>
      </c>
      <c r="L40">
        <f t="shared" si="10"/>
        <v>12.5</v>
      </c>
      <c r="M40">
        <f t="shared" si="11"/>
        <v>271.25</v>
      </c>
      <c r="N40">
        <f t="shared" si="12"/>
        <v>371.25</v>
      </c>
      <c r="O40">
        <f t="shared" si="13"/>
        <v>116.25</v>
      </c>
    </row>
    <row r="41" spans="6:15" x14ac:dyDescent="0.35">
      <c r="F41">
        <v>32</v>
      </c>
      <c r="G41">
        <v>100</v>
      </c>
      <c r="H41" s="2">
        <v>0.05</v>
      </c>
      <c r="I41">
        <f t="shared" si="7"/>
        <v>5</v>
      </c>
      <c r="J41">
        <f t="shared" si="8"/>
        <v>160</v>
      </c>
      <c r="K41">
        <f t="shared" si="9"/>
        <v>260</v>
      </c>
      <c r="L41">
        <f t="shared" si="10"/>
        <v>12.75</v>
      </c>
      <c r="M41">
        <f t="shared" si="11"/>
        <v>284</v>
      </c>
      <c r="N41">
        <f t="shared" si="12"/>
        <v>384</v>
      </c>
      <c r="O41">
        <f t="shared" si="13"/>
        <v>124</v>
      </c>
    </row>
    <row r="42" spans="6:15" x14ac:dyDescent="0.35">
      <c r="F42">
        <v>33</v>
      </c>
      <c r="G42">
        <v>100</v>
      </c>
      <c r="H42" s="2">
        <v>0.05</v>
      </c>
      <c r="I42">
        <f t="shared" si="7"/>
        <v>5</v>
      </c>
      <c r="J42">
        <f t="shared" si="8"/>
        <v>165</v>
      </c>
      <c r="K42">
        <f t="shared" si="9"/>
        <v>265</v>
      </c>
      <c r="L42">
        <f t="shared" si="10"/>
        <v>13</v>
      </c>
      <c r="M42">
        <f t="shared" si="11"/>
        <v>297</v>
      </c>
      <c r="N42">
        <f t="shared" si="12"/>
        <v>397</v>
      </c>
      <c r="O42">
        <f t="shared" si="13"/>
        <v>132</v>
      </c>
    </row>
    <row r="43" spans="6:15" x14ac:dyDescent="0.35">
      <c r="F43">
        <v>34</v>
      </c>
      <c r="G43">
        <v>100</v>
      </c>
      <c r="H43" s="2">
        <v>0.05</v>
      </c>
      <c r="I43">
        <f t="shared" si="7"/>
        <v>5</v>
      </c>
      <c r="J43">
        <f t="shared" si="8"/>
        <v>170</v>
      </c>
      <c r="K43">
        <f t="shared" si="9"/>
        <v>270</v>
      </c>
      <c r="L43">
        <f t="shared" si="10"/>
        <v>13.25</v>
      </c>
      <c r="M43">
        <f t="shared" si="11"/>
        <v>310.25</v>
      </c>
      <c r="N43">
        <f t="shared" si="12"/>
        <v>410.25</v>
      </c>
      <c r="O43">
        <f t="shared" si="13"/>
        <v>140.25</v>
      </c>
    </row>
    <row r="44" spans="6:15" x14ac:dyDescent="0.35">
      <c r="F44">
        <v>35</v>
      </c>
      <c r="G44">
        <v>100</v>
      </c>
      <c r="H44" s="2">
        <v>0.05</v>
      </c>
      <c r="I44">
        <f t="shared" si="7"/>
        <v>5</v>
      </c>
      <c r="J44">
        <f t="shared" si="8"/>
        <v>175</v>
      </c>
      <c r="K44">
        <f t="shared" si="9"/>
        <v>275</v>
      </c>
      <c r="L44">
        <f t="shared" si="10"/>
        <v>13.5</v>
      </c>
      <c r="M44">
        <f t="shared" si="11"/>
        <v>323.75</v>
      </c>
      <c r="N44">
        <f t="shared" si="12"/>
        <v>423.75</v>
      </c>
      <c r="O44">
        <f t="shared" si="13"/>
        <v>148.75</v>
      </c>
    </row>
    <row r="45" spans="6:15" x14ac:dyDescent="0.35">
      <c r="F45">
        <v>36</v>
      </c>
      <c r="G45">
        <v>100</v>
      </c>
      <c r="H45" s="2">
        <v>0.05</v>
      </c>
      <c r="I45">
        <f t="shared" si="7"/>
        <v>5</v>
      </c>
      <c r="J45">
        <f t="shared" si="8"/>
        <v>180</v>
      </c>
      <c r="K45">
        <f t="shared" si="9"/>
        <v>280</v>
      </c>
      <c r="L45">
        <f t="shared" si="10"/>
        <v>13.75</v>
      </c>
      <c r="M45">
        <f t="shared" si="11"/>
        <v>337.5</v>
      </c>
      <c r="N45">
        <f t="shared" si="12"/>
        <v>437.5</v>
      </c>
      <c r="O45">
        <f t="shared" si="13"/>
        <v>157.5</v>
      </c>
    </row>
    <row r="46" spans="6:15" x14ac:dyDescent="0.35">
      <c r="F46">
        <v>37</v>
      </c>
      <c r="G46">
        <v>100</v>
      </c>
      <c r="H46" s="2">
        <v>0.05</v>
      </c>
      <c r="I46">
        <f t="shared" si="7"/>
        <v>5</v>
      </c>
      <c r="J46">
        <f t="shared" si="8"/>
        <v>185</v>
      </c>
      <c r="K46">
        <f t="shared" si="9"/>
        <v>285</v>
      </c>
      <c r="L46">
        <f t="shared" si="10"/>
        <v>14</v>
      </c>
      <c r="M46">
        <f t="shared" si="11"/>
        <v>351.5</v>
      </c>
      <c r="N46">
        <f t="shared" si="12"/>
        <v>451.5</v>
      </c>
      <c r="O46">
        <f t="shared" si="13"/>
        <v>166.5</v>
      </c>
    </row>
    <row r="47" spans="6:15" x14ac:dyDescent="0.35">
      <c r="F47">
        <v>38</v>
      </c>
      <c r="G47">
        <v>100</v>
      </c>
      <c r="H47" s="2">
        <v>0.05</v>
      </c>
      <c r="I47">
        <f t="shared" si="7"/>
        <v>5</v>
      </c>
      <c r="J47">
        <f t="shared" si="8"/>
        <v>190</v>
      </c>
      <c r="K47">
        <f t="shared" si="9"/>
        <v>290</v>
      </c>
      <c r="L47">
        <f t="shared" si="10"/>
        <v>14.25</v>
      </c>
      <c r="M47">
        <f t="shared" si="11"/>
        <v>365.75</v>
      </c>
      <c r="N47">
        <f t="shared" si="12"/>
        <v>465.75</v>
      </c>
      <c r="O47">
        <f t="shared" si="13"/>
        <v>175.75</v>
      </c>
    </row>
    <row r="48" spans="6:15" x14ac:dyDescent="0.35">
      <c r="F48">
        <v>39</v>
      </c>
      <c r="G48">
        <v>100</v>
      </c>
      <c r="H48" s="2">
        <v>0.05</v>
      </c>
      <c r="I48">
        <f t="shared" si="7"/>
        <v>5</v>
      </c>
      <c r="J48">
        <f t="shared" si="8"/>
        <v>195</v>
      </c>
      <c r="K48">
        <f t="shared" si="9"/>
        <v>295</v>
      </c>
      <c r="L48">
        <f t="shared" si="10"/>
        <v>14.5</v>
      </c>
      <c r="M48">
        <f t="shared" si="11"/>
        <v>380.25</v>
      </c>
      <c r="N48">
        <f t="shared" si="12"/>
        <v>480.25</v>
      </c>
      <c r="O48">
        <f t="shared" si="13"/>
        <v>185.25</v>
      </c>
    </row>
    <row r="49" spans="6:15" x14ac:dyDescent="0.35">
      <c r="F49">
        <v>40</v>
      </c>
      <c r="G49">
        <v>100</v>
      </c>
      <c r="H49" s="2">
        <v>0.05</v>
      </c>
      <c r="I49">
        <f t="shared" si="7"/>
        <v>5</v>
      </c>
      <c r="J49">
        <f t="shared" si="8"/>
        <v>200</v>
      </c>
      <c r="K49">
        <f t="shared" si="9"/>
        <v>300</v>
      </c>
      <c r="L49">
        <f t="shared" si="10"/>
        <v>14.75</v>
      </c>
      <c r="M49">
        <f t="shared" si="11"/>
        <v>395</v>
      </c>
      <c r="N49">
        <f t="shared" si="12"/>
        <v>495</v>
      </c>
      <c r="O49">
        <f t="shared" si="13"/>
        <v>195</v>
      </c>
    </row>
    <row r="50" spans="6:15" x14ac:dyDescent="0.35">
      <c r="F50">
        <v>41</v>
      </c>
      <c r="G50">
        <v>100</v>
      </c>
      <c r="H50" s="2">
        <v>0.05</v>
      </c>
      <c r="I50">
        <f t="shared" si="7"/>
        <v>5</v>
      </c>
      <c r="J50">
        <f t="shared" si="8"/>
        <v>205</v>
      </c>
      <c r="K50">
        <f t="shared" si="9"/>
        <v>305</v>
      </c>
      <c r="L50">
        <f t="shared" si="10"/>
        <v>15</v>
      </c>
      <c r="M50">
        <f t="shared" si="11"/>
        <v>410</v>
      </c>
      <c r="N50">
        <f t="shared" si="12"/>
        <v>510</v>
      </c>
      <c r="O50">
        <f t="shared" si="13"/>
        <v>205</v>
      </c>
    </row>
    <row r="51" spans="6:15" x14ac:dyDescent="0.35">
      <c r="F51">
        <v>42</v>
      </c>
      <c r="G51">
        <v>100</v>
      </c>
      <c r="H51" s="2">
        <v>0.05</v>
      </c>
      <c r="I51">
        <f t="shared" si="7"/>
        <v>5</v>
      </c>
      <c r="J51">
        <f t="shared" si="8"/>
        <v>210</v>
      </c>
      <c r="K51">
        <f t="shared" si="9"/>
        <v>310</v>
      </c>
      <c r="L51">
        <f t="shared" si="10"/>
        <v>15.25</v>
      </c>
      <c r="M51">
        <f t="shared" si="11"/>
        <v>425.25</v>
      </c>
      <c r="N51">
        <f t="shared" si="12"/>
        <v>525.25</v>
      </c>
      <c r="O51">
        <f t="shared" si="13"/>
        <v>215.25</v>
      </c>
    </row>
    <row r="52" spans="6:15" x14ac:dyDescent="0.35">
      <c r="F52">
        <v>43</v>
      </c>
      <c r="G52">
        <v>100</v>
      </c>
      <c r="H52" s="2">
        <v>0.05</v>
      </c>
      <c r="I52">
        <f t="shared" si="7"/>
        <v>5</v>
      </c>
      <c r="J52">
        <f t="shared" si="8"/>
        <v>215</v>
      </c>
      <c r="K52">
        <f t="shared" si="9"/>
        <v>315</v>
      </c>
      <c r="L52">
        <f t="shared" si="10"/>
        <v>15.5</v>
      </c>
      <c r="M52">
        <f t="shared" si="11"/>
        <v>440.75</v>
      </c>
      <c r="N52">
        <f t="shared" si="12"/>
        <v>540.75</v>
      </c>
      <c r="O52">
        <f t="shared" si="13"/>
        <v>225.75</v>
      </c>
    </row>
    <row r="53" spans="6:15" x14ac:dyDescent="0.35">
      <c r="F53">
        <v>44</v>
      </c>
      <c r="G53">
        <v>100</v>
      </c>
      <c r="H53" s="2">
        <v>0.05</v>
      </c>
      <c r="I53">
        <f t="shared" si="7"/>
        <v>5</v>
      </c>
      <c r="J53">
        <f t="shared" si="8"/>
        <v>220</v>
      </c>
      <c r="K53">
        <f t="shared" si="9"/>
        <v>320</v>
      </c>
      <c r="L53">
        <f t="shared" si="10"/>
        <v>15.75</v>
      </c>
      <c r="M53">
        <f t="shared" si="11"/>
        <v>456.5</v>
      </c>
      <c r="N53">
        <f t="shared" si="12"/>
        <v>556.5</v>
      </c>
      <c r="O53">
        <f t="shared" si="13"/>
        <v>236.5</v>
      </c>
    </row>
    <row r="54" spans="6:15" x14ac:dyDescent="0.35">
      <c r="F54">
        <v>45</v>
      </c>
      <c r="G54">
        <v>100</v>
      </c>
      <c r="H54" s="2">
        <v>0.05</v>
      </c>
      <c r="I54">
        <f t="shared" si="7"/>
        <v>5</v>
      </c>
      <c r="J54">
        <f t="shared" si="8"/>
        <v>225</v>
      </c>
      <c r="K54">
        <f t="shared" si="9"/>
        <v>325</v>
      </c>
      <c r="L54">
        <f t="shared" si="10"/>
        <v>16</v>
      </c>
      <c r="M54">
        <f t="shared" si="11"/>
        <v>472.5</v>
      </c>
      <c r="N54">
        <f t="shared" si="12"/>
        <v>572.5</v>
      </c>
      <c r="O54">
        <f t="shared" si="13"/>
        <v>247.5</v>
      </c>
    </row>
    <row r="55" spans="6:15" x14ac:dyDescent="0.35">
      <c r="F55">
        <v>46</v>
      </c>
      <c r="G55">
        <v>100</v>
      </c>
      <c r="H55" s="2">
        <v>0.05</v>
      </c>
      <c r="I55">
        <f t="shared" si="7"/>
        <v>5</v>
      </c>
      <c r="J55">
        <f t="shared" si="8"/>
        <v>230</v>
      </c>
      <c r="K55">
        <f t="shared" si="9"/>
        <v>330</v>
      </c>
      <c r="L55">
        <f t="shared" si="10"/>
        <v>16.25</v>
      </c>
      <c r="M55">
        <f t="shared" si="11"/>
        <v>488.75</v>
      </c>
      <c r="N55">
        <f t="shared" si="12"/>
        <v>588.75</v>
      </c>
      <c r="O55">
        <f t="shared" si="13"/>
        <v>258.75</v>
      </c>
    </row>
    <row r="56" spans="6:15" x14ac:dyDescent="0.35">
      <c r="F56">
        <v>47</v>
      </c>
      <c r="G56">
        <v>100</v>
      </c>
      <c r="H56" s="2">
        <v>0.05</v>
      </c>
      <c r="I56">
        <f t="shared" si="7"/>
        <v>5</v>
      </c>
      <c r="J56">
        <f t="shared" si="8"/>
        <v>235</v>
      </c>
      <c r="K56">
        <f t="shared" si="9"/>
        <v>335</v>
      </c>
      <c r="L56">
        <f t="shared" si="10"/>
        <v>16.5</v>
      </c>
      <c r="M56">
        <f t="shared" si="11"/>
        <v>505.25</v>
      </c>
      <c r="N56">
        <f t="shared" si="12"/>
        <v>605.25</v>
      </c>
      <c r="O56">
        <f t="shared" si="13"/>
        <v>270.25</v>
      </c>
    </row>
    <row r="57" spans="6:15" x14ac:dyDescent="0.35">
      <c r="F57">
        <v>48</v>
      </c>
      <c r="G57">
        <v>100</v>
      </c>
      <c r="H57" s="2">
        <v>0.05</v>
      </c>
      <c r="I57">
        <f t="shared" si="7"/>
        <v>5</v>
      </c>
      <c r="J57">
        <f t="shared" si="8"/>
        <v>240</v>
      </c>
      <c r="K57">
        <f t="shared" si="9"/>
        <v>340</v>
      </c>
      <c r="L57">
        <f t="shared" si="10"/>
        <v>16.75</v>
      </c>
      <c r="M57">
        <f t="shared" si="11"/>
        <v>522</v>
      </c>
      <c r="N57">
        <f t="shared" si="12"/>
        <v>622</v>
      </c>
      <c r="O57">
        <f t="shared" si="13"/>
        <v>282</v>
      </c>
    </row>
    <row r="58" spans="6:15" x14ac:dyDescent="0.35">
      <c r="F58">
        <v>49</v>
      </c>
      <c r="G58">
        <v>100</v>
      </c>
      <c r="H58" s="2">
        <v>0.05</v>
      </c>
      <c r="I58">
        <f t="shared" si="7"/>
        <v>5</v>
      </c>
      <c r="J58">
        <f t="shared" si="8"/>
        <v>245</v>
      </c>
      <c r="K58">
        <f t="shared" si="9"/>
        <v>345</v>
      </c>
      <c r="L58">
        <f t="shared" si="10"/>
        <v>17</v>
      </c>
      <c r="M58">
        <f t="shared" si="11"/>
        <v>539</v>
      </c>
      <c r="N58">
        <f t="shared" si="12"/>
        <v>639</v>
      </c>
      <c r="O58">
        <f t="shared" si="13"/>
        <v>294</v>
      </c>
    </row>
    <row r="59" spans="6:15" x14ac:dyDescent="0.35">
      <c r="F59">
        <v>50</v>
      </c>
      <c r="G59">
        <v>100</v>
      </c>
      <c r="H59" s="2">
        <v>0.05</v>
      </c>
      <c r="I59">
        <f t="shared" si="7"/>
        <v>5</v>
      </c>
      <c r="J59">
        <f t="shared" si="8"/>
        <v>250</v>
      </c>
      <c r="K59">
        <f t="shared" si="9"/>
        <v>350</v>
      </c>
      <c r="L59">
        <f t="shared" si="10"/>
        <v>17.25</v>
      </c>
      <c r="M59">
        <f t="shared" si="11"/>
        <v>556.25</v>
      </c>
      <c r="N59">
        <f t="shared" si="12"/>
        <v>656.25</v>
      </c>
      <c r="O59">
        <f t="shared" si="13"/>
        <v>306.25</v>
      </c>
    </row>
    <row r="60" spans="6:15" x14ac:dyDescent="0.35">
      <c r="F60">
        <v>51</v>
      </c>
      <c r="G60">
        <v>100</v>
      </c>
      <c r="H60" s="2">
        <v>0.05</v>
      </c>
      <c r="I60">
        <f t="shared" si="7"/>
        <v>5</v>
      </c>
      <c r="J60">
        <f t="shared" si="8"/>
        <v>255</v>
      </c>
      <c r="K60">
        <f t="shared" si="9"/>
        <v>355</v>
      </c>
      <c r="L60">
        <f t="shared" si="10"/>
        <v>17.5</v>
      </c>
      <c r="M60">
        <f t="shared" si="11"/>
        <v>573.75</v>
      </c>
      <c r="N60">
        <f t="shared" si="12"/>
        <v>673.75</v>
      </c>
      <c r="O60">
        <f t="shared" si="13"/>
        <v>318.75</v>
      </c>
    </row>
    <row r="61" spans="6:15" x14ac:dyDescent="0.35">
      <c r="F61">
        <v>52</v>
      </c>
      <c r="G61">
        <v>100</v>
      </c>
      <c r="H61" s="2">
        <v>0.05</v>
      </c>
      <c r="I61">
        <f t="shared" si="7"/>
        <v>5</v>
      </c>
      <c r="J61">
        <f t="shared" si="8"/>
        <v>260</v>
      </c>
      <c r="K61">
        <f t="shared" si="9"/>
        <v>360</v>
      </c>
      <c r="L61">
        <f t="shared" si="10"/>
        <v>17.75</v>
      </c>
      <c r="M61">
        <f t="shared" si="11"/>
        <v>591.5</v>
      </c>
      <c r="N61">
        <f t="shared" si="12"/>
        <v>691.5</v>
      </c>
      <c r="O61">
        <f t="shared" si="13"/>
        <v>331.5</v>
      </c>
    </row>
    <row r="62" spans="6:15" x14ac:dyDescent="0.35">
      <c r="F62">
        <v>53</v>
      </c>
      <c r="G62">
        <v>100</v>
      </c>
      <c r="H62" s="2">
        <v>0.05</v>
      </c>
      <c r="I62">
        <f t="shared" si="7"/>
        <v>5</v>
      </c>
      <c r="J62">
        <f t="shared" si="8"/>
        <v>265</v>
      </c>
      <c r="K62">
        <f t="shared" si="9"/>
        <v>365</v>
      </c>
      <c r="L62">
        <f t="shared" si="10"/>
        <v>18</v>
      </c>
      <c r="M62">
        <f t="shared" si="11"/>
        <v>609.5</v>
      </c>
      <c r="N62">
        <f t="shared" si="12"/>
        <v>709.5</v>
      </c>
      <c r="O62">
        <f t="shared" si="13"/>
        <v>344.5</v>
      </c>
    </row>
    <row r="63" spans="6:15" x14ac:dyDescent="0.35">
      <c r="F63">
        <v>54</v>
      </c>
      <c r="G63">
        <v>100</v>
      </c>
      <c r="H63" s="2">
        <v>0.05</v>
      </c>
      <c r="I63">
        <f t="shared" si="7"/>
        <v>5</v>
      </c>
      <c r="J63">
        <f t="shared" si="8"/>
        <v>270</v>
      </c>
      <c r="K63">
        <f t="shared" si="9"/>
        <v>370</v>
      </c>
      <c r="L63">
        <f t="shared" si="10"/>
        <v>18.25</v>
      </c>
      <c r="M63">
        <f t="shared" si="11"/>
        <v>627.75</v>
      </c>
      <c r="N63">
        <f t="shared" si="12"/>
        <v>727.75</v>
      </c>
      <c r="O63">
        <f t="shared" si="13"/>
        <v>357.75</v>
      </c>
    </row>
    <row r="64" spans="6:15" x14ac:dyDescent="0.35">
      <c r="F64">
        <v>55</v>
      </c>
      <c r="G64">
        <v>100</v>
      </c>
      <c r="H64" s="2">
        <v>0.05</v>
      </c>
      <c r="I64">
        <f t="shared" si="7"/>
        <v>5</v>
      </c>
      <c r="J64">
        <f t="shared" si="8"/>
        <v>275</v>
      </c>
      <c r="K64">
        <f t="shared" si="9"/>
        <v>375</v>
      </c>
      <c r="L64">
        <f t="shared" si="10"/>
        <v>18.5</v>
      </c>
      <c r="M64">
        <f t="shared" si="11"/>
        <v>646.25</v>
      </c>
      <c r="N64">
        <f t="shared" si="12"/>
        <v>746.25</v>
      </c>
      <c r="O64">
        <f t="shared" si="13"/>
        <v>371.25</v>
      </c>
    </row>
    <row r="65" spans="6:15" x14ac:dyDescent="0.35">
      <c r="F65">
        <v>56</v>
      </c>
      <c r="G65">
        <v>100</v>
      </c>
      <c r="H65" s="2">
        <v>0.05</v>
      </c>
      <c r="I65">
        <f t="shared" si="7"/>
        <v>5</v>
      </c>
      <c r="J65">
        <f t="shared" si="8"/>
        <v>280</v>
      </c>
      <c r="K65">
        <f t="shared" si="9"/>
        <v>380</v>
      </c>
      <c r="L65">
        <f t="shared" si="10"/>
        <v>18.75</v>
      </c>
      <c r="M65">
        <f t="shared" si="11"/>
        <v>665</v>
      </c>
      <c r="N65">
        <f t="shared" si="12"/>
        <v>765</v>
      </c>
      <c r="O65">
        <f t="shared" si="13"/>
        <v>385</v>
      </c>
    </row>
    <row r="66" spans="6:15" x14ac:dyDescent="0.35">
      <c r="F66">
        <v>57</v>
      </c>
      <c r="G66">
        <v>100</v>
      </c>
      <c r="H66" s="2">
        <v>0.05</v>
      </c>
      <c r="I66">
        <f t="shared" si="7"/>
        <v>5</v>
      </c>
      <c r="J66">
        <f t="shared" si="8"/>
        <v>285</v>
      </c>
      <c r="K66">
        <f t="shared" si="9"/>
        <v>385</v>
      </c>
      <c r="L66">
        <f t="shared" si="10"/>
        <v>19</v>
      </c>
      <c r="M66">
        <f t="shared" si="11"/>
        <v>684</v>
      </c>
      <c r="N66">
        <f t="shared" si="12"/>
        <v>784</v>
      </c>
      <c r="O66">
        <f t="shared" si="13"/>
        <v>399</v>
      </c>
    </row>
    <row r="67" spans="6:15" x14ac:dyDescent="0.35">
      <c r="F67">
        <v>58</v>
      </c>
      <c r="G67">
        <v>100</v>
      </c>
      <c r="H67" s="2">
        <v>0.05</v>
      </c>
      <c r="I67">
        <f t="shared" si="7"/>
        <v>5</v>
      </c>
      <c r="J67">
        <f t="shared" si="8"/>
        <v>290</v>
      </c>
      <c r="K67">
        <f t="shared" si="9"/>
        <v>390</v>
      </c>
      <c r="L67">
        <f t="shared" si="10"/>
        <v>19.25</v>
      </c>
      <c r="M67">
        <f t="shared" si="11"/>
        <v>703.25</v>
      </c>
      <c r="N67">
        <f t="shared" si="12"/>
        <v>803.25</v>
      </c>
      <c r="O67">
        <f t="shared" si="13"/>
        <v>413.25</v>
      </c>
    </row>
    <row r="68" spans="6:15" x14ac:dyDescent="0.35">
      <c r="F68">
        <v>59</v>
      </c>
      <c r="G68">
        <v>100</v>
      </c>
      <c r="H68" s="2">
        <v>0.05</v>
      </c>
      <c r="I68">
        <f t="shared" si="7"/>
        <v>5</v>
      </c>
      <c r="J68">
        <f t="shared" si="8"/>
        <v>295</v>
      </c>
      <c r="K68">
        <f t="shared" si="9"/>
        <v>395</v>
      </c>
      <c r="L68">
        <f t="shared" si="10"/>
        <v>19.5</v>
      </c>
      <c r="M68">
        <f t="shared" si="11"/>
        <v>722.75</v>
      </c>
      <c r="N68">
        <f t="shared" si="12"/>
        <v>822.75</v>
      </c>
      <c r="O68">
        <f t="shared" si="13"/>
        <v>427.75</v>
      </c>
    </row>
    <row r="69" spans="6:15" x14ac:dyDescent="0.35">
      <c r="F69">
        <v>60</v>
      </c>
      <c r="G69">
        <v>100</v>
      </c>
      <c r="H69" s="2">
        <v>0.05</v>
      </c>
      <c r="I69">
        <f t="shared" si="7"/>
        <v>5</v>
      </c>
      <c r="J69">
        <f t="shared" si="8"/>
        <v>300</v>
      </c>
      <c r="K69">
        <f t="shared" si="9"/>
        <v>400</v>
      </c>
      <c r="L69">
        <f t="shared" si="10"/>
        <v>19.75</v>
      </c>
      <c r="M69">
        <f t="shared" si="11"/>
        <v>742.5</v>
      </c>
      <c r="N69">
        <f t="shared" si="12"/>
        <v>842.5</v>
      </c>
      <c r="O69">
        <f t="shared" si="13"/>
        <v>442.5</v>
      </c>
    </row>
    <row r="70" spans="6:15" x14ac:dyDescent="0.35">
      <c r="F70">
        <v>61</v>
      </c>
      <c r="G70">
        <v>100</v>
      </c>
      <c r="H70" s="2">
        <v>0.05</v>
      </c>
      <c r="I70">
        <f t="shared" si="7"/>
        <v>5</v>
      </c>
      <c r="J70">
        <f t="shared" si="8"/>
        <v>305</v>
      </c>
      <c r="K70">
        <f t="shared" si="9"/>
        <v>405</v>
      </c>
      <c r="L70">
        <f t="shared" si="10"/>
        <v>20</v>
      </c>
      <c r="M70">
        <f t="shared" si="11"/>
        <v>762.5</v>
      </c>
      <c r="N70">
        <f t="shared" si="12"/>
        <v>862.5</v>
      </c>
      <c r="O70">
        <f t="shared" si="13"/>
        <v>457.5</v>
      </c>
    </row>
    <row r="71" spans="6:15" x14ac:dyDescent="0.35">
      <c r="F71">
        <v>62</v>
      </c>
      <c r="G71">
        <v>100</v>
      </c>
      <c r="H71" s="2">
        <v>0.05</v>
      </c>
      <c r="I71">
        <f t="shared" si="7"/>
        <v>5</v>
      </c>
      <c r="J71">
        <f t="shared" si="8"/>
        <v>310</v>
      </c>
      <c r="K71">
        <f t="shared" si="9"/>
        <v>410</v>
      </c>
      <c r="L71">
        <f t="shared" si="10"/>
        <v>20.25</v>
      </c>
      <c r="M71">
        <f t="shared" si="11"/>
        <v>782.75</v>
      </c>
      <c r="N71">
        <f t="shared" si="12"/>
        <v>882.75</v>
      </c>
      <c r="O71">
        <f t="shared" si="13"/>
        <v>472.75</v>
      </c>
    </row>
    <row r="72" spans="6:15" x14ac:dyDescent="0.35">
      <c r="F72">
        <v>63</v>
      </c>
      <c r="G72">
        <v>100</v>
      </c>
      <c r="H72" s="2">
        <v>0.05</v>
      </c>
      <c r="I72">
        <f t="shared" si="7"/>
        <v>5</v>
      </c>
      <c r="J72">
        <f t="shared" si="8"/>
        <v>315</v>
      </c>
      <c r="K72">
        <f t="shared" si="9"/>
        <v>415</v>
      </c>
      <c r="L72">
        <f t="shared" si="10"/>
        <v>20.5</v>
      </c>
      <c r="M72">
        <f t="shared" si="11"/>
        <v>803.25</v>
      </c>
      <c r="N72">
        <f t="shared" si="12"/>
        <v>903.25</v>
      </c>
      <c r="O72">
        <f t="shared" si="13"/>
        <v>488.25</v>
      </c>
    </row>
    <row r="73" spans="6:15" x14ac:dyDescent="0.35">
      <c r="F73">
        <v>64</v>
      </c>
      <c r="G73">
        <v>100</v>
      </c>
      <c r="H73" s="2">
        <v>0.05</v>
      </c>
      <c r="I73">
        <f t="shared" si="7"/>
        <v>5</v>
      </c>
      <c r="J73">
        <f t="shared" si="8"/>
        <v>320</v>
      </c>
      <c r="K73">
        <f t="shared" si="9"/>
        <v>420</v>
      </c>
      <c r="L73">
        <f t="shared" si="10"/>
        <v>20.75</v>
      </c>
      <c r="M73">
        <f t="shared" si="11"/>
        <v>824</v>
      </c>
      <c r="N73">
        <f t="shared" si="12"/>
        <v>924</v>
      </c>
      <c r="O73">
        <f t="shared" si="13"/>
        <v>504</v>
      </c>
    </row>
    <row r="74" spans="6:15" x14ac:dyDescent="0.35">
      <c r="F74">
        <v>65</v>
      </c>
      <c r="G74">
        <v>100</v>
      </c>
      <c r="H74" s="2">
        <v>0.05</v>
      </c>
      <c r="I74">
        <f t="shared" si="7"/>
        <v>5</v>
      </c>
      <c r="J74">
        <f t="shared" si="8"/>
        <v>325</v>
      </c>
      <c r="K74">
        <f t="shared" si="9"/>
        <v>425</v>
      </c>
      <c r="L74">
        <f t="shared" si="10"/>
        <v>21</v>
      </c>
      <c r="M74">
        <f t="shared" si="11"/>
        <v>845</v>
      </c>
      <c r="N74">
        <f t="shared" si="12"/>
        <v>945</v>
      </c>
      <c r="O74">
        <f t="shared" si="13"/>
        <v>520</v>
      </c>
    </row>
    <row r="75" spans="6:15" x14ac:dyDescent="0.35">
      <c r="F75">
        <v>66</v>
      </c>
      <c r="G75">
        <v>100</v>
      </c>
      <c r="H75" s="2">
        <v>0.05</v>
      </c>
      <c r="I75">
        <f t="shared" si="7"/>
        <v>5</v>
      </c>
      <c r="J75">
        <f t="shared" si="8"/>
        <v>330</v>
      </c>
      <c r="K75">
        <f t="shared" si="9"/>
        <v>430</v>
      </c>
      <c r="L75">
        <f t="shared" si="10"/>
        <v>21.25</v>
      </c>
      <c r="M75">
        <f t="shared" si="11"/>
        <v>866.25</v>
      </c>
      <c r="N75">
        <f t="shared" si="12"/>
        <v>966.25</v>
      </c>
      <c r="O75">
        <f t="shared" si="13"/>
        <v>536.25</v>
      </c>
    </row>
    <row r="76" spans="6:15" x14ac:dyDescent="0.35">
      <c r="F76">
        <v>67</v>
      </c>
      <c r="G76">
        <v>100</v>
      </c>
      <c r="H76" s="2">
        <v>0.05</v>
      </c>
      <c r="I76">
        <f t="shared" si="7"/>
        <v>5</v>
      </c>
      <c r="J76">
        <f t="shared" si="8"/>
        <v>335</v>
      </c>
      <c r="K76">
        <f t="shared" si="9"/>
        <v>435</v>
      </c>
      <c r="L76">
        <f t="shared" si="10"/>
        <v>21.5</v>
      </c>
      <c r="M76">
        <f t="shared" si="11"/>
        <v>887.75</v>
      </c>
      <c r="N76">
        <f t="shared" si="12"/>
        <v>987.75</v>
      </c>
      <c r="O76">
        <f t="shared" si="13"/>
        <v>552.75</v>
      </c>
    </row>
    <row r="77" spans="6:15" x14ac:dyDescent="0.35">
      <c r="F77">
        <v>68</v>
      </c>
      <c r="G77">
        <v>100</v>
      </c>
      <c r="H77" s="2">
        <v>0.05</v>
      </c>
      <c r="I77">
        <f t="shared" si="7"/>
        <v>5</v>
      </c>
      <c r="J77">
        <f t="shared" si="8"/>
        <v>340</v>
      </c>
      <c r="K77">
        <f t="shared" si="9"/>
        <v>440</v>
      </c>
      <c r="L77">
        <f t="shared" si="10"/>
        <v>21.75</v>
      </c>
      <c r="M77">
        <f t="shared" si="11"/>
        <v>909.5</v>
      </c>
      <c r="N77">
        <f t="shared" si="12"/>
        <v>1009.5</v>
      </c>
      <c r="O77">
        <f t="shared" si="13"/>
        <v>569.5</v>
      </c>
    </row>
    <row r="78" spans="6:15" x14ac:dyDescent="0.35">
      <c r="F78">
        <v>69</v>
      </c>
      <c r="G78">
        <v>100</v>
      </c>
      <c r="H78" s="2">
        <v>0.05</v>
      </c>
      <c r="I78">
        <f t="shared" si="7"/>
        <v>5</v>
      </c>
      <c r="J78">
        <f t="shared" si="8"/>
        <v>345</v>
      </c>
      <c r="K78">
        <f t="shared" si="9"/>
        <v>445</v>
      </c>
      <c r="L78">
        <f t="shared" si="10"/>
        <v>22</v>
      </c>
      <c r="M78">
        <f t="shared" si="11"/>
        <v>931.5</v>
      </c>
      <c r="N78">
        <f t="shared" si="12"/>
        <v>1031.5</v>
      </c>
      <c r="O78">
        <f t="shared" si="13"/>
        <v>586.5</v>
      </c>
    </row>
    <row r="79" spans="6:15" x14ac:dyDescent="0.35">
      <c r="F79">
        <v>70</v>
      </c>
      <c r="G79">
        <v>100</v>
      </c>
      <c r="H79" s="2">
        <v>0.05</v>
      </c>
      <c r="I79">
        <f t="shared" si="7"/>
        <v>5</v>
      </c>
      <c r="J79">
        <f t="shared" si="8"/>
        <v>350</v>
      </c>
      <c r="K79">
        <f t="shared" si="9"/>
        <v>450</v>
      </c>
      <c r="L79">
        <f t="shared" si="10"/>
        <v>22.25</v>
      </c>
      <c r="M79">
        <f t="shared" si="11"/>
        <v>953.75</v>
      </c>
      <c r="N79">
        <f t="shared" si="12"/>
        <v>1053.75</v>
      </c>
      <c r="O79">
        <f t="shared" si="13"/>
        <v>603.75</v>
      </c>
    </row>
    <row r="80" spans="6:15" x14ac:dyDescent="0.35">
      <c r="F80">
        <v>71</v>
      </c>
      <c r="G80">
        <v>100</v>
      </c>
      <c r="H80" s="2">
        <v>0.05</v>
      </c>
      <c r="I80">
        <f t="shared" si="7"/>
        <v>5</v>
      </c>
      <c r="J80">
        <f t="shared" si="8"/>
        <v>355</v>
      </c>
      <c r="K80">
        <f t="shared" si="9"/>
        <v>455</v>
      </c>
      <c r="L80">
        <f t="shared" si="10"/>
        <v>22.5</v>
      </c>
      <c r="M80">
        <f t="shared" si="11"/>
        <v>976.25</v>
      </c>
      <c r="N80">
        <f t="shared" si="12"/>
        <v>1076.25</v>
      </c>
      <c r="O80">
        <f t="shared" si="13"/>
        <v>621.25</v>
      </c>
    </row>
    <row r="81" spans="6:15" x14ac:dyDescent="0.35">
      <c r="F81">
        <v>72</v>
      </c>
      <c r="G81">
        <v>100</v>
      </c>
      <c r="H81" s="2">
        <v>0.05</v>
      </c>
      <c r="I81">
        <f t="shared" si="7"/>
        <v>5</v>
      </c>
      <c r="J81">
        <f t="shared" si="8"/>
        <v>360</v>
      </c>
      <c r="K81">
        <f t="shared" si="9"/>
        <v>460</v>
      </c>
      <c r="L81">
        <f t="shared" si="10"/>
        <v>22.75</v>
      </c>
      <c r="M81">
        <f t="shared" si="11"/>
        <v>999</v>
      </c>
      <c r="N81">
        <f t="shared" si="12"/>
        <v>1099</v>
      </c>
      <c r="O81">
        <f t="shared" si="13"/>
        <v>639</v>
      </c>
    </row>
    <row r="82" spans="6:15" x14ac:dyDescent="0.35">
      <c r="F82">
        <v>73</v>
      </c>
      <c r="G82">
        <v>100</v>
      </c>
      <c r="H82" s="2">
        <v>0.05</v>
      </c>
      <c r="I82">
        <f t="shared" si="7"/>
        <v>5</v>
      </c>
      <c r="J82">
        <f t="shared" si="8"/>
        <v>365</v>
      </c>
      <c r="K82">
        <f t="shared" si="9"/>
        <v>465</v>
      </c>
      <c r="L82">
        <f t="shared" si="10"/>
        <v>23</v>
      </c>
      <c r="M82">
        <f t="shared" si="11"/>
        <v>1022</v>
      </c>
      <c r="N82">
        <f t="shared" si="12"/>
        <v>1122</v>
      </c>
      <c r="O82">
        <f t="shared" si="13"/>
        <v>657</v>
      </c>
    </row>
    <row r="83" spans="6:15" x14ac:dyDescent="0.35">
      <c r="F83">
        <v>74</v>
      </c>
      <c r="G83">
        <v>100</v>
      </c>
      <c r="H83" s="2">
        <v>0.05</v>
      </c>
      <c r="I83">
        <f t="shared" si="7"/>
        <v>5</v>
      </c>
      <c r="J83">
        <f t="shared" si="8"/>
        <v>370</v>
      </c>
      <c r="K83">
        <f t="shared" si="9"/>
        <v>470</v>
      </c>
      <c r="L83">
        <f t="shared" si="10"/>
        <v>23.25</v>
      </c>
      <c r="M83">
        <f t="shared" si="11"/>
        <v>1045.25</v>
      </c>
      <c r="N83">
        <f t="shared" si="12"/>
        <v>1145.25</v>
      </c>
      <c r="O83">
        <f t="shared" si="13"/>
        <v>675.25</v>
      </c>
    </row>
    <row r="84" spans="6:15" x14ac:dyDescent="0.35">
      <c r="F84">
        <v>75</v>
      </c>
      <c r="G84">
        <v>100</v>
      </c>
      <c r="H84" s="2">
        <v>0.05</v>
      </c>
      <c r="I84">
        <f t="shared" ref="I84:I123" si="14">H84*G84</f>
        <v>5</v>
      </c>
      <c r="J84">
        <f t="shared" ref="J84:J123" si="15">I84+J83</f>
        <v>375</v>
      </c>
      <c r="K84">
        <f t="shared" ref="K84:K123" si="16">G84+J84</f>
        <v>475</v>
      </c>
      <c r="L84">
        <f t="shared" ref="L84:L123" si="17">H84*K83</f>
        <v>23.5</v>
      </c>
      <c r="M84">
        <f t="shared" ref="M84:M123" si="18">L84+M83</f>
        <v>1068.75</v>
      </c>
      <c r="N84">
        <f t="shared" ref="N84:N123" si="19">G84+M84</f>
        <v>1168.75</v>
      </c>
      <c r="O84">
        <f t="shared" ref="O84:O123" si="20">M84-J84</f>
        <v>693.75</v>
      </c>
    </row>
    <row r="85" spans="6:15" x14ac:dyDescent="0.35">
      <c r="F85">
        <v>76</v>
      </c>
      <c r="G85">
        <v>100</v>
      </c>
      <c r="H85" s="2">
        <v>0.05</v>
      </c>
      <c r="I85">
        <f t="shared" si="14"/>
        <v>5</v>
      </c>
      <c r="J85">
        <f t="shared" si="15"/>
        <v>380</v>
      </c>
      <c r="K85">
        <f t="shared" si="16"/>
        <v>480</v>
      </c>
      <c r="L85">
        <f t="shared" si="17"/>
        <v>23.75</v>
      </c>
      <c r="M85">
        <f t="shared" si="18"/>
        <v>1092.5</v>
      </c>
      <c r="N85">
        <f t="shared" si="19"/>
        <v>1192.5</v>
      </c>
      <c r="O85">
        <f t="shared" si="20"/>
        <v>712.5</v>
      </c>
    </row>
    <row r="86" spans="6:15" x14ac:dyDescent="0.35">
      <c r="F86">
        <v>77</v>
      </c>
      <c r="G86">
        <v>100</v>
      </c>
      <c r="H86" s="2">
        <v>0.05</v>
      </c>
      <c r="I86">
        <f t="shared" si="14"/>
        <v>5</v>
      </c>
      <c r="J86">
        <f t="shared" si="15"/>
        <v>385</v>
      </c>
      <c r="K86">
        <f t="shared" si="16"/>
        <v>485</v>
      </c>
      <c r="L86">
        <f t="shared" si="17"/>
        <v>24</v>
      </c>
      <c r="M86">
        <f t="shared" si="18"/>
        <v>1116.5</v>
      </c>
      <c r="N86">
        <f t="shared" si="19"/>
        <v>1216.5</v>
      </c>
      <c r="O86">
        <f t="shared" si="20"/>
        <v>731.5</v>
      </c>
    </row>
    <row r="87" spans="6:15" x14ac:dyDescent="0.35">
      <c r="F87">
        <v>78</v>
      </c>
      <c r="G87">
        <v>100</v>
      </c>
      <c r="H87" s="2">
        <v>0.05</v>
      </c>
      <c r="I87">
        <f t="shared" si="14"/>
        <v>5</v>
      </c>
      <c r="J87">
        <f t="shared" si="15"/>
        <v>390</v>
      </c>
      <c r="K87">
        <f t="shared" si="16"/>
        <v>490</v>
      </c>
      <c r="L87">
        <f t="shared" si="17"/>
        <v>24.25</v>
      </c>
      <c r="M87">
        <f t="shared" si="18"/>
        <v>1140.75</v>
      </c>
      <c r="N87">
        <f t="shared" si="19"/>
        <v>1240.75</v>
      </c>
      <c r="O87">
        <f t="shared" si="20"/>
        <v>750.75</v>
      </c>
    </row>
    <row r="88" spans="6:15" x14ac:dyDescent="0.35">
      <c r="F88">
        <v>79</v>
      </c>
      <c r="G88">
        <v>100</v>
      </c>
      <c r="H88" s="2">
        <v>0.05</v>
      </c>
      <c r="I88">
        <f t="shared" si="14"/>
        <v>5</v>
      </c>
      <c r="J88">
        <f t="shared" si="15"/>
        <v>395</v>
      </c>
      <c r="K88">
        <f t="shared" si="16"/>
        <v>495</v>
      </c>
      <c r="L88">
        <f t="shared" si="17"/>
        <v>24.5</v>
      </c>
      <c r="M88">
        <f t="shared" si="18"/>
        <v>1165.25</v>
      </c>
      <c r="N88">
        <f t="shared" si="19"/>
        <v>1265.25</v>
      </c>
      <c r="O88">
        <f t="shared" si="20"/>
        <v>770.25</v>
      </c>
    </row>
    <row r="89" spans="6:15" x14ac:dyDescent="0.35">
      <c r="F89">
        <v>80</v>
      </c>
      <c r="G89">
        <v>100</v>
      </c>
      <c r="H89" s="2">
        <v>0.05</v>
      </c>
      <c r="I89">
        <f t="shared" si="14"/>
        <v>5</v>
      </c>
      <c r="J89">
        <f t="shared" si="15"/>
        <v>400</v>
      </c>
      <c r="K89">
        <f t="shared" si="16"/>
        <v>500</v>
      </c>
      <c r="L89">
        <f t="shared" si="17"/>
        <v>24.75</v>
      </c>
      <c r="M89">
        <f t="shared" si="18"/>
        <v>1190</v>
      </c>
      <c r="N89">
        <f t="shared" si="19"/>
        <v>1290</v>
      </c>
      <c r="O89">
        <f t="shared" si="20"/>
        <v>790</v>
      </c>
    </row>
    <row r="90" spans="6:15" x14ac:dyDescent="0.35">
      <c r="F90">
        <v>81</v>
      </c>
      <c r="G90">
        <v>100</v>
      </c>
      <c r="H90" s="2">
        <v>0.05</v>
      </c>
      <c r="I90">
        <f t="shared" si="14"/>
        <v>5</v>
      </c>
      <c r="J90">
        <f t="shared" si="15"/>
        <v>405</v>
      </c>
      <c r="K90">
        <f t="shared" si="16"/>
        <v>505</v>
      </c>
      <c r="L90">
        <f t="shared" si="17"/>
        <v>25</v>
      </c>
      <c r="M90">
        <f t="shared" si="18"/>
        <v>1215</v>
      </c>
      <c r="N90">
        <f t="shared" si="19"/>
        <v>1315</v>
      </c>
      <c r="O90">
        <f t="shared" si="20"/>
        <v>810</v>
      </c>
    </row>
    <row r="91" spans="6:15" x14ac:dyDescent="0.35">
      <c r="F91">
        <v>82</v>
      </c>
      <c r="G91">
        <v>100</v>
      </c>
      <c r="H91" s="2">
        <v>0.05</v>
      </c>
      <c r="I91">
        <f t="shared" si="14"/>
        <v>5</v>
      </c>
      <c r="J91">
        <f t="shared" si="15"/>
        <v>410</v>
      </c>
      <c r="K91">
        <f t="shared" si="16"/>
        <v>510</v>
      </c>
      <c r="L91">
        <f t="shared" si="17"/>
        <v>25.25</v>
      </c>
      <c r="M91">
        <f t="shared" si="18"/>
        <v>1240.25</v>
      </c>
      <c r="N91">
        <f t="shared" si="19"/>
        <v>1340.25</v>
      </c>
      <c r="O91">
        <f t="shared" si="20"/>
        <v>830.25</v>
      </c>
    </row>
    <row r="92" spans="6:15" x14ac:dyDescent="0.35">
      <c r="F92">
        <v>83</v>
      </c>
      <c r="G92">
        <v>100</v>
      </c>
      <c r="H92" s="2">
        <v>0.05</v>
      </c>
      <c r="I92">
        <f t="shared" si="14"/>
        <v>5</v>
      </c>
      <c r="J92">
        <f t="shared" si="15"/>
        <v>415</v>
      </c>
      <c r="K92">
        <f t="shared" si="16"/>
        <v>515</v>
      </c>
      <c r="L92">
        <f t="shared" si="17"/>
        <v>25.5</v>
      </c>
      <c r="M92">
        <f t="shared" si="18"/>
        <v>1265.75</v>
      </c>
      <c r="N92">
        <f t="shared" si="19"/>
        <v>1365.75</v>
      </c>
      <c r="O92">
        <f t="shared" si="20"/>
        <v>850.75</v>
      </c>
    </row>
    <row r="93" spans="6:15" x14ac:dyDescent="0.35">
      <c r="F93">
        <v>84</v>
      </c>
      <c r="G93">
        <v>100</v>
      </c>
      <c r="H93" s="2">
        <v>0.05</v>
      </c>
      <c r="I93">
        <f t="shared" si="14"/>
        <v>5</v>
      </c>
      <c r="J93">
        <f t="shared" si="15"/>
        <v>420</v>
      </c>
      <c r="K93">
        <f t="shared" si="16"/>
        <v>520</v>
      </c>
      <c r="L93">
        <f t="shared" si="17"/>
        <v>25.75</v>
      </c>
      <c r="M93">
        <f t="shared" si="18"/>
        <v>1291.5</v>
      </c>
      <c r="N93">
        <f t="shared" si="19"/>
        <v>1391.5</v>
      </c>
      <c r="O93">
        <f t="shared" si="20"/>
        <v>871.5</v>
      </c>
    </row>
    <row r="94" spans="6:15" x14ac:dyDescent="0.35">
      <c r="F94">
        <v>85</v>
      </c>
      <c r="G94">
        <v>100</v>
      </c>
      <c r="H94" s="2">
        <v>0.05</v>
      </c>
      <c r="I94">
        <f t="shared" si="14"/>
        <v>5</v>
      </c>
      <c r="J94">
        <f t="shared" si="15"/>
        <v>425</v>
      </c>
      <c r="K94">
        <f t="shared" si="16"/>
        <v>525</v>
      </c>
      <c r="L94">
        <f t="shared" si="17"/>
        <v>26</v>
      </c>
      <c r="M94">
        <f t="shared" si="18"/>
        <v>1317.5</v>
      </c>
      <c r="N94">
        <f t="shared" si="19"/>
        <v>1417.5</v>
      </c>
      <c r="O94">
        <f t="shared" si="20"/>
        <v>892.5</v>
      </c>
    </row>
    <row r="95" spans="6:15" x14ac:dyDescent="0.35">
      <c r="F95">
        <v>86</v>
      </c>
      <c r="G95">
        <v>100</v>
      </c>
      <c r="H95" s="2">
        <v>0.05</v>
      </c>
      <c r="I95">
        <f t="shared" si="14"/>
        <v>5</v>
      </c>
      <c r="J95">
        <f t="shared" si="15"/>
        <v>430</v>
      </c>
      <c r="K95">
        <f t="shared" si="16"/>
        <v>530</v>
      </c>
      <c r="L95">
        <f t="shared" si="17"/>
        <v>26.25</v>
      </c>
      <c r="M95">
        <f t="shared" si="18"/>
        <v>1343.75</v>
      </c>
      <c r="N95">
        <f t="shared" si="19"/>
        <v>1443.75</v>
      </c>
      <c r="O95">
        <f t="shared" si="20"/>
        <v>913.75</v>
      </c>
    </row>
    <row r="96" spans="6:15" x14ac:dyDescent="0.35">
      <c r="F96">
        <v>87</v>
      </c>
      <c r="G96">
        <v>100</v>
      </c>
      <c r="H96" s="2">
        <v>0.05</v>
      </c>
      <c r="I96">
        <f t="shared" si="14"/>
        <v>5</v>
      </c>
      <c r="J96">
        <f t="shared" si="15"/>
        <v>435</v>
      </c>
      <c r="K96">
        <f t="shared" si="16"/>
        <v>535</v>
      </c>
      <c r="L96">
        <f t="shared" si="17"/>
        <v>26.5</v>
      </c>
      <c r="M96">
        <f t="shared" si="18"/>
        <v>1370.25</v>
      </c>
      <c r="N96">
        <f t="shared" si="19"/>
        <v>1470.25</v>
      </c>
      <c r="O96">
        <f t="shared" si="20"/>
        <v>935.25</v>
      </c>
    </row>
    <row r="97" spans="6:15" x14ac:dyDescent="0.35">
      <c r="F97">
        <v>88</v>
      </c>
      <c r="G97">
        <v>100</v>
      </c>
      <c r="H97" s="2">
        <v>0.05</v>
      </c>
      <c r="I97">
        <f t="shared" si="14"/>
        <v>5</v>
      </c>
      <c r="J97">
        <f t="shared" si="15"/>
        <v>440</v>
      </c>
      <c r="K97">
        <f t="shared" si="16"/>
        <v>540</v>
      </c>
      <c r="L97">
        <f t="shared" si="17"/>
        <v>26.75</v>
      </c>
      <c r="M97">
        <f t="shared" si="18"/>
        <v>1397</v>
      </c>
      <c r="N97">
        <f t="shared" si="19"/>
        <v>1497</v>
      </c>
      <c r="O97">
        <f t="shared" si="20"/>
        <v>957</v>
      </c>
    </row>
    <row r="98" spans="6:15" x14ac:dyDescent="0.35">
      <c r="F98">
        <v>89</v>
      </c>
      <c r="G98">
        <v>100</v>
      </c>
      <c r="H98" s="2">
        <v>0.05</v>
      </c>
      <c r="I98">
        <f t="shared" si="14"/>
        <v>5</v>
      </c>
      <c r="J98">
        <f t="shared" si="15"/>
        <v>445</v>
      </c>
      <c r="K98">
        <f t="shared" si="16"/>
        <v>545</v>
      </c>
      <c r="L98">
        <f t="shared" si="17"/>
        <v>27</v>
      </c>
      <c r="M98">
        <f t="shared" si="18"/>
        <v>1424</v>
      </c>
      <c r="N98">
        <f t="shared" si="19"/>
        <v>1524</v>
      </c>
      <c r="O98">
        <f t="shared" si="20"/>
        <v>979</v>
      </c>
    </row>
    <row r="99" spans="6:15" x14ac:dyDescent="0.35">
      <c r="F99">
        <v>90</v>
      </c>
      <c r="G99">
        <v>100</v>
      </c>
      <c r="H99" s="2">
        <v>0.05</v>
      </c>
      <c r="I99">
        <f t="shared" si="14"/>
        <v>5</v>
      </c>
      <c r="J99">
        <f t="shared" si="15"/>
        <v>450</v>
      </c>
      <c r="K99">
        <f t="shared" si="16"/>
        <v>550</v>
      </c>
      <c r="L99">
        <f t="shared" si="17"/>
        <v>27.25</v>
      </c>
      <c r="M99">
        <f t="shared" si="18"/>
        <v>1451.25</v>
      </c>
      <c r="N99">
        <f t="shared" si="19"/>
        <v>1551.25</v>
      </c>
      <c r="O99">
        <f t="shared" si="20"/>
        <v>1001.25</v>
      </c>
    </row>
    <row r="100" spans="6:15" x14ac:dyDescent="0.35">
      <c r="F100">
        <v>91</v>
      </c>
      <c r="G100">
        <v>100</v>
      </c>
      <c r="H100" s="2">
        <v>0.05</v>
      </c>
      <c r="I100">
        <f t="shared" si="14"/>
        <v>5</v>
      </c>
      <c r="J100">
        <f t="shared" si="15"/>
        <v>455</v>
      </c>
      <c r="K100">
        <f t="shared" si="16"/>
        <v>555</v>
      </c>
      <c r="L100">
        <f t="shared" si="17"/>
        <v>27.5</v>
      </c>
      <c r="M100">
        <f t="shared" si="18"/>
        <v>1478.75</v>
      </c>
      <c r="N100">
        <f t="shared" si="19"/>
        <v>1578.75</v>
      </c>
      <c r="O100">
        <f t="shared" si="20"/>
        <v>1023.75</v>
      </c>
    </row>
    <row r="101" spans="6:15" x14ac:dyDescent="0.35">
      <c r="F101">
        <v>92</v>
      </c>
      <c r="G101">
        <v>100</v>
      </c>
      <c r="H101" s="2">
        <v>0.05</v>
      </c>
      <c r="I101">
        <f t="shared" si="14"/>
        <v>5</v>
      </c>
      <c r="J101">
        <f t="shared" si="15"/>
        <v>460</v>
      </c>
      <c r="K101">
        <f t="shared" si="16"/>
        <v>560</v>
      </c>
      <c r="L101">
        <f t="shared" si="17"/>
        <v>27.75</v>
      </c>
      <c r="M101">
        <f t="shared" si="18"/>
        <v>1506.5</v>
      </c>
      <c r="N101">
        <f t="shared" si="19"/>
        <v>1606.5</v>
      </c>
      <c r="O101">
        <f t="shared" si="20"/>
        <v>1046.5</v>
      </c>
    </row>
    <row r="102" spans="6:15" x14ac:dyDescent="0.35">
      <c r="F102">
        <v>93</v>
      </c>
      <c r="G102">
        <v>100</v>
      </c>
      <c r="H102" s="2">
        <v>0.05</v>
      </c>
      <c r="I102">
        <f t="shared" si="14"/>
        <v>5</v>
      </c>
      <c r="J102">
        <f t="shared" si="15"/>
        <v>465</v>
      </c>
      <c r="K102">
        <f t="shared" si="16"/>
        <v>565</v>
      </c>
      <c r="L102">
        <f t="shared" si="17"/>
        <v>28</v>
      </c>
      <c r="M102">
        <f t="shared" si="18"/>
        <v>1534.5</v>
      </c>
      <c r="N102">
        <f t="shared" si="19"/>
        <v>1634.5</v>
      </c>
      <c r="O102">
        <f t="shared" si="20"/>
        <v>1069.5</v>
      </c>
    </row>
    <row r="103" spans="6:15" x14ac:dyDescent="0.35">
      <c r="F103">
        <v>94</v>
      </c>
      <c r="G103">
        <v>100</v>
      </c>
      <c r="H103" s="2">
        <v>0.05</v>
      </c>
      <c r="I103">
        <f t="shared" si="14"/>
        <v>5</v>
      </c>
      <c r="J103">
        <f t="shared" si="15"/>
        <v>470</v>
      </c>
      <c r="K103">
        <f t="shared" si="16"/>
        <v>570</v>
      </c>
      <c r="L103">
        <f t="shared" si="17"/>
        <v>28.25</v>
      </c>
      <c r="M103">
        <f t="shared" si="18"/>
        <v>1562.75</v>
      </c>
      <c r="N103">
        <f t="shared" si="19"/>
        <v>1662.75</v>
      </c>
      <c r="O103">
        <f t="shared" si="20"/>
        <v>1092.75</v>
      </c>
    </row>
    <row r="104" spans="6:15" x14ac:dyDescent="0.35">
      <c r="F104">
        <v>95</v>
      </c>
      <c r="G104">
        <v>100</v>
      </c>
      <c r="H104" s="2">
        <v>0.05</v>
      </c>
      <c r="I104">
        <f t="shared" si="14"/>
        <v>5</v>
      </c>
      <c r="J104">
        <f t="shared" si="15"/>
        <v>475</v>
      </c>
      <c r="K104">
        <f t="shared" si="16"/>
        <v>575</v>
      </c>
      <c r="L104">
        <f t="shared" si="17"/>
        <v>28.5</v>
      </c>
      <c r="M104">
        <f t="shared" si="18"/>
        <v>1591.25</v>
      </c>
      <c r="N104">
        <f t="shared" si="19"/>
        <v>1691.25</v>
      </c>
      <c r="O104">
        <f t="shared" si="20"/>
        <v>1116.25</v>
      </c>
    </row>
    <row r="105" spans="6:15" x14ac:dyDescent="0.35">
      <c r="F105">
        <v>96</v>
      </c>
      <c r="G105">
        <v>100</v>
      </c>
      <c r="H105" s="2">
        <v>0.05</v>
      </c>
      <c r="I105">
        <f t="shared" si="14"/>
        <v>5</v>
      </c>
      <c r="J105">
        <f t="shared" si="15"/>
        <v>480</v>
      </c>
      <c r="K105">
        <f t="shared" si="16"/>
        <v>580</v>
      </c>
      <c r="L105">
        <f t="shared" si="17"/>
        <v>28.75</v>
      </c>
      <c r="M105">
        <f t="shared" si="18"/>
        <v>1620</v>
      </c>
      <c r="N105">
        <f t="shared" si="19"/>
        <v>1720</v>
      </c>
      <c r="O105">
        <f t="shared" si="20"/>
        <v>1140</v>
      </c>
    </row>
    <row r="106" spans="6:15" x14ac:dyDescent="0.35">
      <c r="F106">
        <v>97</v>
      </c>
      <c r="G106">
        <v>100</v>
      </c>
      <c r="H106" s="2">
        <v>0.05</v>
      </c>
      <c r="I106">
        <f t="shared" si="14"/>
        <v>5</v>
      </c>
      <c r="J106">
        <f t="shared" si="15"/>
        <v>485</v>
      </c>
      <c r="K106">
        <f t="shared" si="16"/>
        <v>585</v>
      </c>
      <c r="L106">
        <f t="shared" si="17"/>
        <v>29</v>
      </c>
      <c r="M106">
        <f t="shared" si="18"/>
        <v>1649</v>
      </c>
      <c r="N106">
        <f t="shared" si="19"/>
        <v>1749</v>
      </c>
      <c r="O106">
        <f t="shared" si="20"/>
        <v>1164</v>
      </c>
    </row>
    <row r="107" spans="6:15" x14ac:dyDescent="0.35">
      <c r="F107">
        <v>98</v>
      </c>
      <c r="G107">
        <v>100</v>
      </c>
      <c r="H107" s="2">
        <v>0.05</v>
      </c>
      <c r="I107">
        <f t="shared" si="14"/>
        <v>5</v>
      </c>
      <c r="J107">
        <f t="shared" si="15"/>
        <v>490</v>
      </c>
      <c r="K107">
        <f t="shared" si="16"/>
        <v>590</v>
      </c>
      <c r="L107">
        <f t="shared" si="17"/>
        <v>29.25</v>
      </c>
      <c r="M107">
        <f t="shared" si="18"/>
        <v>1678.25</v>
      </c>
      <c r="N107">
        <f t="shared" si="19"/>
        <v>1778.25</v>
      </c>
      <c r="O107">
        <f t="shared" si="20"/>
        <v>1188.25</v>
      </c>
    </row>
    <row r="108" spans="6:15" x14ac:dyDescent="0.35">
      <c r="F108">
        <v>99</v>
      </c>
      <c r="G108">
        <v>100</v>
      </c>
      <c r="H108" s="2">
        <v>0.05</v>
      </c>
      <c r="I108">
        <f t="shared" si="14"/>
        <v>5</v>
      </c>
      <c r="J108">
        <f t="shared" si="15"/>
        <v>495</v>
      </c>
      <c r="K108">
        <f t="shared" si="16"/>
        <v>595</v>
      </c>
      <c r="L108">
        <f t="shared" si="17"/>
        <v>29.5</v>
      </c>
      <c r="M108">
        <f t="shared" si="18"/>
        <v>1707.75</v>
      </c>
      <c r="N108">
        <f t="shared" si="19"/>
        <v>1807.75</v>
      </c>
      <c r="O108">
        <f t="shared" si="20"/>
        <v>1212.75</v>
      </c>
    </row>
    <row r="109" spans="6:15" x14ac:dyDescent="0.35">
      <c r="F109">
        <v>100</v>
      </c>
      <c r="G109">
        <v>100</v>
      </c>
      <c r="H109" s="2">
        <v>0.05</v>
      </c>
      <c r="I109">
        <f t="shared" si="14"/>
        <v>5</v>
      </c>
      <c r="J109">
        <f t="shared" si="15"/>
        <v>500</v>
      </c>
      <c r="K109">
        <f t="shared" si="16"/>
        <v>600</v>
      </c>
      <c r="L109">
        <f t="shared" si="17"/>
        <v>29.75</v>
      </c>
      <c r="M109">
        <f t="shared" si="18"/>
        <v>1737.5</v>
      </c>
      <c r="N109">
        <f t="shared" si="19"/>
        <v>1837.5</v>
      </c>
      <c r="O109">
        <f t="shared" si="20"/>
        <v>1237.5</v>
      </c>
    </row>
    <row r="110" spans="6:15" x14ac:dyDescent="0.35">
      <c r="F110">
        <v>101</v>
      </c>
      <c r="G110">
        <v>100</v>
      </c>
      <c r="H110" s="2">
        <v>0.05</v>
      </c>
      <c r="I110">
        <f t="shared" si="14"/>
        <v>5</v>
      </c>
      <c r="J110">
        <f t="shared" si="15"/>
        <v>505</v>
      </c>
      <c r="K110">
        <f t="shared" si="16"/>
        <v>605</v>
      </c>
      <c r="L110">
        <f t="shared" si="17"/>
        <v>30</v>
      </c>
      <c r="M110">
        <f t="shared" si="18"/>
        <v>1767.5</v>
      </c>
      <c r="N110">
        <f t="shared" si="19"/>
        <v>1867.5</v>
      </c>
      <c r="O110">
        <f t="shared" si="20"/>
        <v>1262.5</v>
      </c>
    </row>
    <row r="111" spans="6:15" x14ac:dyDescent="0.35">
      <c r="F111">
        <v>102</v>
      </c>
      <c r="G111">
        <v>100</v>
      </c>
      <c r="H111" s="2">
        <v>0.05</v>
      </c>
      <c r="I111">
        <f t="shared" si="14"/>
        <v>5</v>
      </c>
      <c r="J111">
        <f t="shared" si="15"/>
        <v>510</v>
      </c>
      <c r="K111">
        <f t="shared" si="16"/>
        <v>610</v>
      </c>
      <c r="L111">
        <f t="shared" si="17"/>
        <v>30.25</v>
      </c>
      <c r="M111">
        <f t="shared" si="18"/>
        <v>1797.75</v>
      </c>
      <c r="N111">
        <f t="shared" si="19"/>
        <v>1897.75</v>
      </c>
      <c r="O111">
        <f t="shared" si="20"/>
        <v>1287.75</v>
      </c>
    </row>
    <row r="112" spans="6:15" x14ac:dyDescent="0.35">
      <c r="F112">
        <v>103</v>
      </c>
      <c r="G112">
        <v>100</v>
      </c>
      <c r="H112" s="2">
        <v>0.05</v>
      </c>
      <c r="I112">
        <f t="shared" si="14"/>
        <v>5</v>
      </c>
      <c r="J112">
        <f t="shared" si="15"/>
        <v>515</v>
      </c>
      <c r="K112">
        <f t="shared" si="16"/>
        <v>615</v>
      </c>
      <c r="L112">
        <f t="shared" si="17"/>
        <v>30.5</v>
      </c>
      <c r="M112">
        <f t="shared" si="18"/>
        <v>1828.25</v>
      </c>
      <c r="N112">
        <f t="shared" si="19"/>
        <v>1928.25</v>
      </c>
      <c r="O112">
        <f t="shared" si="20"/>
        <v>1313.25</v>
      </c>
    </row>
    <row r="113" spans="6:15" x14ac:dyDescent="0.35">
      <c r="F113">
        <v>104</v>
      </c>
      <c r="G113">
        <v>100</v>
      </c>
      <c r="H113" s="2">
        <v>0.05</v>
      </c>
      <c r="I113">
        <f t="shared" si="14"/>
        <v>5</v>
      </c>
      <c r="J113">
        <f t="shared" si="15"/>
        <v>520</v>
      </c>
      <c r="K113">
        <f t="shared" si="16"/>
        <v>620</v>
      </c>
      <c r="L113">
        <f t="shared" si="17"/>
        <v>30.75</v>
      </c>
      <c r="M113">
        <f t="shared" si="18"/>
        <v>1859</v>
      </c>
      <c r="N113">
        <f t="shared" si="19"/>
        <v>1959</v>
      </c>
      <c r="O113">
        <f t="shared" si="20"/>
        <v>1339</v>
      </c>
    </row>
    <row r="114" spans="6:15" x14ac:dyDescent="0.35">
      <c r="F114">
        <v>105</v>
      </c>
      <c r="G114">
        <v>100</v>
      </c>
      <c r="H114" s="2">
        <v>0.05</v>
      </c>
      <c r="I114">
        <f t="shared" si="14"/>
        <v>5</v>
      </c>
      <c r="J114">
        <f t="shared" si="15"/>
        <v>525</v>
      </c>
      <c r="K114">
        <f t="shared" si="16"/>
        <v>625</v>
      </c>
      <c r="L114">
        <f t="shared" si="17"/>
        <v>31</v>
      </c>
      <c r="M114">
        <f t="shared" si="18"/>
        <v>1890</v>
      </c>
      <c r="N114">
        <f t="shared" si="19"/>
        <v>1990</v>
      </c>
      <c r="O114">
        <f t="shared" si="20"/>
        <v>1365</v>
      </c>
    </row>
    <row r="115" spans="6:15" x14ac:dyDescent="0.35">
      <c r="F115">
        <v>106</v>
      </c>
      <c r="G115">
        <v>100</v>
      </c>
      <c r="H115" s="2">
        <v>0.05</v>
      </c>
      <c r="I115">
        <f t="shared" si="14"/>
        <v>5</v>
      </c>
      <c r="J115">
        <f t="shared" si="15"/>
        <v>530</v>
      </c>
      <c r="K115">
        <f t="shared" si="16"/>
        <v>630</v>
      </c>
      <c r="L115">
        <f t="shared" si="17"/>
        <v>31.25</v>
      </c>
      <c r="M115">
        <f t="shared" si="18"/>
        <v>1921.25</v>
      </c>
      <c r="N115">
        <f t="shared" si="19"/>
        <v>2021.25</v>
      </c>
      <c r="O115">
        <f t="shared" si="20"/>
        <v>1391.25</v>
      </c>
    </row>
    <row r="116" spans="6:15" x14ac:dyDescent="0.35">
      <c r="F116">
        <v>107</v>
      </c>
      <c r="G116">
        <v>100</v>
      </c>
      <c r="H116" s="2">
        <v>0.05</v>
      </c>
      <c r="I116">
        <f t="shared" si="14"/>
        <v>5</v>
      </c>
      <c r="J116">
        <f t="shared" si="15"/>
        <v>535</v>
      </c>
      <c r="K116">
        <f t="shared" si="16"/>
        <v>635</v>
      </c>
      <c r="L116">
        <f t="shared" si="17"/>
        <v>31.5</v>
      </c>
      <c r="M116">
        <f t="shared" si="18"/>
        <v>1952.75</v>
      </c>
      <c r="N116">
        <f t="shared" si="19"/>
        <v>2052.75</v>
      </c>
      <c r="O116">
        <f t="shared" si="20"/>
        <v>1417.75</v>
      </c>
    </row>
    <row r="117" spans="6:15" x14ac:dyDescent="0.35">
      <c r="F117">
        <v>108</v>
      </c>
      <c r="G117">
        <v>100</v>
      </c>
      <c r="H117" s="2">
        <v>0.05</v>
      </c>
      <c r="I117">
        <f t="shared" si="14"/>
        <v>5</v>
      </c>
      <c r="J117">
        <f t="shared" si="15"/>
        <v>540</v>
      </c>
      <c r="K117">
        <f t="shared" si="16"/>
        <v>640</v>
      </c>
      <c r="L117">
        <f t="shared" si="17"/>
        <v>31.75</v>
      </c>
      <c r="M117">
        <f t="shared" si="18"/>
        <v>1984.5</v>
      </c>
      <c r="N117">
        <f t="shared" si="19"/>
        <v>2084.5</v>
      </c>
      <c r="O117">
        <f t="shared" si="20"/>
        <v>1444.5</v>
      </c>
    </row>
    <row r="118" spans="6:15" x14ac:dyDescent="0.35">
      <c r="F118">
        <v>109</v>
      </c>
      <c r="G118">
        <v>100</v>
      </c>
      <c r="H118" s="2">
        <v>0.05</v>
      </c>
      <c r="I118">
        <f t="shared" si="14"/>
        <v>5</v>
      </c>
      <c r="J118">
        <f t="shared" si="15"/>
        <v>545</v>
      </c>
      <c r="K118">
        <f t="shared" si="16"/>
        <v>645</v>
      </c>
      <c r="L118">
        <f t="shared" si="17"/>
        <v>32</v>
      </c>
      <c r="M118">
        <f t="shared" si="18"/>
        <v>2016.5</v>
      </c>
      <c r="N118">
        <f t="shared" si="19"/>
        <v>2116.5</v>
      </c>
      <c r="O118">
        <f t="shared" si="20"/>
        <v>1471.5</v>
      </c>
    </row>
    <row r="119" spans="6:15" x14ac:dyDescent="0.35">
      <c r="F119">
        <v>110</v>
      </c>
      <c r="G119">
        <v>100</v>
      </c>
      <c r="H119" s="2">
        <v>0.05</v>
      </c>
      <c r="I119">
        <f t="shared" si="14"/>
        <v>5</v>
      </c>
      <c r="J119">
        <f t="shared" si="15"/>
        <v>550</v>
      </c>
      <c r="K119">
        <f t="shared" si="16"/>
        <v>650</v>
      </c>
      <c r="L119">
        <f t="shared" si="17"/>
        <v>32.25</v>
      </c>
      <c r="M119">
        <f t="shared" si="18"/>
        <v>2048.75</v>
      </c>
      <c r="N119">
        <f t="shared" si="19"/>
        <v>2148.75</v>
      </c>
      <c r="O119">
        <f t="shared" si="20"/>
        <v>1498.75</v>
      </c>
    </row>
    <row r="120" spans="6:15" x14ac:dyDescent="0.35">
      <c r="F120">
        <v>111</v>
      </c>
      <c r="G120">
        <v>100</v>
      </c>
      <c r="H120" s="2">
        <v>0.05</v>
      </c>
      <c r="I120">
        <f t="shared" si="14"/>
        <v>5</v>
      </c>
      <c r="J120">
        <f t="shared" si="15"/>
        <v>555</v>
      </c>
      <c r="K120">
        <f t="shared" si="16"/>
        <v>655</v>
      </c>
      <c r="L120">
        <f t="shared" si="17"/>
        <v>32.5</v>
      </c>
      <c r="M120">
        <f t="shared" si="18"/>
        <v>2081.25</v>
      </c>
      <c r="N120">
        <f t="shared" si="19"/>
        <v>2181.25</v>
      </c>
      <c r="O120">
        <f t="shared" si="20"/>
        <v>1526.25</v>
      </c>
    </row>
    <row r="121" spans="6:15" x14ac:dyDescent="0.35">
      <c r="F121">
        <v>112</v>
      </c>
      <c r="G121">
        <v>100</v>
      </c>
      <c r="H121" s="2">
        <v>0.05</v>
      </c>
      <c r="I121">
        <f t="shared" si="14"/>
        <v>5</v>
      </c>
      <c r="J121">
        <f t="shared" si="15"/>
        <v>560</v>
      </c>
      <c r="K121">
        <f t="shared" si="16"/>
        <v>660</v>
      </c>
      <c r="L121">
        <f t="shared" si="17"/>
        <v>32.75</v>
      </c>
      <c r="M121">
        <f t="shared" si="18"/>
        <v>2114</v>
      </c>
      <c r="N121">
        <f t="shared" si="19"/>
        <v>2214</v>
      </c>
      <c r="O121">
        <f t="shared" si="20"/>
        <v>1554</v>
      </c>
    </row>
    <row r="122" spans="6:15" x14ac:dyDescent="0.35">
      <c r="F122">
        <v>113</v>
      </c>
      <c r="G122">
        <v>100</v>
      </c>
      <c r="H122" s="2">
        <v>0.05</v>
      </c>
      <c r="I122">
        <f t="shared" si="14"/>
        <v>5</v>
      </c>
      <c r="J122">
        <f t="shared" si="15"/>
        <v>565</v>
      </c>
      <c r="K122">
        <f t="shared" si="16"/>
        <v>665</v>
      </c>
      <c r="L122">
        <f t="shared" si="17"/>
        <v>33</v>
      </c>
      <c r="M122">
        <f t="shared" si="18"/>
        <v>2147</v>
      </c>
      <c r="N122">
        <f t="shared" si="19"/>
        <v>2247</v>
      </c>
      <c r="O122">
        <f t="shared" si="20"/>
        <v>1582</v>
      </c>
    </row>
    <row r="123" spans="6:15" x14ac:dyDescent="0.35">
      <c r="F123">
        <v>114</v>
      </c>
      <c r="G123">
        <v>100</v>
      </c>
      <c r="H123" s="2">
        <v>0.05</v>
      </c>
      <c r="I123">
        <f t="shared" si="14"/>
        <v>5</v>
      </c>
      <c r="J123">
        <f t="shared" si="15"/>
        <v>570</v>
      </c>
      <c r="K123">
        <f t="shared" si="16"/>
        <v>670</v>
      </c>
      <c r="L123">
        <f t="shared" si="17"/>
        <v>33.25</v>
      </c>
      <c r="M123">
        <f t="shared" si="18"/>
        <v>2180.25</v>
      </c>
      <c r="N123">
        <f t="shared" si="19"/>
        <v>2280.25</v>
      </c>
      <c r="O123">
        <f t="shared" si="20"/>
        <v>1610.25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Mélanie Caron-Harris</dc:creator>
  <cp:lastModifiedBy>Mélanie Caron-Harris</cp:lastModifiedBy>
  <dcterms:created xsi:type="dcterms:W3CDTF">2025-01-03T19:27:55Z</dcterms:created>
  <dcterms:modified xsi:type="dcterms:W3CDTF">2025-09-07T20:12:01Z</dcterms:modified>
</cp:coreProperties>
</file>