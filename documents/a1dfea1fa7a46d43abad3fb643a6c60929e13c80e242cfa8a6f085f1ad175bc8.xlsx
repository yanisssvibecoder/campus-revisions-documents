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12161\Documents\2-500\Exercices du livre\"/>
    </mc:Choice>
  </mc:AlternateContent>
  <xr:revisionPtr revIDLastSave="0" documentId="13_ncr:1_{73545ACE-AF05-4D74-B040-B68CC06930CE}" xr6:coauthVersionLast="47" xr6:coauthVersionMax="47" xr10:uidLastSave="{00000000-0000-0000-0000-000000000000}"/>
  <bookViews>
    <workbookView xWindow="-110" yWindow="-110" windowWidth="19420" windowHeight="10420" xr2:uid="{3E4AD9E5-8C42-4E0D-A39C-F11EB4E739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1" l="1"/>
  <c r="J6" i="1"/>
  <c r="J7" i="1"/>
  <c r="J8" i="1"/>
  <c r="J9" i="1"/>
  <c r="J3" i="1"/>
  <c r="G11" i="1"/>
  <c r="I7" i="1"/>
  <c r="H4" i="1"/>
  <c r="I4" i="1" s="1"/>
  <c r="H5" i="1"/>
  <c r="I5" i="1" s="1"/>
  <c r="J5" i="1" s="1"/>
  <c r="H6" i="1"/>
  <c r="I6" i="1" s="1"/>
  <c r="H7" i="1"/>
  <c r="H8" i="1"/>
  <c r="I8" i="1" s="1"/>
  <c r="H9" i="1"/>
  <c r="I9" i="1" s="1"/>
  <c r="H3" i="1"/>
  <c r="I3" i="1" s="1"/>
  <c r="I11" i="1" l="1"/>
</calcChain>
</file>

<file path=xl/sharedStrings.xml><?xml version="1.0" encoding="utf-8"?>
<sst xmlns="http://schemas.openxmlformats.org/spreadsheetml/2006/main" count="37" uniqueCount="34">
  <si>
    <t>Description de l'opération</t>
  </si>
  <si>
    <t>Unité de référence</t>
  </si>
  <si>
    <t>Temps observé moyen
(en  minutes)</t>
  </si>
  <si>
    <t>Facteur d'allure</t>
  </si>
  <si>
    <t>Nombre de postes de travail assignés à cette tâche</t>
  </si>
  <si>
    <t>Temps standard par cadre
(en minutes)</t>
  </si>
  <si>
    <t>Temps de cycle
(en minutes)</t>
  </si>
  <si>
    <t>Cadence (en cadres par heure)</t>
  </si>
  <si>
    <t>Majorations</t>
  </si>
  <si>
    <t xml:space="preserve">Contrôle de la rigidité
(opération automatisée) </t>
  </si>
  <si>
    <t>Par cadre</t>
  </si>
  <si>
    <t>Étapes automatisées ou robotisées</t>
  </si>
  <si>
    <t>Limage
(opération manuelle)</t>
  </si>
  <si>
    <t>Étapes manuelles</t>
  </si>
  <si>
    <t>Sablage
(opération manuelle)</t>
  </si>
  <si>
    <t>Nettoyage
(opération automatisée)</t>
  </si>
  <si>
    <t>Par lot de 5 cadres</t>
  </si>
  <si>
    <t>Application de l’apprêt
(opération manuelle)</t>
  </si>
  <si>
    <t>Peinture des cadres
(opération robotisée)</t>
  </si>
  <si>
    <t>Par lot de 10 cadres</t>
  </si>
  <si>
    <t>Vérification de la peinture
(opération manuelle, un cadre sur dix)</t>
  </si>
  <si>
    <t>Par cadre contrôlé</t>
  </si>
  <si>
    <t>Temps standard total par cadre (en minutes)</t>
  </si>
  <si>
    <t>Cadence du processus (en cadres par heure)</t>
  </si>
  <si>
    <r>
      <rPr>
        <b/>
        <sz val="12"/>
        <color rgb="FF000000"/>
        <rFont val="Arial"/>
        <family val="2"/>
      </rPr>
      <t xml:space="preserve">Les vélos Lucky Mountain (C), page 390 : </t>
    </r>
    <r>
      <rPr>
        <sz val="12"/>
        <color rgb="FF000000"/>
        <rFont val="Arial"/>
        <family val="2"/>
      </rPr>
      <t xml:space="preserve">Calculez les valeurs manquantes pour chacune des opérations (colonnes G, H et I) puis calculer le temps standard total de finition d'un cadre et la cadence du processus dans son ensemble. </t>
    </r>
  </si>
  <si>
    <r>
      <rPr>
        <b/>
        <sz val="12"/>
        <color theme="1"/>
        <rFont val="Arial"/>
        <family val="2"/>
      </rPr>
      <t xml:space="preserve">Question supplémentaire : </t>
    </r>
    <r>
      <rPr>
        <sz val="12"/>
        <color theme="1"/>
        <rFont val="Arial"/>
        <family val="2"/>
      </rPr>
      <t>Que faudrait-il faire pour augmenter la cadence de ce processus à 5 cadres à l'heure? Présentez vos calculs.</t>
    </r>
  </si>
  <si>
    <t>1) Ajouter une machine de nettoyage</t>
  </si>
  <si>
    <t>La cadence de ce poste est maintenant de 6,06 cadres à l'heure. Le goulot est maintenant à l'étape de la peinture.</t>
  </si>
  <si>
    <t>2) Ajouter une machine à l'étape de la peinture</t>
  </si>
  <si>
    <t>La cadence de ce poste est maintenant de 7,28 cadres à l'heure. Le goulot est maintenant à l'étape du sablage.</t>
  </si>
  <si>
    <t>Taux d'utilisation</t>
  </si>
  <si>
    <t>Veuillez noter qu'on peut ajouter un % de ressource ou une ressource complète à l'étape sablage puisqu'il s'agit de ressources humaines. Toutefois, on doit ajouter une ressource complète</t>
  </si>
  <si>
    <t>aux étapes automatisées étant donné qu'il s'agit de machines.</t>
  </si>
  <si>
    <t>3) L'employé assigné à la vérification peut être assigné au sablage 50 % de son temps. La cadence du poste sablage est maintenant de 5,21 et le goulot est au limage à 5 cadres à l'heure.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</si>
</sst>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4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2" fontId="1" fillId="0" borderId="1" xfId="0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8" fillId="0" borderId="0" xfId="0" applyFont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10" fontId="9" fillId="0" borderId="1" xfId="1" applyNumberFormat="1" applyFont="1" applyBorder="1" applyAlignment="1">
      <alignment horizontal="center"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DC1A-1E9B-4F4F-8EB0-4F498D70A34F}">
  <dimension ref="B1:L28"/>
  <sheetViews>
    <sheetView showGridLines="0" tabSelected="1" topLeftCell="A12" workbookViewId="0">
      <selection activeCell="D26" sqref="D26"/>
    </sheetView>
  </sheetViews>
  <sheetFormatPr baseColWidth="10" defaultRowHeight="14.5" x14ac:dyDescent="0.35"/>
  <cols>
    <col min="1" max="1" width="3.90625" customWidth="1"/>
    <col min="2" max="2" width="38" customWidth="1"/>
    <col min="3" max="3" width="14.08984375" customWidth="1"/>
    <col min="4" max="4" width="21.453125" customWidth="1"/>
    <col min="6" max="6" width="26.453125" customWidth="1"/>
    <col min="7" max="9" width="16.6328125" customWidth="1"/>
    <col min="10" max="10" width="17.1796875" customWidth="1"/>
    <col min="11" max="11" width="25.90625" customWidth="1"/>
    <col min="12" max="12" width="15.08984375" customWidth="1"/>
  </cols>
  <sheetData>
    <row r="1" spans="2:12" ht="97.75" customHeight="1" x14ac:dyDescent="0.35">
      <c r="B1" s="24" t="s">
        <v>24</v>
      </c>
      <c r="C1" s="24"/>
      <c r="D1" s="24"/>
      <c r="E1" s="24"/>
      <c r="F1" s="24"/>
      <c r="G1" s="24"/>
      <c r="H1" s="24"/>
      <c r="I1" s="24"/>
      <c r="J1" s="5"/>
      <c r="K1" s="3"/>
      <c r="L1" s="3"/>
    </row>
    <row r="2" spans="2:12" ht="60.9" customHeight="1" x14ac:dyDescent="0.35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8" t="s">
        <v>7</v>
      </c>
      <c r="J2" s="8" t="s">
        <v>30</v>
      </c>
      <c r="K2" s="21" t="s">
        <v>8</v>
      </c>
      <c r="L2" s="21"/>
    </row>
    <row r="3" spans="2:12" ht="35.15" customHeight="1" x14ac:dyDescent="0.35">
      <c r="B3" s="9" t="s">
        <v>9</v>
      </c>
      <c r="C3" s="9" t="s">
        <v>10</v>
      </c>
      <c r="D3" s="10">
        <v>10</v>
      </c>
      <c r="E3" s="10">
        <v>100</v>
      </c>
      <c r="F3" s="10">
        <v>1</v>
      </c>
      <c r="G3" s="1">
        <v>11</v>
      </c>
      <c r="H3" s="1">
        <f>G3/F3</f>
        <v>11</v>
      </c>
      <c r="I3" s="1">
        <f>60/H3</f>
        <v>5.4545454545454541</v>
      </c>
      <c r="J3" s="19">
        <f>$I$6/I3</f>
        <v>0.55555555555555558</v>
      </c>
      <c r="K3" s="18" t="s">
        <v>11</v>
      </c>
      <c r="L3" s="11">
        <v>0.1</v>
      </c>
    </row>
    <row r="4" spans="2:12" ht="35.15" customHeight="1" x14ac:dyDescent="0.35">
      <c r="B4" s="9" t="s">
        <v>12</v>
      </c>
      <c r="C4" s="9" t="s">
        <v>10</v>
      </c>
      <c r="D4" s="10">
        <v>25</v>
      </c>
      <c r="E4" s="10">
        <v>80</v>
      </c>
      <c r="F4" s="10">
        <v>2</v>
      </c>
      <c r="G4" s="1">
        <v>24</v>
      </c>
      <c r="H4" s="1">
        <f t="shared" ref="H4:H9" si="0">G4/F4</f>
        <v>12</v>
      </c>
      <c r="I4" s="1">
        <f t="shared" ref="I4:I9" si="1">60/H4</f>
        <v>5</v>
      </c>
      <c r="J4" s="19">
        <f t="shared" ref="J4:J9" si="2">$I$6/I4</f>
        <v>0.60606060606060608</v>
      </c>
      <c r="K4" s="18" t="s">
        <v>13</v>
      </c>
      <c r="L4" s="11">
        <v>0.2</v>
      </c>
    </row>
    <row r="5" spans="2:12" ht="35.15" customHeight="1" x14ac:dyDescent="0.35">
      <c r="B5" s="9" t="s">
        <v>14</v>
      </c>
      <c r="C5" s="9" t="s">
        <v>10</v>
      </c>
      <c r="D5" s="10">
        <v>20</v>
      </c>
      <c r="E5" s="10">
        <v>120</v>
      </c>
      <c r="F5" s="10">
        <v>2</v>
      </c>
      <c r="G5" s="1">
        <v>28.8</v>
      </c>
      <c r="H5" s="1">
        <f t="shared" si="0"/>
        <v>14.4</v>
      </c>
      <c r="I5" s="1">
        <f t="shared" si="1"/>
        <v>4.166666666666667</v>
      </c>
      <c r="J5" s="19">
        <f t="shared" si="2"/>
        <v>0.72727272727272718</v>
      </c>
      <c r="K5" s="3"/>
      <c r="L5" s="3"/>
    </row>
    <row r="6" spans="2:12" ht="35.15" customHeight="1" x14ac:dyDescent="0.35">
      <c r="B6" s="9" t="s">
        <v>15</v>
      </c>
      <c r="C6" s="9" t="s">
        <v>16</v>
      </c>
      <c r="D6" s="10">
        <v>90</v>
      </c>
      <c r="E6" s="10">
        <v>100</v>
      </c>
      <c r="F6" s="10">
        <v>1</v>
      </c>
      <c r="G6" s="1">
        <v>19.8</v>
      </c>
      <c r="H6" s="1">
        <f t="shared" si="0"/>
        <v>19.8</v>
      </c>
      <c r="I6" s="1">
        <f t="shared" si="1"/>
        <v>3.0303030303030303</v>
      </c>
      <c r="J6" s="19">
        <f t="shared" si="2"/>
        <v>1</v>
      </c>
      <c r="K6" s="3"/>
      <c r="L6" s="3"/>
    </row>
    <row r="7" spans="2:12" ht="35.15" customHeight="1" x14ac:dyDescent="0.35">
      <c r="B7" s="9" t="s">
        <v>17</v>
      </c>
      <c r="C7" s="9" t="s">
        <v>10</v>
      </c>
      <c r="D7" s="10">
        <v>12</v>
      </c>
      <c r="E7" s="10">
        <v>110</v>
      </c>
      <c r="F7" s="10">
        <v>2</v>
      </c>
      <c r="G7" s="1">
        <v>15.84</v>
      </c>
      <c r="H7" s="1">
        <f t="shared" si="0"/>
        <v>7.92</v>
      </c>
      <c r="I7" s="1">
        <f t="shared" si="1"/>
        <v>7.5757575757575761</v>
      </c>
      <c r="J7" s="19">
        <f t="shared" si="2"/>
        <v>0.39999999999999997</v>
      </c>
      <c r="K7" s="3"/>
      <c r="L7" s="3"/>
    </row>
    <row r="8" spans="2:12" ht="35.15" customHeight="1" x14ac:dyDescent="0.35">
      <c r="B8" s="9" t="s">
        <v>18</v>
      </c>
      <c r="C8" s="9" t="s">
        <v>19</v>
      </c>
      <c r="D8" s="10">
        <v>150</v>
      </c>
      <c r="E8" s="10">
        <v>100</v>
      </c>
      <c r="F8" s="10">
        <v>1</v>
      </c>
      <c r="G8" s="1">
        <v>16.5</v>
      </c>
      <c r="H8" s="1">
        <f t="shared" si="0"/>
        <v>16.5</v>
      </c>
      <c r="I8" s="1">
        <f t="shared" si="1"/>
        <v>3.6363636363636362</v>
      </c>
      <c r="J8" s="19">
        <f t="shared" si="2"/>
        <v>0.83333333333333337</v>
      </c>
      <c r="K8" s="3"/>
      <c r="L8" s="3"/>
    </row>
    <row r="9" spans="2:12" ht="35.15" customHeight="1" x14ac:dyDescent="0.35">
      <c r="B9" s="9" t="s">
        <v>20</v>
      </c>
      <c r="C9" s="9" t="s">
        <v>21</v>
      </c>
      <c r="D9" s="10">
        <v>30</v>
      </c>
      <c r="E9" s="10">
        <v>90</v>
      </c>
      <c r="F9" s="10">
        <v>1</v>
      </c>
      <c r="G9" s="1">
        <v>3.24</v>
      </c>
      <c r="H9" s="1">
        <f t="shared" si="0"/>
        <v>3.24</v>
      </c>
      <c r="I9" s="1">
        <f t="shared" si="1"/>
        <v>18.518518518518519</v>
      </c>
      <c r="J9" s="19">
        <f t="shared" si="2"/>
        <v>0.16363636363636364</v>
      </c>
      <c r="K9" s="3"/>
      <c r="L9" s="3"/>
    </row>
    <row r="10" spans="2:12" ht="35.15" customHeight="1" x14ac:dyDescent="0.35">
      <c r="B10" s="14"/>
      <c r="C10" s="14"/>
      <c r="D10" s="15"/>
      <c r="E10" s="15"/>
      <c r="F10" s="15"/>
      <c r="G10" s="16"/>
      <c r="H10" s="16"/>
      <c r="I10" s="16"/>
      <c r="J10" s="5"/>
      <c r="K10" s="3"/>
      <c r="L10" s="3"/>
    </row>
    <row r="11" spans="2:12" ht="31.25" customHeight="1" x14ac:dyDescent="0.35">
      <c r="B11" s="3"/>
      <c r="C11" s="4"/>
      <c r="D11" s="5"/>
      <c r="E11" s="5"/>
      <c r="F11" s="17" t="s">
        <v>22</v>
      </c>
      <c r="G11" s="2">
        <f>SUM(G3:G9)</f>
        <v>119.17999999999999</v>
      </c>
      <c r="H11" s="12"/>
      <c r="I11" s="2">
        <f>MIN(I3:I9)</f>
        <v>3.0303030303030303</v>
      </c>
      <c r="J11" s="22" t="s">
        <v>23</v>
      </c>
      <c r="K11" s="23"/>
      <c r="L11" s="3"/>
    </row>
    <row r="15" spans="2:12" ht="15.5" x14ac:dyDescent="0.35">
      <c r="B15" s="13" t="s">
        <v>25</v>
      </c>
    </row>
    <row r="17" spans="2:4" s="13" customFormat="1" ht="15.5" x14ac:dyDescent="0.35">
      <c r="B17" s="13" t="s">
        <v>26</v>
      </c>
      <c r="D17" s="13" t="s">
        <v>27</v>
      </c>
    </row>
    <row r="18" spans="2:4" s="13" customFormat="1" ht="15.5" x14ac:dyDescent="0.35">
      <c r="B18" s="13" t="s">
        <v>28</v>
      </c>
      <c r="D18" s="13" t="s">
        <v>29</v>
      </c>
    </row>
    <row r="19" spans="2:4" s="13" customFormat="1" ht="15.5" x14ac:dyDescent="0.35">
      <c r="B19" s="13" t="s">
        <v>33</v>
      </c>
    </row>
    <row r="20" spans="2:4" s="13" customFormat="1" ht="15.5" x14ac:dyDescent="0.35"/>
    <row r="21" spans="2:4" s="13" customFormat="1" ht="15.5" x14ac:dyDescent="0.35">
      <c r="B21" s="20" t="s">
        <v>31</v>
      </c>
    </row>
    <row r="22" spans="2:4" s="13" customFormat="1" ht="15.5" x14ac:dyDescent="0.35">
      <c r="B22" s="20" t="s">
        <v>32</v>
      </c>
    </row>
    <row r="23" spans="2:4" s="13" customFormat="1" ht="15.5" x14ac:dyDescent="0.35"/>
    <row r="24" spans="2:4" s="13" customFormat="1" ht="15.5" x14ac:dyDescent="0.35"/>
    <row r="25" spans="2:4" s="13" customFormat="1" ht="15.5" x14ac:dyDescent="0.35"/>
    <row r="26" spans="2:4" s="13" customFormat="1" ht="15.5" x14ac:dyDescent="0.35"/>
    <row r="27" spans="2:4" s="13" customFormat="1" ht="15.5" x14ac:dyDescent="0.35"/>
    <row r="28" spans="2:4" s="13" customFormat="1" ht="15.5" x14ac:dyDescent="0.35"/>
  </sheetData>
  <mergeCells count="3">
    <mergeCell ref="K2:L2"/>
    <mergeCell ref="J11:K11"/>
    <mergeCell ref="B1:I1"/>
  </mergeCells>
  <pageMargins left="0.7" right="0.7" top="0.75" bottom="0.75" header="0.3" footer="0.3"/>
  <pageSetup orientation="portrait" horizontalDpi="1200" verticalDpi="1200" r:id="rId1"/>
  <ignoredErrors>
    <ignoredError sqref="I11 G11 H3:I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poitras</dc:creator>
  <cp:lastModifiedBy>veronique poirier</cp:lastModifiedBy>
  <dcterms:created xsi:type="dcterms:W3CDTF">2020-11-19T12:45:53Z</dcterms:created>
  <dcterms:modified xsi:type="dcterms:W3CDTF">2022-04-27T13:20:06Z</dcterms:modified>
</cp:coreProperties>
</file>