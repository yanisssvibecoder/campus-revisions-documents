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84306803\OneDrive - HEC Montréal\Documents\HEC\10500 Base\Séances GOL\Fichiers ZoneCours\"/>
    </mc:Choice>
  </mc:AlternateContent>
  <xr:revisionPtr revIDLastSave="0" documentId="13_ncr:1_{1D1D4167-B32E-4895-822D-C81C10CB483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onnées du problème" sheetId="10" r:id="rId1"/>
    <sheet name="Plan nivelé" sheetId="12" r:id="rId2"/>
    <sheet name="Plan synchrone" sheetId="18" r:id="rId3"/>
  </sheets>
  <definedNames>
    <definedName name="solver_cvg" localSheetId="1" hidden="1">0.0001</definedName>
    <definedName name="solver_cvg" localSheetId="2" hidden="1">0.0001</definedName>
    <definedName name="solver_drv" localSheetId="1" hidden="1">2</definedName>
    <definedName name="solver_drv" localSheetId="2" hidden="1">2</definedName>
    <definedName name="solver_eng" localSheetId="1" hidden="1">2</definedName>
    <definedName name="solver_eng" localSheetId="2" hidden="1">2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'Plan nivelé'!$C$5:$N$5</definedName>
    <definedName name="solver_lhs1" localSheetId="2" hidden="1">'Plan synchrone'!$C$5:$N$5</definedName>
    <definedName name="solver_lhs10" localSheetId="1" hidden="1">'Plan nivelé'!$C$9:$N$9</definedName>
    <definedName name="solver_lhs10" localSheetId="2" hidden="1">'Plan synchrone'!$C$9:$N$9</definedName>
    <definedName name="solver_lhs11" localSheetId="1" hidden="1">'Plan nivelé'!$C$10:$N$10</definedName>
    <definedName name="solver_lhs11" localSheetId="2" hidden="1">'Plan synchrone'!$C$10:$N$10</definedName>
    <definedName name="solver_lhs12" localSheetId="1" hidden="1">'Plan nivelé'!#REF!</definedName>
    <definedName name="solver_lhs12" localSheetId="2" hidden="1">'Plan synchrone'!#REF!</definedName>
    <definedName name="solver_lhs13" localSheetId="1" hidden="1">'Plan nivelé'!#REF!</definedName>
    <definedName name="solver_lhs13" localSheetId="2" hidden="1">'Plan synchrone'!#REF!</definedName>
    <definedName name="solver_lhs14" localSheetId="1" hidden="1">'Plan nivelé'!$N$7</definedName>
    <definedName name="solver_lhs14" localSheetId="2" hidden="1">'Plan synchrone'!$N$7</definedName>
    <definedName name="solver_lhs15" localSheetId="1" hidden="1">'Plan nivelé'!$N$7</definedName>
    <definedName name="solver_lhs15" localSheetId="2" hidden="1">'Plan synchrone'!$N$7</definedName>
    <definedName name="solver_lhs2" localSheetId="1" hidden="1">'Plan nivelé'!$C$6:$N$6</definedName>
    <definedName name="solver_lhs2" localSheetId="2" hidden="1">'Plan synchrone'!$C$6:$N$6</definedName>
    <definedName name="solver_lhs3" localSheetId="1" hidden="1">'Plan nivelé'!$C$6:$N$6</definedName>
    <definedName name="solver_lhs3" localSheetId="2" hidden="1">'Plan synchrone'!$C$6:$N$6</definedName>
    <definedName name="solver_lhs4" localSheetId="1" hidden="1">'Plan nivelé'!$C$7:$N$7</definedName>
    <definedName name="solver_lhs4" localSheetId="2" hidden="1">'Plan synchrone'!$C$7:$N$7</definedName>
    <definedName name="solver_lhs5" localSheetId="1" hidden="1">'Plan nivelé'!$C$7:$N$7</definedName>
    <definedName name="solver_lhs5" localSheetId="2" hidden="1">'Plan synchrone'!$C$7:$N$7</definedName>
    <definedName name="solver_lhs6" localSheetId="1" hidden="1">'Plan nivelé'!$C$7:$N$9</definedName>
    <definedName name="solver_lhs6" localSheetId="2" hidden="1">'Plan synchrone'!$C$7:$N$9</definedName>
    <definedName name="solver_lhs7" localSheetId="1" hidden="1">'Plan nivelé'!#REF!</definedName>
    <definedName name="solver_lhs7" localSheetId="2" hidden="1">'Plan synchrone'!#REF!</definedName>
    <definedName name="solver_lhs8" localSheetId="1" hidden="1">'Plan nivelé'!#REF!</definedName>
    <definedName name="solver_lhs8" localSheetId="2" hidden="1">'Plan synchrone'!#REF!</definedName>
    <definedName name="solver_lhs9" localSheetId="1" hidden="1">'Plan nivelé'!$C$8:$N$8</definedName>
    <definedName name="solver_lhs9" localSheetId="2" hidden="1">'Plan synchrone'!$C$8:$N$8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0</definedName>
    <definedName name="solver_num" localSheetId="2" hidden="1">0</definedName>
    <definedName name="solver_nwt" localSheetId="1" hidden="1">1</definedName>
    <definedName name="solver_nwt" localSheetId="2" hidden="1">1</definedName>
    <definedName name="solver_pre" localSheetId="1" hidden="1">0.000001</definedName>
    <definedName name="solver_pre" localSheetId="2" hidden="1">0.000001</definedName>
    <definedName name="solver_rbv" localSheetId="1" hidden="1">2</definedName>
    <definedName name="solver_rbv" localSheetId="2" hidden="1">2</definedName>
    <definedName name="solver_rel1" localSheetId="1" hidden="1">3</definedName>
    <definedName name="solver_rel1" localSheetId="2" hidden="1">3</definedName>
    <definedName name="solver_rel10" localSheetId="1" hidden="1">3</definedName>
    <definedName name="solver_rel10" localSheetId="2" hidden="1">3</definedName>
    <definedName name="solver_rel11" localSheetId="1" hidden="1">3</definedName>
    <definedName name="solver_rel11" localSheetId="2" hidden="1">3</definedName>
    <definedName name="solver_rel12" localSheetId="1" hidden="1">3</definedName>
    <definedName name="solver_rel12" localSheetId="2" hidden="1">3</definedName>
    <definedName name="solver_rel13" localSheetId="1" hidden="1">3</definedName>
    <definedName name="solver_rel13" localSheetId="2" hidden="1">3</definedName>
    <definedName name="solver_rel14" localSheetId="1" hidden="1">1</definedName>
    <definedName name="solver_rel14" localSheetId="2" hidden="1">1</definedName>
    <definedName name="solver_rel15" localSheetId="1" hidden="1">3</definedName>
    <definedName name="solver_rel15" localSheetId="2" hidden="1">3</definedName>
    <definedName name="solver_rel2" localSheetId="1" hidden="1">1</definedName>
    <definedName name="solver_rel2" localSheetId="2" hidden="1">1</definedName>
    <definedName name="solver_rel3" localSheetId="1" hidden="1">3</definedName>
    <definedName name="solver_rel3" localSheetId="2" hidden="1">3</definedName>
    <definedName name="solver_rel4" localSheetId="1" hidden="1">1</definedName>
    <definedName name="solver_rel4" localSheetId="2" hidden="1">1</definedName>
    <definedName name="solver_rel5" localSheetId="1" hidden="1">3</definedName>
    <definedName name="solver_rel5" localSheetId="2" hidden="1">3</definedName>
    <definedName name="solver_rel6" localSheetId="1" hidden="1">4</definedName>
    <definedName name="solver_rel6" localSheetId="2" hidden="1">4</definedName>
    <definedName name="solver_rel7" localSheetId="1" hidden="1">1</definedName>
    <definedName name="solver_rel7" localSheetId="2" hidden="1">1</definedName>
    <definedName name="solver_rel8" localSheetId="1" hidden="1">3</definedName>
    <definedName name="solver_rel8" localSheetId="2" hidden="1">3</definedName>
    <definedName name="solver_rel9" localSheetId="1" hidden="1">3</definedName>
    <definedName name="solver_rel9" localSheetId="2" hidden="1">3</definedName>
    <definedName name="solver_rhs1" localSheetId="1" hidden="1">0</definedName>
    <definedName name="solver_rhs1" localSheetId="2" hidden="1">0</definedName>
    <definedName name="solver_rhs10" localSheetId="1" hidden="1">0</definedName>
    <definedName name="solver_rhs10" localSheetId="2" hidden="1">0</definedName>
    <definedName name="solver_rhs11" localSheetId="1" hidden="1">0</definedName>
    <definedName name="solver_rhs11" localSheetId="2" hidden="1">0</definedName>
    <definedName name="solver_rhs12" localSheetId="1" hidden="1">0</definedName>
    <definedName name="solver_rhs12" localSheetId="2" hidden="1">0</definedName>
    <definedName name="solver_rhs13" localSheetId="1" hidden="1">0</definedName>
    <definedName name="solver_rhs13" localSheetId="2" hidden="1">0</definedName>
    <definedName name="solver_rhs14" localSheetId="1" hidden="1">'Plan nivelé'!#REF!</definedName>
    <definedName name="solver_rhs14" localSheetId="2" hidden="1">'Plan synchrone'!#REF!</definedName>
    <definedName name="solver_rhs15" localSheetId="1" hidden="1">'Plan nivelé'!#REF!</definedName>
    <definedName name="solver_rhs15" localSheetId="2" hidden="1">'Plan synchrone'!#REF!</definedName>
    <definedName name="solver_rhs2" localSheetId="1" hidden="1">'Plan nivelé'!#REF!</definedName>
    <definedName name="solver_rhs2" localSheetId="2" hidden="1">'Plan synchrone'!#REF!</definedName>
    <definedName name="solver_rhs3" localSheetId="1" hidden="1">'Plan nivelé'!#REF!</definedName>
    <definedName name="solver_rhs3" localSheetId="2" hidden="1">'Plan synchrone'!#REF!</definedName>
    <definedName name="solver_rhs4" localSheetId="1" hidden="1">'Plan nivelé'!#REF!</definedName>
    <definedName name="solver_rhs4" localSheetId="2" hidden="1">'Plan synchrone'!#REF!</definedName>
    <definedName name="solver_rhs5" localSheetId="1" hidden="1">0</definedName>
    <definedName name="solver_rhs5" localSheetId="2" hidden="1">0</definedName>
    <definedName name="solver_rhs6" localSheetId="1" hidden="1">entier</definedName>
    <definedName name="solver_rhs6" localSheetId="2" hidden="1">entier</definedName>
    <definedName name="solver_rhs7" localSheetId="1" hidden="1">'Plan nivelé'!#REF!</definedName>
    <definedName name="solver_rhs7" localSheetId="2" hidden="1">'Plan synchrone'!#REF!</definedName>
    <definedName name="solver_rhs8" localSheetId="1" hidden="1">0</definedName>
    <definedName name="solver_rhs8" localSheetId="2" hidden="1">0</definedName>
    <definedName name="solver_rhs9" localSheetId="1" hidden="1">0</definedName>
    <definedName name="solver_rhs9" localSheetId="2" hidden="1">0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2</definedName>
    <definedName name="solver_scl" localSheetId="2" hidden="1">2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1</definedName>
    <definedName name="solver_typ" localSheetId="2" hidden="1">1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18" l="1"/>
  <c r="B6" i="18"/>
  <c r="N4" i="18"/>
  <c r="M4" i="18"/>
  <c r="L4" i="18"/>
  <c r="K4" i="18"/>
  <c r="J4" i="18"/>
  <c r="I4" i="18"/>
  <c r="H4" i="18"/>
  <c r="G4" i="18"/>
  <c r="F4" i="18"/>
  <c r="E4" i="18"/>
  <c r="D4" i="18"/>
  <c r="C4" i="18"/>
  <c r="B7" i="12"/>
  <c r="B6" i="12"/>
  <c r="D4" i="12" l="1"/>
  <c r="G4" i="12"/>
  <c r="H4" i="12"/>
  <c r="K4" i="12"/>
  <c r="L4" i="12"/>
  <c r="C4" i="12"/>
  <c r="N4" i="12" l="1"/>
  <c r="J4" i="12"/>
  <c r="F4" i="12"/>
  <c r="M4" i="12"/>
  <c r="I4" i="12"/>
  <c r="E4" i="12"/>
</calcChain>
</file>

<file path=xl/sharedStrings.xml><?xml version="1.0" encoding="utf-8"?>
<sst xmlns="http://schemas.openxmlformats.org/spreadsheetml/2006/main" count="95" uniqueCount="53">
  <si>
    <t>Initial</t>
  </si>
  <si>
    <t>Total</t>
  </si>
  <si>
    <t>Stockage</t>
  </si>
  <si>
    <t>par employé par période</t>
  </si>
  <si>
    <t>Embauche</t>
  </si>
  <si>
    <t>par employé embauché</t>
  </si>
  <si>
    <t>Mise à pied</t>
  </si>
  <si>
    <t>par employé licencié</t>
  </si>
  <si>
    <t>Temps supplémentaire</t>
  </si>
  <si>
    <t>Pénuries reportées</t>
  </si>
  <si>
    <t>Plan global de production</t>
  </si>
  <si>
    <t>Nombre d'employés</t>
  </si>
  <si>
    <t>Production par employé</t>
  </si>
  <si>
    <t>Pénurie</t>
  </si>
  <si>
    <t>Salaire - heures régulières</t>
  </si>
  <si>
    <t>Salaire - heures supplémentaires</t>
  </si>
  <si>
    <t>Salaire régulier</t>
  </si>
  <si>
    <t>Liste des coûts</t>
  </si>
  <si>
    <t>par UE par période</t>
  </si>
  <si>
    <t>UE par période</t>
  </si>
  <si>
    <t>Stock initial</t>
  </si>
  <si>
    <t>UE</t>
  </si>
  <si>
    <t>Nombre initial d'employés</t>
  </si>
  <si>
    <t>employés</t>
  </si>
  <si>
    <t>Période</t>
  </si>
  <si>
    <t>Autres données du problème</t>
  </si>
  <si>
    <t>Demande prévue (en UE)</t>
  </si>
  <si>
    <t>Demande (en UE)</t>
  </si>
  <si>
    <t>Production (en UE)</t>
  </si>
  <si>
    <t>Temps supplémentaire (en nombre d'employés)</t>
  </si>
  <si>
    <t>Stock (en UE)</t>
  </si>
  <si>
    <t>Mises à pied (en nombre d'employés)</t>
  </si>
  <si>
    <t>Tableau des coûts associés</t>
  </si>
  <si>
    <t>Embauches (en nombre d'employés)</t>
  </si>
  <si>
    <t>Produit 1</t>
  </si>
  <si>
    <t>Produit 3</t>
  </si>
  <si>
    <t>Produit 2</t>
  </si>
  <si>
    <t>Stock final</t>
  </si>
  <si>
    <t>Variation main d'œuvre (embauche)</t>
  </si>
  <si>
    <t>Variation main d'œuvre (mise à pied)</t>
  </si>
  <si>
    <t>Utilisation temps supplémentaire</t>
  </si>
  <si>
    <t>Nombre d'employés nécessaires</t>
  </si>
  <si>
    <t>Temps mort (en nombres d'employés)</t>
  </si>
  <si>
    <t>Utilisation temps mort</t>
  </si>
  <si>
    <t>Liste des contraintes</t>
  </si>
  <si>
    <t>Variation de main d'œuvre</t>
  </si>
  <si>
    <t>Temps mort</t>
  </si>
  <si>
    <t>Capacité d'entreposage</t>
  </si>
  <si>
    <t>Nombre minimum d'employés</t>
  </si>
  <si>
    <t>Nombre maximum d'employés</t>
  </si>
  <si>
    <t>Autres contraintes</t>
  </si>
  <si>
    <t>Ce gabarit générique est utilisé pour l'ensemble des problèmes de planification globale de production.</t>
  </si>
  <si>
    <t>Utilisez ce gabarit selon les informations fournies dans l'énoncé du problème.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</si>
</sst>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* #,##0.00_)\ &quot;$&quot;_ ;_ * \(#,##0.00\)\ &quot;$&quot;_ ;_ * &quot;-&quot;??_)\ &quot;$&quot;_ ;_ @_ "/>
    <numFmt numFmtId="164" formatCode="#,##0.00\ &quot;$&quot;"/>
    <numFmt numFmtId="165" formatCode="_ * #,##0_)\ &quot;$&quot;_ ;_ * \(#,##0\)\ &quot;$&quot;_ ;_ * &quot;-&quot;??_)\ &quot;$&quot;_ ;_ @_ "/>
    <numFmt numFmtId="166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 tint="-0.249977111117893"/>
      <name val="Calibri"/>
      <family val="2"/>
      <scheme val="minor"/>
    </font>
    <font>
      <i/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8FFD1"/>
        <bgColor indexed="64"/>
      </patternFill>
    </fill>
    <fill>
      <patternFill patternType="solid">
        <fgColor rgb="FFE0D1FF"/>
        <bgColor indexed="64"/>
      </patternFill>
    </fill>
    <fill>
      <patternFill patternType="solid">
        <fgColor rgb="FFDBC9FF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2" fillId="0" borderId="0" xfId="0" applyFont="1"/>
    <xf numFmtId="44" fontId="2" fillId="0" borderId="0" xfId="1" applyFont="1" applyFill="1"/>
    <xf numFmtId="0" fontId="3" fillId="0" borderId="0" xfId="0" applyFont="1" applyAlignment="1">
      <alignment horizontal="center" vertical="center"/>
    </xf>
    <xf numFmtId="0" fontId="2" fillId="0" borderId="17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10" xfId="0" applyFont="1" applyBorder="1"/>
    <xf numFmtId="0" fontId="6" fillId="0" borderId="11" xfId="0" applyFont="1" applyBorder="1"/>
    <xf numFmtId="0" fontId="2" fillId="0" borderId="16" xfId="0" applyFont="1" applyBorder="1"/>
    <xf numFmtId="0" fontId="6" fillId="0" borderId="16" xfId="0" applyFont="1" applyBorder="1"/>
    <xf numFmtId="0" fontId="2" fillId="0" borderId="13" xfId="0" applyFont="1" applyBorder="1"/>
    <xf numFmtId="0" fontId="2" fillId="0" borderId="14" xfId="0" applyFont="1" applyBorder="1"/>
    <xf numFmtId="0" fontId="2" fillId="2" borderId="10" xfId="0" applyFont="1" applyFill="1" applyBorder="1"/>
    <xf numFmtId="0" fontId="2" fillId="0" borderId="10" xfId="0" applyFont="1" applyBorder="1"/>
    <xf numFmtId="0" fontId="2" fillId="0" borderId="11" xfId="0" applyFont="1" applyBorder="1"/>
    <xf numFmtId="0" fontId="2" fillId="2" borderId="13" xfId="0" applyFont="1" applyFill="1" applyBorder="1"/>
    <xf numFmtId="164" fontId="2" fillId="0" borderId="0" xfId="0" applyNumberFormat="1" applyFont="1"/>
    <xf numFmtId="0" fontId="8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2" fillId="5" borderId="0" xfId="0" applyFont="1" applyFill="1"/>
    <xf numFmtId="0" fontId="2" fillId="7" borderId="4" xfId="0" applyFont="1" applyFill="1" applyBorder="1"/>
    <xf numFmtId="0" fontId="2" fillId="6" borderId="0" xfId="0" applyFont="1" applyFill="1"/>
    <xf numFmtId="0" fontId="2" fillId="7" borderId="0" xfId="0" applyFont="1" applyFill="1"/>
    <xf numFmtId="0" fontId="2" fillId="6" borderId="4" xfId="0" applyFont="1" applyFill="1" applyBorder="1"/>
    <xf numFmtId="0" fontId="2" fillId="5" borderId="4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8" borderId="4" xfId="0" applyFont="1" applyFill="1" applyBorder="1"/>
    <xf numFmtId="0" fontId="2" fillId="8" borderId="0" xfId="0" applyFont="1" applyFill="1"/>
    <xf numFmtId="0" fontId="2" fillId="8" borderId="6" xfId="0" applyFont="1" applyFill="1" applyBorder="1"/>
    <xf numFmtId="0" fontId="2" fillId="8" borderId="7" xfId="0" applyFont="1" applyFill="1" applyBorder="1"/>
    <xf numFmtId="0" fontId="2" fillId="0" borderId="3" xfId="0" applyFont="1" applyBorder="1"/>
    <xf numFmtId="164" fontId="2" fillId="4" borderId="0" xfId="0" applyNumberFormat="1" applyFont="1" applyFill="1"/>
    <xf numFmtId="164" fontId="7" fillId="4" borderId="5" xfId="0" applyNumberFormat="1" applyFont="1" applyFill="1" applyBorder="1"/>
    <xf numFmtId="164" fontId="2" fillId="5" borderId="0" xfId="0" applyNumberFormat="1" applyFont="1" applyFill="1"/>
    <xf numFmtId="164" fontId="7" fillId="5" borderId="5" xfId="0" applyNumberFormat="1" applyFont="1" applyFill="1" applyBorder="1"/>
    <xf numFmtId="164" fontId="2" fillId="8" borderId="0" xfId="0" applyNumberFormat="1" applyFont="1" applyFill="1"/>
    <xf numFmtId="164" fontId="7" fillId="8" borderId="5" xfId="0" applyNumberFormat="1" applyFont="1" applyFill="1" applyBorder="1"/>
    <xf numFmtId="0" fontId="2" fillId="0" borderId="6" xfId="0" applyFont="1" applyBorder="1"/>
    <xf numFmtId="0" fontId="2" fillId="0" borderId="7" xfId="0" applyFont="1" applyBorder="1"/>
    <xf numFmtId="164" fontId="2" fillId="0" borderId="7" xfId="0" applyNumberFormat="1" applyFont="1" applyBorder="1"/>
    <xf numFmtId="164" fontId="7" fillId="3" borderId="8" xfId="0" applyNumberFormat="1" applyFont="1" applyFill="1" applyBorder="1"/>
    <xf numFmtId="0" fontId="2" fillId="9" borderId="4" xfId="0" applyFont="1" applyFill="1" applyBorder="1"/>
    <xf numFmtId="0" fontId="2" fillId="9" borderId="0" xfId="0" applyFont="1" applyFill="1"/>
    <xf numFmtId="164" fontId="2" fillId="9" borderId="0" xfId="0" applyNumberFormat="1" applyFont="1" applyFill="1"/>
    <xf numFmtId="164" fontId="7" fillId="9" borderId="5" xfId="0" applyNumberFormat="1" applyFont="1" applyFill="1" applyBorder="1"/>
    <xf numFmtId="0" fontId="2" fillId="2" borderId="0" xfId="0" applyFont="1" applyFill="1" applyAlignment="1">
      <alignment horizontal="center"/>
    </xf>
    <xf numFmtId="0" fontId="2" fillId="0" borderId="9" xfId="0" applyFont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15" xfId="0" applyFont="1" applyBorder="1"/>
    <xf numFmtId="0" fontId="2" fillId="2" borderId="16" xfId="0" applyFont="1" applyFill="1" applyBorder="1" applyAlignment="1">
      <alignment horizontal="center"/>
    </xf>
    <xf numFmtId="0" fontId="2" fillId="0" borderId="18" xfId="0" applyFont="1" applyBorder="1"/>
    <xf numFmtId="0" fontId="2" fillId="0" borderId="12" xfId="0" applyFont="1" applyBorder="1"/>
    <xf numFmtId="0" fontId="2" fillId="0" borderId="20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165" fontId="2" fillId="2" borderId="10" xfId="1" applyNumberFormat="1" applyFont="1" applyFill="1" applyBorder="1"/>
    <xf numFmtId="165" fontId="2" fillId="2" borderId="0" xfId="1" applyNumberFormat="1" applyFont="1" applyFill="1" applyBorder="1"/>
    <xf numFmtId="165" fontId="2" fillId="2" borderId="13" xfId="1" applyNumberFormat="1" applyFont="1" applyFill="1" applyBorder="1"/>
    <xf numFmtId="0" fontId="6" fillId="0" borderId="12" xfId="0" applyFont="1" applyBorder="1"/>
    <xf numFmtId="0" fontId="6" fillId="0" borderId="13" xfId="0" applyFont="1" applyBorder="1"/>
    <xf numFmtId="165" fontId="2" fillId="2" borderId="0" xfId="0" applyNumberFormat="1" applyFont="1" applyFill="1"/>
    <xf numFmtId="0" fontId="2" fillId="2" borderId="0" xfId="0" applyFont="1" applyFill="1"/>
    <xf numFmtId="0" fontId="3" fillId="0" borderId="1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3" fontId="2" fillId="0" borderId="18" xfId="0" applyNumberFormat="1" applyFont="1" applyBorder="1" applyAlignment="1">
      <alignment horizontal="center"/>
    </xf>
    <xf numFmtId="3" fontId="2" fillId="0" borderId="19" xfId="0" applyNumberFormat="1" applyFont="1" applyBorder="1" applyAlignment="1">
      <alignment horizontal="center"/>
    </xf>
    <xf numFmtId="3" fontId="2" fillId="6" borderId="0" xfId="0" applyNumberFormat="1" applyFont="1" applyFill="1" applyAlignment="1">
      <alignment horizontal="right"/>
    </xf>
    <xf numFmtId="3" fontId="2" fillId="6" borderId="5" xfId="0" applyNumberFormat="1" applyFont="1" applyFill="1" applyBorder="1" applyAlignment="1">
      <alignment horizontal="right"/>
    </xf>
    <xf numFmtId="3" fontId="2" fillId="7" borderId="0" xfId="0" applyNumberFormat="1" applyFont="1" applyFill="1"/>
    <xf numFmtId="3" fontId="2" fillId="7" borderId="5" xfId="0" applyNumberFormat="1" applyFont="1" applyFill="1" applyBorder="1"/>
    <xf numFmtId="0" fontId="2" fillId="4" borderId="5" xfId="0" applyFont="1" applyFill="1" applyBorder="1"/>
    <xf numFmtId="0" fontId="2" fillId="8" borderId="5" xfId="0" applyFont="1" applyFill="1" applyBorder="1"/>
    <xf numFmtId="0" fontId="2" fillId="8" borderId="8" xfId="0" applyFont="1" applyFill="1" applyBorder="1"/>
    <xf numFmtId="9" fontId="2" fillId="2" borderId="0" xfId="2" applyFont="1" applyFill="1" applyBorder="1"/>
    <xf numFmtId="9" fontId="2" fillId="2" borderId="10" xfId="2" applyFont="1" applyFill="1" applyBorder="1"/>
    <xf numFmtId="3" fontId="9" fillId="0" borderId="0" xfId="0" applyNumberFormat="1" applyFont="1" applyAlignment="1">
      <alignment horizontal="right" vertical="center" wrapText="1"/>
    </xf>
    <xf numFmtId="3" fontId="2" fillId="2" borderId="0" xfId="0" applyNumberFormat="1" applyFont="1" applyFill="1"/>
    <xf numFmtId="0" fontId="2" fillId="0" borderId="16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6" fontId="6" fillId="0" borderId="0" xfId="0" applyNumberFormat="1" applyFont="1"/>
    <xf numFmtId="9" fontId="6" fillId="0" borderId="0" xfId="2" applyFont="1"/>
    <xf numFmtId="3" fontId="2" fillId="5" borderId="0" xfId="0" applyNumberFormat="1" applyFont="1" applyFill="1"/>
    <xf numFmtId="3" fontId="2" fillId="5" borderId="5" xfId="0" applyNumberFormat="1" applyFont="1" applyFill="1" applyBorder="1"/>
    <xf numFmtId="0" fontId="2" fillId="10" borderId="4" xfId="0" applyFont="1" applyFill="1" applyBorder="1"/>
    <xf numFmtId="0" fontId="2" fillId="10" borderId="0" xfId="0" applyFont="1" applyFill="1"/>
    <xf numFmtId="0" fontId="2" fillId="10" borderId="5" xfId="0" applyFont="1" applyFill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6" fillId="0" borderId="12" xfId="0" applyFont="1" applyBorder="1"/>
    <xf numFmtId="0" fontId="6" fillId="0" borderId="13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5" xfId="0" applyFont="1" applyBorder="1"/>
    <xf numFmtId="0" fontId="6" fillId="0" borderId="0" xfId="0" applyFont="1"/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Monétaire" xfId="1" builtinId="4"/>
    <cellStyle name="Normal" xfId="0" builtinId="0"/>
    <cellStyle name="Pourcentag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BC9FF"/>
      <color rgb="FFE8FFD1"/>
      <color rgb="FFE0D1FF"/>
      <color rgb="FFCCB3FF"/>
      <color rgb="FF9966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D3" sqref="D3"/>
    </sheetView>
  </sheetViews>
  <sheetFormatPr baseColWidth="10" defaultColWidth="11.44140625" defaultRowHeight="18" x14ac:dyDescent="0.35"/>
  <cols>
    <col min="1" max="1" width="20.109375" style="1" customWidth="1"/>
    <col min="2" max="2" width="14.6640625" style="1" customWidth="1"/>
    <col min="3" max="3" width="15.109375" style="1" bestFit="1" customWidth="1"/>
    <col min="4" max="5" width="12" style="1" bestFit="1" customWidth="1"/>
    <col min="6" max="6" width="11.5546875" style="1" customWidth="1"/>
    <col min="7" max="14" width="12" style="1" bestFit="1" customWidth="1"/>
    <col min="15" max="16384" width="11.44140625" style="1"/>
  </cols>
  <sheetData>
    <row r="1" spans="1:14" x14ac:dyDescent="0.35">
      <c r="A1" s="5" t="s">
        <v>51</v>
      </c>
    </row>
    <row r="2" spans="1:14" x14ac:dyDescent="0.35">
      <c r="A2" s="5" t="s">
        <v>52</v>
      </c>
    </row>
    <row r="4" spans="1:14" x14ac:dyDescent="0.35">
      <c r="A4" s="5" t="s">
        <v>17</v>
      </c>
      <c r="B4" s="5"/>
      <c r="I4" s="5" t="s">
        <v>44</v>
      </c>
    </row>
    <row r="5" spans="1:14" x14ac:dyDescent="0.35">
      <c r="A5" s="6"/>
      <c r="B5" s="6"/>
    </row>
    <row r="6" spans="1:14" x14ac:dyDescent="0.35">
      <c r="A6" s="104" t="s">
        <v>16</v>
      </c>
      <c r="B6" s="105"/>
      <c r="C6" s="67"/>
      <c r="D6" s="8" t="s">
        <v>3</v>
      </c>
      <c r="E6" s="8"/>
      <c r="F6" s="9"/>
      <c r="I6" s="110" t="s">
        <v>45</v>
      </c>
      <c r="J6" s="111"/>
      <c r="K6" s="111"/>
      <c r="L6" s="87"/>
      <c r="M6" s="16"/>
    </row>
    <row r="7" spans="1:14" x14ac:dyDescent="0.35">
      <c r="A7" s="106" t="s">
        <v>8</v>
      </c>
      <c r="B7" s="107"/>
      <c r="C7" s="72"/>
      <c r="D7" s="7" t="s">
        <v>3</v>
      </c>
      <c r="F7" s="10"/>
      <c r="I7" s="112" t="s">
        <v>8</v>
      </c>
      <c r="J7" s="113"/>
      <c r="K7" s="113"/>
      <c r="L7" s="86"/>
      <c r="M7" s="10"/>
      <c r="N7" s="88"/>
    </row>
    <row r="8" spans="1:14" x14ac:dyDescent="0.35">
      <c r="A8" s="106" t="s">
        <v>2</v>
      </c>
      <c r="B8" s="107"/>
      <c r="C8" s="68"/>
      <c r="D8" s="7" t="s">
        <v>18</v>
      </c>
      <c r="E8" s="7"/>
      <c r="F8" s="11"/>
      <c r="I8" s="112" t="s">
        <v>46</v>
      </c>
      <c r="J8" s="113"/>
      <c r="K8" s="113"/>
      <c r="L8" s="86"/>
      <c r="M8" s="10"/>
      <c r="N8" s="88"/>
    </row>
    <row r="9" spans="1:14" x14ac:dyDescent="0.35">
      <c r="A9" s="106" t="s">
        <v>9</v>
      </c>
      <c r="B9" s="107"/>
      <c r="C9" s="68"/>
      <c r="D9" s="1" t="s">
        <v>18</v>
      </c>
      <c r="F9" s="10"/>
      <c r="I9" s="112" t="s">
        <v>47</v>
      </c>
      <c r="J9" s="113"/>
      <c r="K9" s="113"/>
      <c r="L9" s="89"/>
      <c r="M9" s="90" t="s">
        <v>21</v>
      </c>
      <c r="N9" s="88"/>
    </row>
    <row r="10" spans="1:14" x14ac:dyDescent="0.35">
      <c r="A10" s="106" t="s">
        <v>4</v>
      </c>
      <c r="B10" s="107"/>
      <c r="C10" s="68"/>
      <c r="D10" s="1" t="s">
        <v>5</v>
      </c>
      <c r="F10" s="10"/>
      <c r="I10" s="112" t="s">
        <v>13</v>
      </c>
      <c r="J10" s="113"/>
      <c r="K10" s="113"/>
      <c r="L10" s="89"/>
      <c r="M10" s="90" t="s">
        <v>21</v>
      </c>
      <c r="N10" s="88"/>
    </row>
    <row r="11" spans="1:14" x14ac:dyDescent="0.35">
      <c r="A11" s="102" t="s">
        <v>6</v>
      </c>
      <c r="B11" s="103"/>
      <c r="C11" s="69"/>
      <c r="D11" s="12" t="s">
        <v>7</v>
      </c>
      <c r="E11" s="12"/>
      <c r="F11" s="13"/>
      <c r="I11" s="112" t="s">
        <v>48</v>
      </c>
      <c r="J11" s="113"/>
      <c r="K11" s="113"/>
      <c r="L11" s="73"/>
      <c r="M11" s="90" t="s">
        <v>23</v>
      </c>
      <c r="N11" s="88"/>
    </row>
    <row r="12" spans="1:14" x14ac:dyDescent="0.35">
      <c r="A12" s="7"/>
      <c r="B12" s="7"/>
      <c r="C12" s="2"/>
      <c r="I12" s="108" t="s">
        <v>49</v>
      </c>
      <c r="J12" s="109"/>
      <c r="K12" s="109"/>
      <c r="L12" s="17"/>
      <c r="M12" s="91" t="s">
        <v>23</v>
      </c>
      <c r="N12" s="88"/>
    </row>
    <row r="13" spans="1:14" x14ac:dyDescent="0.35">
      <c r="A13" s="7"/>
      <c r="B13" s="7"/>
      <c r="C13" s="2"/>
    </row>
    <row r="14" spans="1:14" x14ac:dyDescent="0.35">
      <c r="A14" s="5" t="s">
        <v>25</v>
      </c>
      <c r="B14" s="5"/>
      <c r="I14" s="5" t="s">
        <v>50</v>
      </c>
    </row>
    <row r="15" spans="1:14" x14ac:dyDescent="0.35">
      <c r="A15" s="6"/>
      <c r="B15" s="6"/>
    </row>
    <row r="16" spans="1:14" x14ac:dyDescent="0.35">
      <c r="A16" s="104" t="s">
        <v>12</v>
      </c>
      <c r="B16" s="105"/>
      <c r="C16" s="14"/>
      <c r="D16" s="15" t="s">
        <v>19</v>
      </c>
      <c r="E16" s="15"/>
      <c r="F16" s="16"/>
    </row>
    <row r="17" spans="1:14" x14ac:dyDescent="0.35">
      <c r="A17" s="106" t="s">
        <v>22</v>
      </c>
      <c r="B17" s="107"/>
      <c r="C17" s="73"/>
      <c r="D17" s="1" t="s">
        <v>23</v>
      </c>
      <c r="F17" s="10"/>
    </row>
    <row r="18" spans="1:14" x14ac:dyDescent="0.35">
      <c r="A18" s="106" t="s">
        <v>20</v>
      </c>
      <c r="B18" s="107"/>
      <c r="C18" s="73"/>
      <c r="D18" s="1" t="s">
        <v>21</v>
      </c>
      <c r="F18" s="10"/>
      <c r="G18" s="74"/>
      <c r="H18" s="75"/>
      <c r="I18" s="75"/>
      <c r="J18" s="75"/>
      <c r="K18" s="75"/>
      <c r="L18" s="75"/>
      <c r="M18" s="75"/>
      <c r="N18" s="75"/>
    </row>
    <row r="19" spans="1:14" x14ac:dyDescent="0.35">
      <c r="A19" s="70" t="s">
        <v>37</v>
      </c>
      <c r="B19" s="71"/>
      <c r="C19" s="17"/>
      <c r="D19" s="12" t="s">
        <v>21</v>
      </c>
      <c r="E19" s="12"/>
      <c r="F19" s="13"/>
      <c r="G19" s="74"/>
      <c r="H19" s="75"/>
      <c r="I19" s="75"/>
      <c r="J19" s="75"/>
      <c r="K19" s="75"/>
      <c r="L19" s="75"/>
      <c r="M19" s="75"/>
      <c r="N19" s="75"/>
    </row>
    <row r="20" spans="1:14" x14ac:dyDescent="0.35">
      <c r="A20" s="7"/>
      <c r="B20" s="7"/>
      <c r="G20" s="3"/>
      <c r="H20" s="3"/>
      <c r="I20" s="3"/>
      <c r="J20" s="3"/>
      <c r="K20" s="3"/>
      <c r="L20" s="3"/>
    </row>
    <row r="22" spans="1:14" x14ac:dyDescent="0.35">
      <c r="C22" s="99" t="s">
        <v>24</v>
      </c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1"/>
    </row>
    <row r="23" spans="1:14" x14ac:dyDescent="0.35">
      <c r="B23" s="60" t="s">
        <v>21</v>
      </c>
      <c r="C23" s="61">
        <v>1</v>
      </c>
      <c r="D23" s="62">
        <v>2</v>
      </c>
      <c r="E23" s="62">
        <v>3</v>
      </c>
      <c r="F23" s="62">
        <v>4</v>
      </c>
      <c r="G23" s="62">
        <v>5</v>
      </c>
      <c r="H23" s="62">
        <v>6</v>
      </c>
      <c r="I23" s="62">
        <v>7</v>
      </c>
      <c r="J23" s="62">
        <v>8</v>
      </c>
      <c r="K23" s="62">
        <v>9</v>
      </c>
      <c r="L23" s="62">
        <v>10</v>
      </c>
      <c r="M23" s="62">
        <v>11</v>
      </c>
      <c r="N23" s="63">
        <v>12</v>
      </c>
    </row>
    <row r="24" spans="1:14" x14ac:dyDescent="0.35">
      <c r="A24" s="53" t="s">
        <v>34</v>
      </c>
      <c r="B24" s="64"/>
      <c r="C24" s="54"/>
      <c r="D24" s="54"/>
      <c r="E24" s="54"/>
      <c r="F24" s="54"/>
      <c r="G24" s="14"/>
      <c r="H24" s="54"/>
      <c r="I24" s="54"/>
      <c r="J24" s="54"/>
      <c r="K24" s="54"/>
      <c r="L24" s="54"/>
      <c r="M24" s="54"/>
      <c r="N24" s="55"/>
    </row>
    <row r="25" spans="1:14" x14ac:dyDescent="0.35">
      <c r="A25" s="56" t="s">
        <v>36</v>
      </c>
      <c r="B25" s="65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7"/>
    </row>
    <row r="26" spans="1:14" x14ac:dyDescent="0.35">
      <c r="A26" s="59" t="s">
        <v>35</v>
      </c>
      <c r="B26" s="66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7"/>
    </row>
    <row r="27" spans="1:14" x14ac:dyDescent="0.35">
      <c r="A27" s="4" t="s">
        <v>26</v>
      </c>
      <c r="B27" s="58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8"/>
    </row>
  </sheetData>
  <mergeCells count="17">
    <mergeCell ref="A9:B9"/>
    <mergeCell ref="A10:B10"/>
    <mergeCell ref="I9:K9"/>
    <mergeCell ref="I10:K10"/>
    <mergeCell ref="I11:K11"/>
    <mergeCell ref="I6:K6"/>
    <mergeCell ref="I7:K7"/>
    <mergeCell ref="I8:K8"/>
    <mergeCell ref="A6:B6"/>
    <mergeCell ref="A7:B7"/>
    <mergeCell ref="A8:B8"/>
    <mergeCell ref="C22:N22"/>
    <mergeCell ref="A11:B11"/>
    <mergeCell ref="A16:B16"/>
    <mergeCell ref="A17:B17"/>
    <mergeCell ref="A18:B18"/>
    <mergeCell ref="I12:K12"/>
  </mergeCells>
  <conditionalFormatting sqref="G18:G19 G20:L20">
    <cfRule type="containsText" dxfId="0" priority="1" operator="containsText" text="Attention">
      <formula>NOT(ISERROR(SEARCH("Attention",G18)))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9"/>
  <sheetViews>
    <sheetView zoomScale="90" zoomScaleNormal="90" workbookViewId="0">
      <pane xSplit="1" topLeftCell="G1" activePane="topRight" state="frozen"/>
      <selection pane="topRight" activeCell="H14" sqref="H14"/>
    </sheetView>
  </sheetViews>
  <sheetFormatPr baseColWidth="10" defaultColWidth="11.44140625" defaultRowHeight="18" x14ac:dyDescent="0.35"/>
  <cols>
    <col min="1" max="1" width="67.88671875" style="1" customWidth="1"/>
    <col min="2" max="2" width="11.44140625" style="1"/>
    <col min="3" max="14" width="16" style="1" bestFit="1" customWidth="1"/>
    <col min="15" max="15" width="19" style="1" customWidth="1"/>
    <col min="16" max="16384" width="11.44140625" style="1"/>
  </cols>
  <sheetData>
    <row r="1" spans="1:14" ht="18.600000000000001" thickBot="1" x14ac:dyDescent="0.4">
      <c r="A1" s="5" t="s">
        <v>10</v>
      </c>
    </row>
    <row r="2" spans="1:14" x14ac:dyDescent="0.35">
      <c r="A2" s="20"/>
      <c r="B2" s="21"/>
      <c r="C2" s="114" t="s">
        <v>24</v>
      </c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5"/>
    </row>
    <row r="3" spans="1:14" x14ac:dyDescent="0.35">
      <c r="A3" s="22"/>
      <c r="B3" s="23" t="s">
        <v>0</v>
      </c>
      <c r="C3" s="23">
        <v>1</v>
      </c>
      <c r="D3" s="23">
        <v>2</v>
      </c>
      <c r="E3" s="23">
        <v>3</v>
      </c>
      <c r="F3" s="23">
        <v>4</v>
      </c>
      <c r="G3" s="23">
        <v>5</v>
      </c>
      <c r="H3" s="23">
        <v>6</v>
      </c>
      <c r="I3" s="23">
        <v>7</v>
      </c>
      <c r="J3" s="23">
        <v>8</v>
      </c>
      <c r="K3" s="23">
        <v>9</v>
      </c>
      <c r="L3" s="23">
        <v>10</v>
      </c>
      <c r="M3" s="23">
        <v>11</v>
      </c>
      <c r="N3" s="24">
        <v>12</v>
      </c>
    </row>
    <row r="4" spans="1:14" x14ac:dyDescent="0.35">
      <c r="A4" s="29" t="s">
        <v>27</v>
      </c>
      <c r="B4" s="27"/>
      <c r="C4" s="79">
        <f>'Données du problème'!C27</f>
        <v>0</v>
      </c>
      <c r="D4" s="79">
        <f>'Données du problème'!D27</f>
        <v>0</v>
      </c>
      <c r="E4" s="79">
        <f>'Données du problème'!E27</f>
        <v>0</v>
      </c>
      <c r="F4" s="79">
        <f>'Données du problème'!F27</f>
        <v>0</v>
      </c>
      <c r="G4" s="79">
        <f>'Données du problème'!G27</f>
        <v>0</v>
      </c>
      <c r="H4" s="79">
        <f>'Données du problème'!H27</f>
        <v>0</v>
      </c>
      <c r="I4" s="79">
        <f>'Données du problème'!I27</f>
        <v>0</v>
      </c>
      <c r="J4" s="79">
        <f>'Données du problème'!J27</f>
        <v>0</v>
      </c>
      <c r="K4" s="79">
        <f>'Données du problème'!K27</f>
        <v>0</v>
      </c>
      <c r="L4" s="79">
        <f>'Données du problème'!L27</f>
        <v>0</v>
      </c>
      <c r="M4" s="79">
        <f>'Données du problème'!M27</f>
        <v>0</v>
      </c>
      <c r="N4" s="80">
        <f>'Données du problème'!N27</f>
        <v>0</v>
      </c>
    </row>
    <row r="5" spans="1:14" x14ac:dyDescent="0.35">
      <c r="A5" s="26" t="s">
        <v>28</v>
      </c>
      <c r="B5" s="28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2"/>
    </row>
    <row r="6" spans="1:14" x14ac:dyDescent="0.35">
      <c r="A6" s="96" t="s">
        <v>30</v>
      </c>
      <c r="B6" s="97">
        <f>'Données du problème'!C18</f>
        <v>0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8"/>
    </row>
    <row r="7" spans="1:14" x14ac:dyDescent="0.35">
      <c r="A7" s="30" t="s">
        <v>11</v>
      </c>
      <c r="B7" s="25">
        <f>'Données du problème'!C17</f>
        <v>0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5"/>
    </row>
    <row r="8" spans="1:14" x14ac:dyDescent="0.35">
      <c r="A8" s="31" t="s">
        <v>33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83"/>
    </row>
    <row r="9" spans="1:14" x14ac:dyDescent="0.35">
      <c r="A9" s="31" t="s">
        <v>31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83"/>
    </row>
    <row r="10" spans="1:14" x14ac:dyDescent="0.35">
      <c r="A10" s="33" t="s">
        <v>29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84"/>
    </row>
    <row r="11" spans="1:14" ht="18.600000000000001" thickBot="1" x14ac:dyDescent="0.4">
      <c r="A11" s="35" t="s">
        <v>42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85"/>
    </row>
    <row r="12" spans="1:14" x14ac:dyDescent="0.3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 x14ac:dyDescent="0.35">
      <c r="A13" s="76" t="s">
        <v>41</v>
      </c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</row>
    <row r="14" spans="1:14" x14ac:dyDescent="0.35">
      <c r="A14" s="76" t="s">
        <v>38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</row>
    <row r="15" spans="1:14" x14ac:dyDescent="0.35">
      <c r="A15" s="76" t="s">
        <v>39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</row>
    <row r="16" spans="1:14" x14ac:dyDescent="0.35">
      <c r="A16" s="76" t="s">
        <v>40</v>
      </c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</row>
    <row r="17" spans="1:15" x14ac:dyDescent="0.35">
      <c r="A17" s="76" t="s">
        <v>43</v>
      </c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</row>
    <row r="18" spans="1:15" x14ac:dyDescent="0.3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5" ht="18.600000000000001" thickBot="1" x14ac:dyDescent="0.4">
      <c r="A19" s="5" t="s">
        <v>32</v>
      </c>
    </row>
    <row r="20" spans="1:15" x14ac:dyDescent="0.35">
      <c r="A20" s="20"/>
      <c r="B20" s="21"/>
      <c r="C20" s="114" t="s">
        <v>24</v>
      </c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37"/>
    </row>
    <row r="21" spans="1:15" x14ac:dyDescent="0.35">
      <c r="A21" s="22"/>
      <c r="C21" s="23">
        <v>1</v>
      </c>
      <c r="D21" s="23">
        <v>2</v>
      </c>
      <c r="E21" s="23">
        <v>3</v>
      </c>
      <c r="F21" s="23">
        <v>4</v>
      </c>
      <c r="G21" s="23">
        <v>5</v>
      </c>
      <c r="H21" s="23">
        <v>6</v>
      </c>
      <c r="I21" s="23">
        <v>7</v>
      </c>
      <c r="J21" s="23">
        <v>8</v>
      </c>
      <c r="K21" s="23">
        <v>9</v>
      </c>
      <c r="L21" s="23">
        <v>10</v>
      </c>
      <c r="M21" s="23">
        <v>11</v>
      </c>
      <c r="N21" s="23">
        <v>12</v>
      </c>
      <c r="O21" s="24" t="s">
        <v>1</v>
      </c>
    </row>
    <row r="22" spans="1:15" x14ac:dyDescent="0.35">
      <c r="A22" s="48" t="s">
        <v>2</v>
      </c>
      <c r="B22" s="49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1"/>
    </row>
    <row r="23" spans="1:15" x14ac:dyDescent="0.35">
      <c r="A23" s="48" t="s">
        <v>13</v>
      </c>
      <c r="B23" s="49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1"/>
    </row>
    <row r="24" spans="1:15" x14ac:dyDescent="0.35">
      <c r="A24" s="31" t="s">
        <v>4</v>
      </c>
      <c r="B24" s="32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9"/>
    </row>
    <row r="25" spans="1:15" x14ac:dyDescent="0.35">
      <c r="A25" s="31" t="s">
        <v>6</v>
      </c>
      <c r="B25" s="32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9"/>
    </row>
    <row r="26" spans="1:15" x14ac:dyDescent="0.35">
      <c r="A26" s="30" t="s">
        <v>14</v>
      </c>
      <c r="B26" s="25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1"/>
    </row>
    <row r="27" spans="1:15" x14ac:dyDescent="0.35">
      <c r="A27" s="33" t="s">
        <v>15</v>
      </c>
      <c r="B27" s="34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3"/>
    </row>
    <row r="28" spans="1:15" ht="18.600000000000001" thickBot="1" x14ac:dyDescent="0.4">
      <c r="A28" s="44" t="s">
        <v>1</v>
      </c>
      <c r="B28" s="45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7"/>
    </row>
    <row r="29" spans="1:15" x14ac:dyDescent="0.35">
      <c r="O29" s="18"/>
    </row>
  </sheetData>
  <mergeCells count="2">
    <mergeCell ref="C2:N2"/>
    <mergeCell ref="C20:N20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70DC-8B26-443B-9E13-75E8A7301066}">
  <dimension ref="A1:O29"/>
  <sheetViews>
    <sheetView zoomScale="90" zoomScaleNormal="90" workbookViewId="0">
      <pane xSplit="1" topLeftCell="G1" activePane="topRight" state="frozen"/>
      <selection pane="topRight" activeCell="H14" sqref="H14"/>
    </sheetView>
  </sheetViews>
  <sheetFormatPr baseColWidth="10" defaultColWidth="11.44140625" defaultRowHeight="18" x14ac:dyDescent="0.35"/>
  <cols>
    <col min="1" max="1" width="67.88671875" style="1" customWidth="1"/>
    <col min="2" max="2" width="11.44140625" style="1"/>
    <col min="3" max="14" width="16" style="1" bestFit="1" customWidth="1"/>
    <col min="15" max="15" width="19" style="1" customWidth="1"/>
    <col min="16" max="16384" width="11.44140625" style="1"/>
  </cols>
  <sheetData>
    <row r="1" spans="1:14" ht="18.600000000000001" thickBot="1" x14ac:dyDescent="0.4">
      <c r="A1" s="5" t="s">
        <v>10</v>
      </c>
    </row>
    <row r="2" spans="1:14" x14ac:dyDescent="0.35">
      <c r="A2" s="20"/>
      <c r="B2" s="21"/>
      <c r="C2" s="114" t="s">
        <v>24</v>
      </c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5"/>
    </row>
    <row r="3" spans="1:14" x14ac:dyDescent="0.35">
      <c r="A3" s="22"/>
      <c r="B3" s="23" t="s">
        <v>0</v>
      </c>
      <c r="C3" s="23">
        <v>1</v>
      </c>
      <c r="D3" s="23">
        <v>2</v>
      </c>
      <c r="E3" s="23">
        <v>3</v>
      </c>
      <c r="F3" s="23">
        <v>4</v>
      </c>
      <c r="G3" s="23">
        <v>5</v>
      </c>
      <c r="H3" s="23">
        <v>6</v>
      </c>
      <c r="I3" s="23">
        <v>7</v>
      </c>
      <c r="J3" s="23">
        <v>8</v>
      </c>
      <c r="K3" s="23">
        <v>9</v>
      </c>
      <c r="L3" s="23">
        <v>10</v>
      </c>
      <c r="M3" s="23">
        <v>11</v>
      </c>
      <c r="N3" s="24">
        <v>12</v>
      </c>
    </row>
    <row r="4" spans="1:14" x14ac:dyDescent="0.35">
      <c r="A4" s="29" t="s">
        <v>27</v>
      </c>
      <c r="B4" s="27"/>
      <c r="C4" s="79">
        <f>'Données du problème'!C27</f>
        <v>0</v>
      </c>
      <c r="D4" s="79">
        <f>'Données du problème'!D27</f>
        <v>0</v>
      </c>
      <c r="E4" s="79">
        <f>'Données du problème'!E27</f>
        <v>0</v>
      </c>
      <c r="F4" s="79">
        <f>'Données du problème'!F27</f>
        <v>0</v>
      </c>
      <c r="G4" s="79">
        <f>'Données du problème'!G27</f>
        <v>0</v>
      </c>
      <c r="H4" s="79">
        <f>'Données du problème'!H27</f>
        <v>0</v>
      </c>
      <c r="I4" s="79">
        <f>'Données du problème'!I27</f>
        <v>0</v>
      </c>
      <c r="J4" s="79">
        <f>'Données du problème'!J27</f>
        <v>0</v>
      </c>
      <c r="K4" s="79">
        <f>'Données du problème'!K27</f>
        <v>0</v>
      </c>
      <c r="L4" s="79">
        <f>'Données du problème'!L27</f>
        <v>0</v>
      </c>
      <c r="M4" s="79">
        <f>'Données du problème'!M27</f>
        <v>0</v>
      </c>
      <c r="N4" s="80">
        <f>'Données du problème'!N27</f>
        <v>0</v>
      </c>
    </row>
    <row r="5" spans="1:14" x14ac:dyDescent="0.35">
      <c r="A5" s="26" t="s">
        <v>28</v>
      </c>
      <c r="B5" s="28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2"/>
    </row>
    <row r="6" spans="1:14" x14ac:dyDescent="0.35">
      <c r="A6" s="96" t="s">
        <v>30</v>
      </c>
      <c r="B6" s="97">
        <f>'Données du problème'!C18</f>
        <v>0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8"/>
    </row>
    <row r="7" spans="1:14" x14ac:dyDescent="0.35">
      <c r="A7" s="30" t="s">
        <v>11</v>
      </c>
      <c r="B7" s="25">
        <f>'Données du problème'!C17</f>
        <v>0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5"/>
    </row>
    <row r="8" spans="1:14" x14ac:dyDescent="0.35">
      <c r="A8" s="31" t="s">
        <v>33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83"/>
    </row>
    <row r="9" spans="1:14" x14ac:dyDescent="0.35">
      <c r="A9" s="31" t="s">
        <v>31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83"/>
    </row>
    <row r="10" spans="1:14" x14ac:dyDescent="0.35">
      <c r="A10" s="33" t="s">
        <v>29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84"/>
    </row>
    <row r="11" spans="1:14" ht="18.600000000000001" thickBot="1" x14ac:dyDescent="0.4">
      <c r="A11" s="35" t="s">
        <v>42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85"/>
    </row>
    <row r="12" spans="1:14" x14ac:dyDescent="0.3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 x14ac:dyDescent="0.35">
      <c r="A13" s="76" t="s">
        <v>41</v>
      </c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</row>
    <row r="14" spans="1:14" x14ac:dyDescent="0.35">
      <c r="A14" s="76" t="s">
        <v>38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</row>
    <row r="15" spans="1:14" x14ac:dyDescent="0.35">
      <c r="A15" s="76" t="s">
        <v>39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</row>
    <row r="16" spans="1:14" x14ac:dyDescent="0.35">
      <c r="A16" s="76" t="s">
        <v>40</v>
      </c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</row>
    <row r="17" spans="1:15" x14ac:dyDescent="0.35">
      <c r="A17" s="76" t="s">
        <v>43</v>
      </c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</row>
    <row r="18" spans="1:15" x14ac:dyDescent="0.3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5" ht="18.600000000000001" thickBot="1" x14ac:dyDescent="0.4">
      <c r="A19" s="5" t="s">
        <v>32</v>
      </c>
    </row>
    <row r="20" spans="1:15" x14ac:dyDescent="0.35">
      <c r="A20" s="20"/>
      <c r="B20" s="21"/>
      <c r="C20" s="114" t="s">
        <v>24</v>
      </c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37"/>
    </row>
    <row r="21" spans="1:15" x14ac:dyDescent="0.35">
      <c r="A21" s="22"/>
      <c r="C21" s="23">
        <v>1</v>
      </c>
      <c r="D21" s="23">
        <v>2</v>
      </c>
      <c r="E21" s="23">
        <v>3</v>
      </c>
      <c r="F21" s="23">
        <v>4</v>
      </c>
      <c r="G21" s="23">
        <v>5</v>
      </c>
      <c r="H21" s="23">
        <v>6</v>
      </c>
      <c r="I21" s="23">
        <v>7</v>
      </c>
      <c r="J21" s="23">
        <v>8</v>
      </c>
      <c r="K21" s="23">
        <v>9</v>
      </c>
      <c r="L21" s="23">
        <v>10</v>
      </c>
      <c r="M21" s="23">
        <v>11</v>
      </c>
      <c r="N21" s="23">
        <v>12</v>
      </c>
      <c r="O21" s="24" t="s">
        <v>1</v>
      </c>
    </row>
    <row r="22" spans="1:15" x14ac:dyDescent="0.35">
      <c r="A22" s="48" t="s">
        <v>2</v>
      </c>
      <c r="B22" s="49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1"/>
    </row>
    <row r="23" spans="1:15" x14ac:dyDescent="0.35">
      <c r="A23" s="48" t="s">
        <v>13</v>
      </c>
      <c r="B23" s="49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1"/>
    </row>
    <row r="24" spans="1:15" x14ac:dyDescent="0.35">
      <c r="A24" s="31" t="s">
        <v>4</v>
      </c>
      <c r="B24" s="32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9"/>
    </row>
    <row r="25" spans="1:15" x14ac:dyDescent="0.35">
      <c r="A25" s="31" t="s">
        <v>6</v>
      </c>
      <c r="B25" s="32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9"/>
    </row>
    <row r="26" spans="1:15" x14ac:dyDescent="0.35">
      <c r="A26" s="30" t="s">
        <v>14</v>
      </c>
      <c r="B26" s="25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1"/>
    </row>
    <row r="27" spans="1:15" x14ac:dyDescent="0.35">
      <c r="A27" s="33" t="s">
        <v>15</v>
      </c>
      <c r="B27" s="34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3"/>
    </row>
    <row r="28" spans="1:15" ht="18.600000000000001" thickBot="1" x14ac:dyDescent="0.4">
      <c r="A28" s="44" t="s">
        <v>1</v>
      </c>
      <c r="B28" s="45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7"/>
    </row>
    <row r="29" spans="1:15" x14ac:dyDescent="0.35">
      <c r="O29" s="18"/>
    </row>
  </sheetData>
  <mergeCells count="2">
    <mergeCell ref="C2:N2"/>
    <mergeCell ref="C20:N20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 du problème</vt:lpstr>
      <vt:lpstr>Plan nivelé</vt:lpstr>
      <vt:lpstr>Plan synchrone</vt:lpstr>
    </vt:vector>
  </TitlesOfParts>
  <Company>HEC Montréal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Chantal</dc:creator>
  <cp:lastModifiedBy>Claire Poitras</cp:lastModifiedBy>
  <dcterms:created xsi:type="dcterms:W3CDTF">2018-02-14T14:06:25Z</dcterms:created>
  <dcterms:modified xsi:type="dcterms:W3CDTF">2024-06-12T17:40:08Z</dcterms:modified>
</cp:coreProperties>
</file>