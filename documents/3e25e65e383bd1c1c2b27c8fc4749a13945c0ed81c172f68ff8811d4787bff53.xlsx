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00012161\Documents\2-500\Exercices IAG\05 - Plan global\Inspiration A2024 pour A2026\"/>
    </mc:Choice>
  </mc:AlternateContent>
  <xr:revisionPtr revIDLastSave="0" documentId="13_ncr:1_{FD52E1F3-16BA-4B0A-9F97-8A1035C89549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Données du problème" sheetId="10" r:id="rId1"/>
    <sheet name="Question 1" sheetId="18" r:id="rId2"/>
    <sheet name="Question 2" sheetId="14" r:id="rId3"/>
    <sheet name="Question 3" sheetId="21" r:id="rId4"/>
  </sheets>
  <definedNames>
    <definedName name="_Hlk532205760" localSheetId="3">'Question 3'!$A$2</definedName>
    <definedName name="solver_cvg" localSheetId="2" hidden="1">0.0001</definedName>
    <definedName name="solver_drv" localSheetId="2" hidden="1">2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'Question 2'!$C$6:$N$6</definedName>
    <definedName name="solver_lhs10" localSheetId="2" hidden="1">'Question 2'!$C$10:$N$10</definedName>
    <definedName name="solver_lhs11" localSheetId="2" hidden="1">'Question 2'!$C$11:$N$11</definedName>
    <definedName name="solver_lhs12" localSheetId="2" hidden="1">'Question 2'!#REF!</definedName>
    <definedName name="solver_lhs13" localSheetId="2" hidden="1">'Question 2'!#REF!</definedName>
    <definedName name="solver_lhs14" localSheetId="2" hidden="1">'Question 2'!$N$7</definedName>
    <definedName name="solver_lhs15" localSheetId="2" hidden="1">'Question 2'!$N$7</definedName>
    <definedName name="solver_lhs2" localSheetId="2" hidden="1">'Question 2'!$C$8:$N$8</definedName>
    <definedName name="solver_lhs3" localSheetId="2" hidden="1">'Question 2'!$C$8:$N$8</definedName>
    <definedName name="solver_lhs4" localSheetId="2" hidden="1">'Question 2'!$C$7:$N$7</definedName>
    <definedName name="solver_lhs5" localSheetId="2" hidden="1">'Question 2'!$C$7:$N$7</definedName>
    <definedName name="solver_lhs6" localSheetId="2" hidden="1">'Question 2'!$C$7:$N$10</definedName>
    <definedName name="solver_lhs7" localSheetId="2" hidden="1">'Question 2'!#REF!</definedName>
    <definedName name="solver_lhs8" localSheetId="2" hidden="1">'Question 2'!#REF!</definedName>
    <definedName name="solver_lhs9" localSheetId="2" hidden="1">'Question 2'!$C$9:$N$9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pre" localSheetId="2" hidden="1">0.000001</definedName>
    <definedName name="solver_rbv" localSheetId="2" hidden="1">2</definedName>
    <definedName name="solver_rel1" localSheetId="2" hidden="1">3</definedName>
    <definedName name="solver_rel10" localSheetId="2" hidden="1">3</definedName>
    <definedName name="solver_rel11" localSheetId="2" hidden="1">3</definedName>
    <definedName name="solver_rel12" localSheetId="2" hidden="1">3</definedName>
    <definedName name="solver_rel13" localSheetId="2" hidden="1">3</definedName>
    <definedName name="solver_rel14" localSheetId="2" hidden="1">1</definedName>
    <definedName name="solver_rel15" localSheetId="2" hidden="1">3</definedName>
    <definedName name="solver_rel2" localSheetId="2" hidden="1">1</definedName>
    <definedName name="solver_rel3" localSheetId="2" hidden="1">3</definedName>
    <definedName name="solver_rel4" localSheetId="2" hidden="1">1</definedName>
    <definedName name="solver_rel5" localSheetId="2" hidden="1">3</definedName>
    <definedName name="solver_rel6" localSheetId="2" hidden="1">4</definedName>
    <definedName name="solver_rel7" localSheetId="2" hidden="1">1</definedName>
    <definedName name="solver_rel8" localSheetId="2" hidden="1">3</definedName>
    <definedName name="solver_rel9" localSheetId="2" hidden="1">3</definedName>
    <definedName name="solver_rhs1" localSheetId="2" hidden="1">0</definedName>
    <definedName name="solver_rhs10" localSheetId="2" hidden="1">0</definedName>
    <definedName name="solver_rhs11" localSheetId="2" hidden="1">0</definedName>
    <definedName name="solver_rhs12" localSheetId="2" hidden="1">0</definedName>
    <definedName name="solver_rhs13" localSheetId="2" hidden="1">0</definedName>
    <definedName name="solver_rhs14" localSheetId="2" hidden="1">'Question 2'!#REF!</definedName>
    <definedName name="solver_rhs15" localSheetId="2" hidden="1">'Question 2'!#REF!</definedName>
    <definedName name="solver_rhs2" localSheetId="2" hidden="1">'Question 2'!#REF!</definedName>
    <definedName name="solver_rhs3" localSheetId="2" hidden="1">'Question 2'!#REF!</definedName>
    <definedName name="solver_rhs4" localSheetId="2" hidden="1">'Question 2'!#REF!</definedName>
    <definedName name="solver_rhs5" localSheetId="2" hidden="1">0</definedName>
    <definedName name="solver_rhs6" localSheetId="2" hidden="1">entier</definedName>
    <definedName name="solver_rhs7" localSheetId="2" hidden="1">'Question 2'!#REF!</definedName>
    <definedName name="solver_rhs8" localSheetId="2" hidden="1">0</definedName>
    <definedName name="solver_rhs9" localSheetId="2" hidden="1">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4" l="1"/>
  <c r="C5" i="10" l="1"/>
  <c r="D5" i="14" l="1"/>
  <c r="E5" i="14"/>
  <c r="F5" i="14"/>
  <c r="G5" i="14"/>
  <c r="H5" i="14"/>
  <c r="I5" i="14"/>
  <c r="J5" i="14"/>
  <c r="K5" i="14"/>
  <c r="L5" i="14"/>
  <c r="M5" i="14"/>
  <c r="N5" i="14"/>
  <c r="L14" i="14" l="1"/>
  <c r="K14" i="14"/>
  <c r="G14" i="14"/>
  <c r="D14" i="14"/>
  <c r="M14" i="14"/>
  <c r="N14" i="14"/>
  <c r="F14" i="14"/>
  <c r="E14" i="14"/>
  <c r="J14" i="14"/>
  <c r="I14" i="14"/>
  <c r="H14" i="14"/>
  <c r="C5" i="14"/>
  <c r="B7" i="14" l="1"/>
  <c r="C14" i="14" s="1"/>
</calcChain>
</file>

<file path=xl/sharedStrings.xml><?xml version="1.0" encoding="utf-8"?>
<sst xmlns="http://schemas.openxmlformats.org/spreadsheetml/2006/main" count="77" uniqueCount="61">
  <si>
    <t>Liste des coûts</t>
  </si>
  <si>
    <t>Liste des contraintes</t>
  </si>
  <si>
    <t>Salaire régulier</t>
  </si>
  <si>
    <t>par employé par période</t>
  </si>
  <si>
    <t>Temps supplémentaire</t>
  </si>
  <si>
    <t>Stockage</t>
  </si>
  <si>
    <t>par UE par période</t>
  </si>
  <si>
    <t>Temps mort</t>
  </si>
  <si>
    <t>Pénuries reportées</t>
  </si>
  <si>
    <t>Capacité d'entreposage</t>
  </si>
  <si>
    <t>UE</t>
  </si>
  <si>
    <t>Embauche</t>
  </si>
  <si>
    <t>par employé embauché</t>
  </si>
  <si>
    <t>Pénurie</t>
  </si>
  <si>
    <t>Mise à pied</t>
  </si>
  <si>
    <t>par employé licencié</t>
  </si>
  <si>
    <t>Nombre minimum d'employés</t>
  </si>
  <si>
    <t>employés</t>
  </si>
  <si>
    <t>Nombre maximum d'employés</t>
  </si>
  <si>
    <t>Autres données du problème</t>
  </si>
  <si>
    <t>Production par employé</t>
  </si>
  <si>
    <t>UE par période</t>
  </si>
  <si>
    <t>Nombre initial d'employés</t>
  </si>
  <si>
    <t>Stock initial</t>
  </si>
  <si>
    <t>Stock final</t>
  </si>
  <si>
    <t>Période</t>
  </si>
  <si>
    <t>Demande prévue (en UE)</t>
  </si>
  <si>
    <t>Plan global de production synchrone</t>
  </si>
  <si>
    <t>L'important est que votre solution respecte l'ensemble des contraintes.</t>
  </si>
  <si>
    <t>Initial</t>
  </si>
  <si>
    <t>Demande (en UE)</t>
  </si>
  <si>
    <t>Production (en UE)</t>
  </si>
  <si>
    <t>Stock (en UE)</t>
  </si>
  <si>
    <t>Nombre d'employés</t>
  </si>
  <si>
    <t>Embauches (en nombre d'employés)</t>
  </si>
  <si>
    <t>Mises à pied (en nombre d'employés)</t>
  </si>
  <si>
    <t>Temps supplémentaire (en nombre d'employés)</t>
  </si>
  <si>
    <t>Temps mort (en nombres d'employés)</t>
  </si>
  <si>
    <t>Nombre d'employés nécessaires</t>
  </si>
  <si>
    <t>Variation main d'œuvre (embauche)</t>
  </si>
  <si>
    <t>Variation main d'œuvre (mise à pied)</t>
  </si>
  <si>
    <t>Utilisation temps supplémentaire</t>
  </si>
  <si>
    <t>Utilisation temps mort</t>
  </si>
  <si>
    <t>Tableau des coûts associés</t>
  </si>
  <si>
    <t>Total</t>
  </si>
  <si>
    <t>Salaire - heures régulières</t>
  </si>
  <si>
    <t>Salaire - heures supplémentaires</t>
  </si>
  <si>
    <t>Plusieurs solutions possibles</t>
  </si>
  <si>
    <t>Variation de main d'œuvre*</t>
  </si>
  <si>
    <t xml:space="preserve">*Les variations de main-d'œuvre ne peuvent avoir lieu deux mois </t>
  </si>
  <si>
    <t>consécutifs.</t>
  </si>
  <si>
    <t>À l’aide d’un calcul approprié, déterminez pour combien de mois il est économiquement préférable de payer du temps supplémentaire aux employés actuels</t>
  </si>
  <si>
    <t xml:space="preserve">plutôt que d’embaucher des employés et de les mettre à pied par la suite. </t>
  </si>
  <si>
    <t xml:space="preserve">Le comité se demande s’il pourrait être souhaitable de hausser le plafond du nombre d’employés afin de diminuer l’utilisation du temps supplémentaire. </t>
  </si>
  <si>
    <t>a) Quelle sera la production mensuelle pour l'année 2027, si l'entreprise adopte une stratégie de nivellement?</t>
  </si>
  <si>
    <t>Présentez vos calculs.</t>
  </si>
  <si>
    <t>Si certaines d’entre elles ne sont pas respectées mentionner lesquelles.</t>
  </si>
  <si>
    <t xml:space="preserve">b) Si la stratégie de nivellement était choisie, est-ce que l’ensemble des contraintes du problème seraient respectées? </t>
  </si>
  <si>
    <t>Compact</t>
  </si>
  <si>
    <t>Confort</t>
  </si>
  <si>
    <t>Grand froid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</si>
</sst>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* #,##0.00_)\ &quot;$&quot;_ ;_ * \(#,##0.00\)\ &quot;$&quot;_ ;_ * &quot;-&quot;??_)\ &quot;$&quot;_ ;_ @_ "/>
    <numFmt numFmtId="164" formatCode="#,##0.00\ &quot;$&quot;"/>
    <numFmt numFmtId="165" formatCode="_ * #,##0_)\ &quot;$&quot;_ ;_ * \(#,##0\)\ &quot;$&quot;_ ;_ * &quot;-&quot;??_)\ &quot;$&quot;_ ;_ @_ "/>
    <numFmt numFmtId="166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 tint="-0.249977111117893"/>
      <name val="Calibri"/>
      <family val="2"/>
      <scheme val="minor"/>
    </font>
    <font>
      <i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rgb="FF0070C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8FFD1"/>
        <bgColor indexed="64"/>
      </patternFill>
    </fill>
    <fill>
      <patternFill patternType="solid">
        <fgColor rgb="FFE0D1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2" fillId="0" borderId="0" xfId="0" applyFont="1"/>
    <xf numFmtId="44" fontId="2" fillId="0" borderId="0" xfId="1" applyFont="1" applyFill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10" xfId="0" applyFont="1" applyBorder="1"/>
    <xf numFmtId="0" fontId="6" fillId="0" borderId="11" xfId="0" applyFont="1" applyBorder="1"/>
    <xf numFmtId="0" fontId="2" fillId="0" borderId="16" xfId="0" applyFont="1" applyBorder="1"/>
    <xf numFmtId="0" fontId="6" fillId="0" borderId="16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0" xfId="0" applyFont="1" applyBorder="1"/>
    <xf numFmtId="0" fontId="2" fillId="0" borderId="11" xfId="0" applyFont="1" applyBorder="1"/>
    <xf numFmtId="0" fontId="2" fillId="2" borderId="13" xfId="0" applyFont="1" applyFill="1" applyBorder="1"/>
    <xf numFmtId="164" fontId="2" fillId="0" borderId="0" xfId="0" applyNumberFormat="1" applyFont="1"/>
    <xf numFmtId="0" fontId="8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7" fillId="0" borderId="5" xfId="0" applyFont="1" applyBorder="1" applyAlignment="1">
      <alignment horizontal="center"/>
    </xf>
    <xf numFmtId="0" fontId="2" fillId="7" borderId="4" xfId="0" applyFont="1" applyFill="1" applyBorder="1"/>
    <xf numFmtId="0" fontId="2" fillId="6" borderId="4" xfId="0" applyFont="1" applyFill="1" applyBorder="1"/>
    <xf numFmtId="0" fontId="2" fillId="5" borderId="4" xfId="0" applyFont="1" applyFill="1" applyBorder="1"/>
    <xf numFmtId="0" fontId="2" fillId="4" borderId="4" xfId="0" applyFont="1" applyFill="1" applyBorder="1"/>
    <xf numFmtId="0" fontId="2" fillId="8" borderId="4" xfId="0" applyFont="1" applyFill="1" applyBorder="1"/>
    <xf numFmtId="0" fontId="2" fillId="8" borderId="6" xfId="0" applyFont="1" applyFill="1" applyBorder="1"/>
    <xf numFmtId="0" fontId="2" fillId="8" borderId="7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164" fontId="7" fillId="3" borderId="8" xfId="0" applyNumberFormat="1" applyFont="1" applyFill="1" applyBorder="1"/>
    <xf numFmtId="0" fontId="2" fillId="9" borderId="4" xfId="0" applyFont="1" applyFill="1" applyBorder="1"/>
    <xf numFmtId="165" fontId="2" fillId="2" borderId="10" xfId="1" applyNumberFormat="1" applyFont="1" applyFill="1" applyBorder="1"/>
    <xf numFmtId="165" fontId="2" fillId="2" borderId="0" xfId="1" applyNumberFormat="1" applyFont="1" applyFill="1" applyBorder="1"/>
    <xf numFmtId="165" fontId="2" fillId="2" borderId="13" xfId="1" applyNumberFormat="1" applyFont="1" applyFill="1" applyBorder="1"/>
    <xf numFmtId="0" fontId="6" fillId="0" borderId="12" xfId="0" applyFont="1" applyBorder="1"/>
    <xf numFmtId="0" fontId="6" fillId="0" borderId="13" xfId="0" applyFont="1" applyBorder="1"/>
    <xf numFmtId="165" fontId="2" fillId="2" borderId="0" xfId="0" applyNumberFormat="1" applyFont="1" applyFill="1"/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3" fontId="2" fillId="6" borderId="5" xfId="0" applyNumberFormat="1" applyFont="1" applyFill="1" applyBorder="1" applyAlignment="1">
      <alignment horizontal="right"/>
    </xf>
    <xf numFmtId="3" fontId="2" fillId="7" borderId="5" xfId="0" applyNumberFormat="1" applyFont="1" applyFill="1" applyBorder="1" applyAlignment="1">
      <alignment horizontal="right"/>
    </xf>
    <xf numFmtId="0" fontId="2" fillId="4" borderId="5" xfId="0" applyFont="1" applyFill="1" applyBorder="1" applyAlignment="1">
      <alignment horizontal="right"/>
    </xf>
    <xf numFmtId="9" fontId="2" fillId="2" borderId="0" xfId="2" applyFont="1" applyFill="1" applyBorder="1"/>
    <xf numFmtId="9" fontId="2" fillId="2" borderId="10" xfId="2" applyFont="1" applyFill="1" applyBorder="1"/>
    <xf numFmtId="3" fontId="9" fillId="0" borderId="0" xfId="0" applyNumberFormat="1" applyFont="1" applyAlignment="1">
      <alignment horizontal="right" vertical="center" wrapText="1"/>
    </xf>
    <xf numFmtId="3" fontId="2" fillId="2" borderId="0" xfId="0" applyNumberFormat="1" applyFont="1" applyFill="1"/>
    <xf numFmtId="0" fontId="2" fillId="0" borderId="16" xfId="0" applyFont="1" applyBorder="1" applyAlignment="1">
      <alignment horizontal="left"/>
    </xf>
    <xf numFmtId="0" fontId="2" fillId="2" borderId="0" xfId="0" applyFont="1" applyFill="1"/>
    <xf numFmtId="0" fontId="2" fillId="0" borderId="14" xfId="0" applyFont="1" applyBorder="1" applyAlignment="1">
      <alignment horizontal="left"/>
    </xf>
    <xf numFmtId="166" fontId="2" fillId="8" borderId="7" xfId="0" applyNumberFormat="1" applyFont="1" applyFill="1" applyBorder="1" applyAlignment="1">
      <alignment horizontal="right"/>
    </xf>
    <xf numFmtId="166" fontId="6" fillId="0" borderId="0" xfId="0" applyNumberFormat="1" applyFont="1"/>
    <xf numFmtId="9" fontId="6" fillId="0" borderId="0" xfId="2" applyFont="1"/>
    <xf numFmtId="9" fontId="6" fillId="0" borderId="0" xfId="2" applyFont="1" applyFill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9" xfId="0" applyFont="1" applyBorder="1"/>
    <xf numFmtId="0" fontId="2" fillId="2" borderId="17" xfId="0" applyFont="1" applyFill="1" applyBorder="1" applyAlignment="1">
      <alignment horizontal="center"/>
    </xf>
    <xf numFmtId="0" fontId="2" fillId="0" borderId="15" xfId="0" applyFont="1" applyBorder="1"/>
    <xf numFmtId="0" fontId="2" fillId="2" borderId="21" xfId="0" applyFont="1" applyFill="1" applyBorder="1" applyAlignment="1">
      <alignment horizontal="center"/>
    </xf>
    <xf numFmtId="0" fontId="2" fillId="0" borderId="12" xfId="0" applyFont="1" applyBorder="1"/>
    <xf numFmtId="0" fontId="2" fillId="2" borderId="22" xfId="0" applyFont="1" applyFill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3" fontId="2" fillId="0" borderId="19" xfId="0" applyNumberFormat="1" applyFont="1" applyBorder="1" applyAlignment="1">
      <alignment horizontal="center"/>
    </xf>
    <xf numFmtId="3" fontId="2" fillId="2" borderId="10" xfId="0" applyNumberFormat="1" applyFont="1" applyFill="1" applyBorder="1"/>
    <xf numFmtId="3" fontId="2" fillId="0" borderId="0" xfId="0" applyNumberFormat="1" applyFont="1"/>
    <xf numFmtId="0" fontId="7" fillId="0" borderId="0" xfId="0" applyFont="1"/>
    <xf numFmtId="3" fontId="2" fillId="2" borderId="13" xfId="0" applyNumberFormat="1" applyFont="1" applyFill="1" applyBorder="1"/>
    <xf numFmtId="3" fontId="2" fillId="5" borderId="5" xfId="0" applyNumberFormat="1" applyFont="1" applyFill="1" applyBorder="1" applyAlignment="1">
      <alignment horizontal="right"/>
    </xf>
    <xf numFmtId="164" fontId="12" fillId="0" borderId="7" xfId="0" applyNumberFormat="1" applyFont="1" applyBorder="1"/>
    <xf numFmtId="0" fontId="13" fillId="0" borderId="0" xfId="0" applyFont="1"/>
    <xf numFmtId="3" fontId="2" fillId="0" borderId="18" xfId="0" applyNumberFormat="1" applyFont="1" applyBorder="1" applyAlignment="1">
      <alignment horizontal="center"/>
    </xf>
    <xf numFmtId="3" fontId="2" fillId="0" borderId="20" xfId="0" applyNumberFormat="1" applyFont="1" applyBorder="1" applyAlignment="1">
      <alignment horizontal="center"/>
    </xf>
    <xf numFmtId="166" fontId="2" fillId="8" borderId="5" xfId="0" applyNumberFormat="1" applyFont="1" applyFill="1" applyBorder="1" applyAlignment="1">
      <alignment horizontal="right"/>
    </xf>
    <xf numFmtId="166" fontId="2" fillId="8" borderId="8" xfId="0" applyNumberFormat="1" applyFont="1" applyFill="1" applyBorder="1" applyAlignment="1">
      <alignment horizontal="right"/>
    </xf>
    <xf numFmtId="0" fontId="7" fillId="0" borderId="0" xfId="0" applyFont="1" applyAlignment="1">
      <alignment horizontal="center"/>
    </xf>
    <xf numFmtId="0" fontId="2" fillId="6" borderId="0" xfId="0" applyFont="1" applyFill="1"/>
    <xf numFmtId="3" fontId="2" fillId="6" borderId="0" xfId="0" applyNumberFormat="1" applyFont="1" applyFill="1" applyAlignment="1">
      <alignment horizontal="right"/>
    </xf>
    <xf numFmtId="0" fontId="2" fillId="7" borderId="0" xfId="0" applyFont="1" applyFill="1"/>
    <xf numFmtId="3" fontId="2" fillId="7" borderId="0" xfId="0" applyNumberFormat="1" applyFont="1" applyFill="1" applyAlignment="1">
      <alignment horizontal="right"/>
    </xf>
    <xf numFmtId="3" fontId="2" fillId="9" borderId="0" xfId="0" applyNumberFormat="1" applyFont="1" applyFill="1"/>
    <xf numFmtId="3" fontId="2" fillId="9" borderId="0" xfId="0" applyNumberFormat="1" applyFont="1" applyFill="1" applyAlignment="1">
      <alignment horizontal="right"/>
    </xf>
    <xf numFmtId="3" fontId="2" fillId="9" borderId="5" xfId="0" applyNumberFormat="1" applyFont="1" applyFill="1" applyBorder="1" applyAlignment="1">
      <alignment horizontal="right"/>
    </xf>
    <xf numFmtId="3" fontId="2" fillId="5" borderId="0" xfId="0" applyNumberFormat="1" applyFont="1" applyFill="1"/>
    <xf numFmtId="3" fontId="2" fillId="5" borderId="0" xfId="0" applyNumberFormat="1" applyFont="1" applyFill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8" borderId="0" xfId="0" applyFont="1" applyFill="1"/>
    <xf numFmtId="166" fontId="2" fillId="8" borderId="0" xfId="0" applyNumberFormat="1" applyFont="1" applyFill="1" applyAlignment="1">
      <alignment horizontal="right"/>
    </xf>
    <xf numFmtId="0" fontId="2" fillId="9" borderId="0" xfId="0" applyFont="1" applyFill="1"/>
    <xf numFmtId="164" fontId="10" fillId="9" borderId="0" xfId="0" applyNumberFormat="1" applyFont="1" applyFill="1"/>
    <xf numFmtId="164" fontId="10" fillId="9" borderId="5" xfId="0" applyNumberFormat="1" applyFont="1" applyFill="1" applyBorder="1"/>
    <xf numFmtId="164" fontId="10" fillId="4" borderId="0" xfId="0" applyNumberFormat="1" applyFont="1" applyFill="1"/>
    <xf numFmtId="164" fontId="10" fillId="4" borderId="5" xfId="0" applyNumberFormat="1" applyFont="1" applyFill="1" applyBorder="1"/>
    <xf numFmtId="0" fontId="2" fillId="5" borderId="0" xfId="0" applyFont="1" applyFill="1"/>
    <xf numFmtId="164" fontId="10" fillId="5" borderId="0" xfId="0" applyNumberFormat="1" applyFont="1" applyFill="1"/>
    <xf numFmtId="164" fontId="10" fillId="5" borderId="5" xfId="0" applyNumberFormat="1" applyFont="1" applyFill="1" applyBorder="1"/>
    <xf numFmtId="164" fontId="10" fillId="8" borderId="0" xfId="0" applyNumberFormat="1" applyFont="1" applyFill="1"/>
    <xf numFmtId="164" fontId="10" fillId="8" borderId="5" xfId="0" applyNumberFormat="1" applyFont="1" applyFill="1" applyBorder="1"/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6" fillId="0" borderId="9" xfId="0" applyFont="1" applyBorder="1"/>
    <xf numFmtId="0" fontId="6" fillId="0" borderId="10" xfId="0" applyFont="1" applyBorder="1"/>
    <xf numFmtId="0" fontId="6" fillId="0" borderId="15" xfId="0" applyFont="1" applyBorder="1"/>
    <xf numFmtId="0" fontId="6" fillId="0" borderId="0" xfId="0" applyFont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12" xfId="0" applyFont="1" applyBorder="1"/>
    <xf numFmtId="0" fontId="6" fillId="0" borderId="13" xfId="0" applyFont="1" applyBorder="1"/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4" fillId="0" borderId="0" xfId="0" applyFont="1"/>
  </cellXfs>
  <cellStyles count="3">
    <cellStyle name="Monétaire" xfId="1" builtinId="4"/>
    <cellStyle name="Normal" xfId="0" builtinId="0"/>
    <cellStyle name="Pourcentage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FFD1"/>
      <color rgb="FFE0D1FF"/>
      <color rgb="FFDBC9FF"/>
      <color rgb="FFCCB3FF"/>
      <color rgb="FF9966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7"/>
  <sheetViews>
    <sheetView showGridLines="0" tabSelected="1" topLeftCell="A13" workbookViewId="0">
      <selection activeCell="C26" sqref="C26"/>
    </sheetView>
  </sheetViews>
  <sheetFormatPr baseColWidth="10" defaultColWidth="11.42578125" defaultRowHeight="18.75" x14ac:dyDescent="0.3"/>
  <cols>
    <col min="1" max="1" width="20.140625" style="1" customWidth="1"/>
    <col min="2" max="2" width="14.7109375" style="1" customWidth="1"/>
    <col min="3" max="3" width="16.28515625" style="1" bestFit="1" customWidth="1"/>
    <col min="4" max="5" width="12" style="1" bestFit="1" customWidth="1"/>
    <col min="6" max="6" width="11.5703125" style="1" customWidth="1"/>
    <col min="7" max="8" width="12" style="1" bestFit="1" customWidth="1"/>
    <col min="9" max="9" width="14.28515625" style="1" customWidth="1"/>
    <col min="10" max="12" width="13.7109375" style="1" customWidth="1"/>
    <col min="13" max="13" width="16.5703125" style="1" customWidth="1"/>
    <col min="14" max="14" width="12" style="1" bestFit="1" customWidth="1"/>
    <col min="15" max="16384" width="11.42578125" style="1"/>
  </cols>
  <sheetData>
    <row r="2" spans="1:14" x14ac:dyDescent="0.3">
      <c r="A2" s="4" t="s">
        <v>0</v>
      </c>
      <c r="B2" s="4"/>
      <c r="I2" s="4" t="s">
        <v>1</v>
      </c>
    </row>
    <row r="3" spans="1:14" x14ac:dyDescent="0.3">
      <c r="A3" s="5"/>
      <c r="B3" s="5"/>
    </row>
    <row r="4" spans="1:14" x14ac:dyDescent="0.3">
      <c r="A4" s="109" t="s">
        <v>2</v>
      </c>
      <c r="B4" s="110"/>
      <c r="C4" s="34">
        <v>3950</v>
      </c>
      <c r="D4" s="7" t="s">
        <v>3</v>
      </c>
      <c r="E4" s="7"/>
      <c r="F4" s="8"/>
      <c r="I4" s="105" t="s">
        <v>48</v>
      </c>
      <c r="J4" s="106"/>
      <c r="K4" s="106"/>
      <c r="L4" s="47">
        <v>0.25</v>
      </c>
      <c r="M4" s="14"/>
    </row>
    <row r="5" spans="1:14" x14ac:dyDescent="0.3">
      <c r="A5" s="111" t="s">
        <v>4</v>
      </c>
      <c r="B5" s="112"/>
      <c r="C5" s="39">
        <f>C4*1.5</f>
        <v>5925</v>
      </c>
      <c r="D5" s="6" t="s">
        <v>3</v>
      </c>
      <c r="F5" s="9"/>
      <c r="I5" s="107" t="s">
        <v>4</v>
      </c>
      <c r="J5" s="108"/>
      <c r="K5" s="108"/>
      <c r="L5" s="46">
        <v>0.2</v>
      </c>
      <c r="M5" s="9"/>
      <c r="N5" s="48"/>
    </row>
    <row r="6" spans="1:14" x14ac:dyDescent="0.3">
      <c r="A6" s="111" t="s">
        <v>5</v>
      </c>
      <c r="B6" s="112"/>
      <c r="C6" s="35">
        <v>26</v>
      </c>
      <c r="D6" s="6" t="s">
        <v>6</v>
      </c>
      <c r="E6" s="6"/>
      <c r="F6" s="10"/>
      <c r="I6" s="107" t="s">
        <v>7</v>
      </c>
      <c r="J6" s="108"/>
      <c r="K6" s="108"/>
      <c r="L6" s="46">
        <v>0.3</v>
      </c>
      <c r="M6" s="9"/>
      <c r="N6" s="48"/>
    </row>
    <row r="7" spans="1:14" x14ac:dyDescent="0.3">
      <c r="A7" s="111" t="s">
        <v>8</v>
      </c>
      <c r="B7" s="112"/>
      <c r="C7" s="35">
        <v>58</v>
      </c>
      <c r="D7" s="1" t="s">
        <v>6</v>
      </c>
      <c r="F7" s="9"/>
      <c r="I7" s="107" t="s">
        <v>9</v>
      </c>
      <c r="J7" s="108"/>
      <c r="K7" s="108"/>
      <c r="L7" s="49">
        <v>12000</v>
      </c>
      <c r="M7" s="50" t="s">
        <v>10</v>
      </c>
      <c r="N7" s="48"/>
    </row>
    <row r="8" spans="1:14" x14ac:dyDescent="0.3">
      <c r="A8" s="111" t="s">
        <v>11</v>
      </c>
      <c r="B8" s="112"/>
      <c r="C8" s="35">
        <v>3100</v>
      </c>
      <c r="D8" s="1" t="s">
        <v>12</v>
      </c>
      <c r="F8" s="9"/>
      <c r="I8" s="107" t="s">
        <v>13</v>
      </c>
      <c r="J8" s="108"/>
      <c r="K8" s="108"/>
      <c r="L8" s="49">
        <v>5000</v>
      </c>
      <c r="M8" s="50" t="s">
        <v>10</v>
      </c>
      <c r="N8" s="48"/>
    </row>
    <row r="9" spans="1:14" x14ac:dyDescent="0.3">
      <c r="A9" s="116" t="s">
        <v>14</v>
      </c>
      <c r="B9" s="117"/>
      <c r="C9" s="36">
        <v>2300</v>
      </c>
      <c r="D9" s="11" t="s">
        <v>15</v>
      </c>
      <c r="E9" s="11"/>
      <c r="F9" s="12"/>
      <c r="I9" s="107" t="s">
        <v>16</v>
      </c>
      <c r="J9" s="108"/>
      <c r="K9" s="108"/>
      <c r="L9" s="51">
        <v>50</v>
      </c>
      <c r="M9" s="50" t="s">
        <v>17</v>
      </c>
      <c r="N9" s="48"/>
    </row>
    <row r="10" spans="1:14" x14ac:dyDescent="0.3">
      <c r="A10" s="6"/>
      <c r="B10" s="6"/>
      <c r="C10" s="2"/>
      <c r="I10" s="118" t="s">
        <v>18</v>
      </c>
      <c r="J10" s="119"/>
      <c r="K10" s="119"/>
      <c r="L10" s="15">
        <v>90</v>
      </c>
      <c r="M10" s="52" t="s">
        <v>17</v>
      </c>
      <c r="N10" s="48"/>
    </row>
    <row r="11" spans="1:14" x14ac:dyDescent="0.3">
      <c r="A11" s="6"/>
      <c r="B11" s="6"/>
      <c r="C11" s="2"/>
    </row>
    <row r="12" spans="1:14" x14ac:dyDescent="0.3">
      <c r="A12" s="4" t="s">
        <v>19</v>
      </c>
      <c r="B12" s="4"/>
      <c r="I12" s="4" t="s">
        <v>49</v>
      </c>
    </row>
    <row r="13" spans="1:14" x14ac:dyDescent="0.3">
      <c r="A13" s="5"/>
      <c r="B13" s="5"/>
      <c r="I13" s="4" t="s">
        <v>50</v>
      </c>
    </row>
    <row r="14" spans="1:14" x14ac:dyDescent="0.3">
      <c r="A14" s="109" t="s">
        <v>20</v>
      </c>
      <c r="B14" s="110"/>
      <c r="C14" s="70">
        <v>200</v>
      </c>
      <c r="D14" s="13" t="s">
        <v>21</v>
      </c>
      <c r="E14" s="13"/>
      <c r="F14" s="14"/>
    </row>
    <row r="15" spans="1:14" x14ac:dyDescent="0.3">
      <c r="A15" s="111" t="s">
        <v>22</v>
      </c>
      <c r="B15" s="112"/>
      <c r="C15" s="49">
        <v>50</v>
      </c>
      <c r="D15" s="1" t="s">
        <v>17</v>
      </c>
      <c r="F15" s="9"/>
    </row>
    <row r="16" spans="1:14" x14ac:dyDescent="0.3">
      <c r="A16" s="111" t="s">
        <v>23</v>
      </c>
      <c r="B16" s="112"/>
      <c r="C16" s="49">
        <v>1250</v>
      </c>
      <c r="D16" s="1" t="s">
        <v>10</v>
      </c>
      <c r="F16" s="9"/>
      <c r="G16" s="40"/>
      <c r="H16" s="41"/>
      <c r="I16" s="41"/>
    </row>
    <row r="17" spans="1:14" x14ac:dyDescent="0.3">
      <c r="A17" s="37" t="s">
        <v>24</v>
      </c>
      <c r="B17" s="38"/>
      <c r="C17" s="73">
        <v>1550</v>
      </c>
      <c r="D17" s="11" t="s">
        <v>10</v>
      </c>
      <c r="E17" s="11"/>
      <c r="F17" s="12"/>
      <c r="G17" s="40"/>
      <c r="H17" s="41"/>
      <c r="I17" s="41"/>
    </row>
    <row r="18" spans="1:14" x14ac:dyDescent="0.3">
      <c r="A18" s="6"/>
      <c r="B18" s="6"/>
      <c r="G18" s="3"/>
      <c r="H18" s="3"/>
    </row>
    <row r="19" spans="1:14" x14ac:dyDescent="0.3">
      <c r="C19" s="113" t="s">
        <v>25</v>
      </c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5"/>
    </row>
    <row r="20" spans="1:14" x14ac:dyDescent="0.3">
      <c r="B20" s="57" t="s">
        <v>10</v>
      </c>
      <c r="C20" s="58">
        <v>1</v>
      </c>
      <c r="D20" s="59">
        <v>2</v>
      </c>
      <c r="E20" s="59">
        <v>3</v>
      </c>
      <c r="F20" s="59">
        <v>4</v>
      </c>
      <c r="G20" s="59">
        <v>5</v>
      </c>
      <c r="H20" s="59">
        <v>6</v>
      </c>
      <c r="I20" s="59">
        <v>7</v>
      </c>
      <c r="J20" s="59">
        <v>8</v>
      </c>
      <c r="K20" s="59">
        <v>9</v>
      </c>
      <c r="L20" s="59">
        <v>10</v>
      </c>
      <c r="M20" s="59">
        <v>11</v>
      </c>
      <c r="N20" s="60">
        <v>12</v>
      </c>
    </row>
    <row r="21" spans="1:14" x14ac:dyDescent="0.3">
      <c r="A21" s="61" t="s">
        <v>58</v>
      </c>
      <c r="B21" s="62">
        <v>1</v>
      </c>
      <c r="C21" s="64">
        <v>2600</v>
      </c>
      <c r="D21" s="64">
        <v>2400</v>
      </c>
      <c r="E21" s="64">
        <v>2100</v>
      </c>
      <c r="F21" s="64">
        <v>2800</v>
      </c>
      <c r="G21" s="64">
        <v>3300</v>
      </c>
      <c r="H21" s="64">
        <v>3600</v>
      </c>
      <c r="I21" s="64">
        <v>3900</v>
      </c>
      <c r="J21" s="64">
        <v>4500</v>
      </c>
      <c r="K21" s="64">
        <v>3100</v>
      </c>
      <c r="L21" s="64">
        <v>2500</v>
      </c>
      <c r="M21" s="64">
        <v>2000</v>
      </c>
      <c r="N21" s="64">
        <v>1700</v>
      </c>
    </row>
    <row r="22" spans="1:14" x14ac:dyDescent="0.3">
      <c r="A22" s="63" t="s">
        <v>59</v>
      </c>
      <c r="B22" s="64">
        <v>2</v>
      </c>
      <c r="C22" s="64">
        <v>1800</v>
      </c>
      <c r="D22" s="64">
        <v>1600</v>
      </c>
      <c r="E22" s="64">
        <v>1500</v>
      </c>
      <c r="F22" s="64">
        <v>2200</v>
      </c>
      <c r="G22" s="64">
        <v>2600</v>
      </c>
      <c r="H22" s="64">
        <v>3100</v>
      </c>
      <c r="I22" s="64">
        <v>3400</v>
      </c>
      <c r="J22" s="64">
        <v>3700</v>
      </c>
      <c r="K22" s="64">
        <v>2900</v>
      </c>
      <c r="L22" s="64">
        <v>2100</v>
      </c>
      <c r="M22" s="64">
        <v>1700</v>
      </c>
      <c r="N22" s="64">
        <v>1200</v>
      </c>
    </row>
    <row r="23" spans="1:14" x14ac:dyDescent="0.3">
      <c r="A23" s="65" t="s">
        <v>60</v>
      </c>
      <c r="B23" s="66">
        <v>4</v>
      </c>
      <c r="C23" s="64">
        <v>900</v>
      </c>
      <c r="D23" s="64">
        <v>850</v>
      </c>
      <c r="E23" s="64">
        <v>800</v>
      </c>
      <c r="F23" s="64">
        <v>950</v>
      </c>
      <c r="G23" s="64">
        <v>1200</v>
      </c>
      <c r="H23" s="64">
        <v>1500</v>
      </c>
      <c r="I23" s="64">
        <v>1700</v>
      </c>
      <c r="J23" s="64">
        <v>1900</v>
      </c>
      <c r="K23" s="64">
        <v>1600</v>
      </c>
      <c r="L23" s="64">
        <v>1300</v>
      </c>
      <c r="M23" s="64">
        <v>1100</v>
      </c>
      <c r="N23" s="64">
        <v>950</v>
      </c>
    </row>
    <row r="24" spans="1:14" x14ac:dyDescent="0.3">
      <c r="A24" s="67" t="s">
        <v>26</v>
      </c>
      <c r="B24" s="68"/>
      <c r="C24" s="77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78"/>
    </row>
    <row r="26" spans="1:14" x14ac:dyDescent="0.3">
      <c r="C26" s="71"/>
    </row>
    <row r="27" spans="1:14" x14ac:dyDescent="0.3">
      <c r="C27" s="71"/>
    </row>
  </sheetData>
  <mergeCells count="17">
    <mergeCell ref="C19:N19"/>
    <mergeCell ref="A7:B7"/>
    <mergeCell ref="A8:B8"/>
    <mergeCell ref="I7:K7"/>
    <mergeCell ref="I8:K8"/>
    <mergeCell ref="I9:K9"/>
    <mergeCell ref="A9:B9"/>
    <mergeCell ref="A14:B14"/>
    <mergeCell ref="A15:B15"/>
    <mergeCell ref="A16:B16"/>
    <mergeCell ref="I10:K10"/>
    <mergeCell ref="I4:K4"/>
    <mergeCell ref="I5:K5"/>
    <mergeCell ref="I6:K6"/>
    <mergeCell ref="A4:B4"/>
    <mergeCell ref="A5:B5"/>
    <mergeCell ref="A6:B6"/>
  </mergeCells>
  <phoneticPr fontId="11" type="noConversion"/>
  <conditionalFormatting sqref="G16:G17 G18:H18">
    <cfRule type="containsText" dxfId="0" priority="1" operator="containsText" text="Attention">
      <formula>NOT(ISERROR(SEARCH("Attention",G16)))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3225-32C5-4549-8D36-AAE9C1E1174D}">
  <dimension ref="A1:C14"/>
  <sheetViews>
    <sheetView showGridLines="0" workbookViewId="0">
      <selection activeCell="A13" sqref="A13"/>
    </sheetView>
  </sheetViews>
  <sheetFormatPr baseColWidth="10" defaultColWidth="11.42578125" defaultRowHeight="15" x14ac:dyDescent="0.25"/>
  <cols>
    <col min="2" max="2" width="14.7109375" customWidth="1"/>
  </cols>
  <sheetData>
    <row r="1" spans="1:3" ht="18.75" x14ac:dyDescent="0.3">
      <c r="A1" s="4" t="s">
        <v>54</v>
      </c>
    </row>
    <row r="2" spans="1:3" ht="18.75" x14ac:dyDescent="0.3">
      <c r="A2" s="4" t="s">
        <v>55</v>
      </c>
    </row>
    <row r="4" spans="1:3" ht="18.75" x14ac:dyDescent="0.3">
      <c r="A4" s="1"/>
      <c r="C4" s="71"/>
    </row>
    <row r="5" spans="1:3" ht="18.75" x14ac:dyDescent="0.3">
      <c r="A5" s="1"/>
      <c r="C5" s="71"/>
    </row>
    <row r="6" spans="1:3" ht="18.75" x14ac:dyDescent="0.3">
      <c r="A6" s="1"/>
      <c r="C6" s="71"/>
    </row>
    <row r="7" spans="1:3" ht="18.75" x14ac:dyDescent="0.3">
      <c r="A7" s="1"/>
      <c r="C7" s="71"/>
    </row>
    <row r="8" spans="1:3" ht="18.75" x14ac:dyDescent="0.3">
      <c r="A8" s="1"/>
      <c r="C8" s="71"/>
    </row>
    <row r="9" spans="1:3" ht="18.75" x14ac:dyDescent="0.3">
      <c r="A9" s="1"/>
      <c r="C9" s="71"/>
    </row>
    <row r="11" spans="1:3" ht="18.75" x14ac:dyDescent="0.3">
      <c r="A11" s="72"/>
    </row>
    <row r="13" spans="1:3" ht="18.75" x14ac:dyDescent="0.3">
      <c r="A13" s="4" t="s">
        <v>57</v>
      </c>
    </row>
    <row r="14" spans="1:3" ht="18.75" x14ac:dyDescent="0.3">
      <c r="A14" s="12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"/>
  <sheetViews>
    <sheetView zoomScale="90" zoomScaleNormal="90" workbookViewId="0">
      <pane xSplit="1" topLeftCell="B1" activePane="topRight" state="frozen"/>
      <selection pane="topRight" activeCell="C11" sqref="C11"/>
    </sheetView>
  </sheetViews>
  <sheetFormatPr baseColWidth="10" defaultColWidth="11.42578125" defaultRowHeight="18.75" x14ac:dyDescent="0.3"/>
  <cols>
    <col min="1" max="1" width="67.85546875" style="1" customWidth="1"/>
    <col min="2" max="2" width="11.42578125" style="1"/>
    <col min="3" max="3" width="17.85546875" style="1" bestFit="1" customWidth="1"/>
    <col min="4" max="14" width="16" style="1" bestFit="1" customWidth="1"/>
    <col min="15" max="15" width="22.7109375" style="1" customWidth="1"/>
    <col min="16" max="16384" width="11.42578125" style="1"/>
  </cols>
  <sheetData>
    <row r="1" spans="1:14" x14ac:dyDescent="0.3">
      <c r="A1" s="4" t="s">
        <v>27</v>
      </c>
    </row>
    <row r="2" spans="1:14" ht="19.5" thickBot="1" x14ac:dyDescent="0.35">
      <c r="A2" s="76" t="s">
        <v>47</v>
      </c>
      <c r="B2" s="76" t="s">
        <v>28</v>
      </c>
    </row>
    <row r="3" spans="1:14" x14ac:dyDescent="0.3">
      <c r="A3" s="18"/>
      <c r="B3" s="19"/>
      <c r="C3" s="120" t="s">
        <v>25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1"/>
    </row>
    <row r="4" spans="1:14" x14ac:dyDescent="0.3">
      <c r="A4" s="20"/>
      <c r="B4" s="81" t="s">
        <v>29</v>
      </c>
      <c r="C4" s="81">
        <v>1</v>
      </c>
      <c r="D4" s="81">
        <v>2</v>
      </c>
      <c r="E4" s="81">
        <v>3</v>
      </c>
      <c r="F4" s="81">
        <v>4</v>
      </c>
      <c r="G4" s="81">
        <v>5</v>
      </c>
      <c r="H4" s="81">
        <v>6</v>
      </c>
      <c r="I4" s="81">
        <v>7</v>
      </c>
      <c r="J4" s="81">
        <v>8</v>
      </c>
      <c r="K4" s="81">
        <v>9</v>
      </c>
      <c r="L4" s="81">
        <v>10</v>
      </c>
      <c r="M4" s="81">
        <v>11</v>
      </c>
      <c r="N4" s="21">
        <v>12</v>
      </c>
    </row>
    <row r="5" spans="1:14" x14ac:dyDescent="0.3">
      <c r="A5" s="23" t="s">
        <v>30</v>
      </c>
      <c r="B5" s="82"/>
      <c r="C5" s="83">
        <f>'Données du problème'!C24</f>
        <v>0</v>
      </c>
      <c r="D5" s="83">
        <f>'Données du problème'!D24</f>
        <v>0</v>
      </c>
      <c r="E5" s="83">
        <f>'Données du problème'!E24</f>
        <v>0</v>
      </c>
      <c r="F5" s="83">
        <f>'Données du problème'!F24</f>
        <v>0</v>
      </c>
      <c r="G5" s="83">
        <f>'Données du problème'!G24</f>
        <v>0</v>
      </c>
      <c r="H5" s="83">
        <f>'Données du problème'!H24</f>
        <v>0</v>
      </c>
      <c r="I5" s="83">
        <f>'Données du problème'!I24</f>
        <v>0</v>
      </c>
      <c r="J5" s="83">
        <f>'Données du problème'!J24</f>
        <v>0</v>
      </c>
      <c r="K5" s="83">
        <f>'Données du problème'!K24</f>
        <v>0</v>
      </c>
      <c r="L5" s="83">
        <f>'Données du problème'!L24</f>
        <v>0</v>
      </c>
      <c r="M5" s="83">
        <f>'Données du problème'!M24</f>
        <v>0</v>
      </c>
      <c r="N5" s="43">
        <f>'Données du problème'!N24</f>
        <v>0</v>
      </c>
    </row>
    <row r="6" spans="1:14" x14ac:dyDescent="0.3">
      <c r="A6" s="22" t="s">
        <v>31</v>
      </c>
      <c r="B6" s="84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44"/>
    </row>
    <row r="7" spans="1:14" x14ac:dyDescent="0.3">
      <c r="A7" s="33" t="s">
        <v>32</v>
      </c>
      <c r="B7" s="86">
        <f>'Données du problème'!C16</f>
        <v>1250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8"/>
    </row>
    <row r="8" spans="1:14" x14ac:dyDescent="0.3">
      <c r="A8" s="24" t="s">
        <v>33</v>
      </c>
      <c r="B8" s="89">
        <f>'Données du problème'!C15</f>
        <v>50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74"/>
    </row>
    <row r="9" spans="1:14" x14ac:dyDescent="0.3">
      <c r="A9" s="25" t="s">
        <v>34</v>
      </c>
      <c r="B9" s="91"/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45"/>
    </row>
    <row r="10" spans="1:14" x14ac:dyDescent="0.3">
      <c r="A10" s="25" t="s">
        <v>35</v>
      </c>
      <c r="B10" s="91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45"/>
    </row>
    <row r="11" spans="1:14" x14ac:dyDescent="0.3">
      <c r="A11" s="26" t="s">
        <v>36</v>
      </c>
      <c r="B11" s="93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79"/>
    </row>
    <row r="12" spans="1:14" ht="19.5" thickBot="1" x14ac:dyDescent="0.35">
      <c r="A12" s="27" t="s">
        <v>37</v>
      </c>
      <c r="B12" s="28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80"/>
    </row>
    <row r="13" spans="1:14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x14ac:dyDescent="0.3">
      <c r="A14" s="42" t="s">
        <v>38</v>
      </c>
      <c r="B14" s="54"/>
      <c r="C14" s="54">
        <f>C6/'Données du problème'!$C14</f>
        <v>0</v>
      </c>
      <c r="D14" s="54">
        <f>D6/'Données du problème'!$C14</f>
        <v>0</v>
      </c>
      <c r="E14" s="54">
        <f>E6/'Données du problème'!$C14</f>
        <v>0</v>
      </c>
      <c r="F14" s="54">
        <f>F6/'Données du problème'!$C14</f>
        <v>0</v>
      </c>
      <c r="G14" s="54">
        <f>G6/'Données du problème'!$C14</f>
        <v>0</v>
      </c>
      <c r="H14" s="54">
        <f>H6/'Données du problème'!$C14</f>
        <v>0</v>
      </c>
      <c r="I14" s="54">
        <f>I6/'Données du problème'!$C14</f>
        <v>0</v>
      </c>
      <c r="J14" s="54">
        <f>J6/'Données du problème'!$C14</f>
        <v>0</v>
      </c>
      <c r="K14" s="54">
        <f>K6/'Données du problème'!$C14</f>
        <v>0</v>
      </c>
      <c r="L14" s="54">
        <f>L6/'Données du problème'!$C14</f>
        <v>0</v>
      </c>
      <c r="M14" s="54">
        <f>M6/'Données du problème'!$C14</f>
        <v>0</v>
      </c>
      <c r="N14" s="54">
        <f>N6/'Données du problème'!$C14</f>
        <v>0</v>
      </c>
    </row>
    <row r="15" spans="1:14" x14ac:dyDescent="0.3">
      <c r="A15" s="42" t="s">
        <v>39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</row>
    <row r="16" spans="1:14" x14ac:dyDescent="0.3">
      <c r="A16" s="42" t="s">
        <v>40</v>
      </c>
      <c r="B16" s="55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</row>
    <row r="17" spans="1:15" x14ac:dyDescent="0.3">
      <c r="A17" s="42" t="s">
        <v>41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</row>
    <row r="18" spans="1:15" x14ac:dyDescent="0.3">
      <c r="A18" s="42" t="s">
        <v>42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</row>
    <row r="19" spans="1:15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5" ht="19.5" thickBot="1" x14ac:dyDescent="0.35">
      <c r="A20" s="4" t="s">
        <v>43</v>
      </c>
    </row>
    <row r="21" spans="1:15" x14ac:dyDescent="0.3">
      <c r="A21" s="18"/>
      <c r="B21" s="19"/>
      <c r="C21" s="120" t="s">
        <v>25</v>
      </c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29"/>
    </row>
    <row r="22" spans="1:15" x14ac:dyDescent="0.3">
      <c r="A22" s="20"/>
      <c r="C22" s="81">
        <v>1</v>
      </c>
      <c r="D22" s="81">
        <v>2</v>
      </c>
      <c r="E22" s="81">
        <v>3</v>
      </c>
      <c r="F22" s="81">
        <v>4</v>
      </c>
      <c r="G22" s="81">
        <v>5</v>
      </c>
      <c r="H22" s="81">
        <v>6</v>
      </c>
      <c r="I22" s="81">
        <v>7</v>
      </c>
      <c r="J22" s="81">
        <v>8</v>
      </c>
      <c r="K22" s="81">
        <v>9</v>
      </c>
      <c r="L22" s="81">
        <v>10</v>
      </c>
      <c r="M22" s="81">
        <v>11</v>
      </c>
      <c r="N22" s="81">
        <v>12</v>
      </c>
      <c r="O22" s="21" t="s">
        <v>44</v>
      </c>
    </row>
    <row r="23" spans="1:15" x14ac:dyDescent="0.3">
      <c r="A23" s="33" t="s">
        <v>5</v>
      </c>
      <c r="B23" s="95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7"/>
    </row>
    <row r="24" spans="1:15" x14ac:dyDescent="0.3">
      <c r="A24" s="33" t="s">
        <v>13</v>
      </c>
      <c r="B24" s="95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7"/>
    </row>
    <row r="25" spans="1:15" x14ac:dyDescent="0.3">
      <c r="A25" s="25" t="s">
        <v>11</v>
      </c>
      <c r="B25" s="91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9"/>
    </row>
    <row r="26" spans="1:15" x14ac:dyDescent="0.3">
      <c r="A26" s="25" t="s">
        <v>14</v>
      </c>
      <c r="B26" s="91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9"/>
    </row>
    <row r="27" spans="1:15" x14ac:dyDescent="0.3">
      <c r="A27" s="24" t="s">
        <v>45</v>
      </c>
      <c r="B27" s="100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2"/>
    </row>
    <row r="28" spans="1:15" x14ac:dyDescent="0.3">
      <c r="A28" s="26" t="s">
        <v>46</v>
      </c>
      <c r="B28" s="9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4"/>
    </row>
    <row r="29" spans="1:15" ht="19.5" thickBot="1" x14ac:dyDescent="0.35">
      <c r="A29" s="30" t="s">
        <v>44</v>
      </c>
      <c r="B29" s="31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32"/>
    </row>
    <row r="30" spans="1:15" x14ac:dyDescent="0.3">
      <c r="O30" s="16"/>
    </row>
  </sheetData>
  <mergeCells count="2">
    <mergeCell ref="C3:N3"/>
    <mergeCell ref="C21:N2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D9F2-6BFF-4AE6-96A2-9ECA6DB7BC62}">
  <dimension ref="A1:A21"/>
  <sheetViews>
    <sheetView showGridLines="0" workbookViewId="0">
      <selection activeCell="B17" sqref="B17"/>
    </sheetView>
  </sheetViews>
  <sheetFormatPr baseColWidth="10" defaultColWidth="11.42578125" defaultRowHeight="15" x14ac:dyDescent="0.25"/>
  <cols>
    <col min="1" max="1" width="21" customWidth="1"/>
    <col min="2" max="8" width="15.28515625" customWidth="1"/>
  </cols>
  <sheetData>
    <row r="1" spans="1:1" ht="18.75" x14ac:dyDescent="0.3">
      <c r="A1" s="4" t="s">
        <v>53</v>
      </c>
    </row>
    <row r="2" spans="1:1" ht="18.75" x14ac:dyDescent="0.3">
      <c r="A2" s="4" t="s">
        <v>51</v>
      </c>
    </row>
    <row r="3" spans="1:1" ht="18.75" x14ac:dyDescent="0.3">
      <c r="A3" s="4" t="s">
        <v>52</v>
      </c>
    </row>
    <row r="10" spans="1:1" ht="18.75" x14ac:dyDescent="0.3">
      <c r="A10" s="1"/>
    </row>
    <row r="11" spans="1:1" ht="18.75" x14ac:dyDescent="0.3">
      <c r="A11" s="1"/>
    </row>
    <row r="13" spans="1:1" ht="18.75" x14ac:dyDescent="0.3">
      <c r="A13" s="1"/>
    </row>
    <row r="14" spans="1:1" ht="18.75" x14ac:dyDescent="0.3">
      <c r="A14" s="1"/>
    </row>
    <row r="19" spans="1:1" ht="18.75" x14ac:dyDescent="0.3">
      <c r="A19" s="1"/>
    </row>
    <row r="20" spans="1:1" ht="18.75" x14ac:dyDescent="0.3">
      <c r="A20" s="1"/>
    </row>
    <row r="21" spans="1:1" ht="18.75" x14ac:dyDescent="0.3">
      <c r="A2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BA47EBC066B745A5CD7C315910EB78" ma:contentTypeVersion="3" ma:contentTypeDescription="Crée un document." ma:contentTypeScope="" ma:versionID="6e3b9220517dcaf1d8eec4429aa315e5">
  <xsd:schema xmlns:xsd="http://www.w3.org/2001/XMLSchema" xmlns:xs="http://www.w3.org/2001/XMLSchema" xmlns:p="http://schemas.microsoft.com/office/2006/metadata/properties" xmlns:ns2="abcda3d6-2d03-49e1-9293-8daf0cc773fd" targetNamespace="http://schemas.microsoft.com/office/2006/metadata/properties" ma:root="true" ma:fieldsID="04f755d7862b698eb92a092f9f54fed2" ns2:_="">
    <xsd:import namespace="abcda3d6-2d03-49e1-9293-8daf0cc77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da3d6-2d03-49e1-9293-8daf0cc77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7E73CE-724D-4389-B29B-13D3973A3137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abcda3d6-2d03-49e1-9293-8daf0cc773fd"/>
  </ds:schemaRefs>
</ds:datastoreItem>
</file>

<file path=customXml/itemProps2.xml><?xml version="1.0" encoding="utf-8"?>
<ds:datastoreItem xmlns:ds="http://schemas.openxmlformats.org/officeDocument/2006/customXml" ds:itemID="{556DD182-3D46-45AA-AB3D-643D347886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5458F7-C8FC-47FA-8170-F6BDEED3B2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Données du problème</vt:lpstr>
      <vt:lpstr>Question 1</vt:lpstr>
      <vt:lpstr>Question 2</vt:lpstr>
      <vt:lpstr>Question 3</vt:lpstr>
      <vt:lpstr>'Question 3'!_Hlk532205760</vt:lpstr>
    </vt:vector>
  </TitlesOfParts>
  <Manager/>
  <Company>HEC Montréal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Chantal</dc:creator>
  <cp:keywords/>
  <dc:description/>
  <cp:lastModifiedBy>Véronique Poirier</cp:lastModifiedBy>
  <cp:revision/>
  <dcterms:created xsi:type="dcterms:W3CDTF">2018-02-14T14:06:25Z</dcterms:created>
  <dcterms:modified xsi:type="dcterms:W3CDTF">2026-06-10T18:12:29Z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0x0101001CBA47EBC066B745A5CD7C315910EB78</vt:lpwstr>
  </property>
</Properties>
</file>