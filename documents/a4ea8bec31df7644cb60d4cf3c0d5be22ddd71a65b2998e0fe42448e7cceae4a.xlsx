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loecha_philion_hec_ca/Documents/1.HEC-10904/10904/1-Exercices Plan de cours/"/>
    </mc:Choice>
  </mc:AlternateContent>
  <xr:revisionPtr revIDLastSave="12" documentId="8_{FEAF24C7-16BD-4B12-9E90-CC52519F1B83}" xr6:coauthVersionLast="47" xr6:coauthVersionMax="47" xr10:uidLastSave="{7FFCBEC7-01C2-4484-92E9-F6610E93A2A7}"/>
  <bookViews>
    <workbookView xWindow="-120" yWindow="-120" windowWidth="29040" windowHeight="15960" tabRatio="719" xr2:uid="{00000000-000D-0000-FFFF-FFFF00000000}"/>
  </bookViews>
  <sheets>
    <sheet name="Activité " sheetId="4" r:id="rId1"/>
    <sheet name="Révision 1 taux" sheetId="8" r:id="rId2"/>
    <sheet name="Divers" sheetId="5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8" l="1"/>
  <c r="I44" i="8"/>
  <c r="K8" i="8"/>
  <c r="I4" i="5"/>
  <c r="K17" i="5"/>
  <c r="G41" i="4"/>
  <c r="E41" i="4"/>
  <c r="G40" i="4"/>
  <c r="J4" i="5"/>
  <c r="E44" i="8" l="1"/>
  <c r="E57" i="4"/>
  <c r="J9" i="5" l="1"/>
  <c r="I9" i="5"/>
  <c r="H9" i="5"/>
  <c r="H4" i="5"/>
  <c r="E30" i="4" s="1"/>
  <c r="I3" i="5"/>
  <c r="I23" i="5" s="1"/>
  <c r="H3" i="5"/>
  <c r="H23" i="5" s="1"/>
  <c r="J2" i="5"/>
  <c r="I2" i="5"/>
  <c r="H2" i="5"/>
  <c r="I27" i="5" l="1"/>
  <c r="I15" i="5"/>
  <c r="J27" i="5"/>
  <c r="J15" i="5"/>
  <c r="K15" i="5" s="1"/>
  <c r="G28" i="4"/>
  <c r="G13" i="8"/>
  <c r="J7" i="5"/>
  <c r="I13" i="8"/>
  <c r="I28" i="4"/>
  <c r="H27" i="5"/>
  <c r="H15" i="5"/>
  <c r="H6" i="5"/>
  <c r="E28" i="4"/>
  <c r="E13" i="8"/>
  <c r="H7" i="5"/>
  <c r="K24" i="5"/>
  <c r="I7" i="5"/>
  <c r="K23" i="5"/>
  <c r="I6" i="5"/>
  <c r="K2" i="5"/>
  <c r="B20" i="5" s="1"/>
  <c r="K9" i="5"/>
  <c r="K7" i="5" l="1"/>
  <c r="G29" i="4"/>
  <c r="E29" i="4"/>
  <c r="K19" i="5" l="1"/>
  <c r="J17" i="5" s="1"/>
  <c r="I65" i="8"/>
  <c r="I21" i="8" s="1"/>
  <c r="G65" i="8"/>
  <c r="E65" i="8"/>
  <c r="E21" i="8" s="1"/>
  <c r="J1" i="5"/>
  <c r="J21" i="5" s="1"/>
  <c r="I1" i="5"/>
  <c r="I21" i="5" s="1"/>
  <c r="H1" i="5"/>
  <c r="H21" i="5" s="1"/>
  <c r="G21" i="8" l="1"/>
  <c r="I14" i="4"/>
  <c r="I16" i="4"/>
  <c r="I15" i="4"/>
  <c r="I10" i="4"/>
  <c r="I13" i="4"/>
  <c r="I9" i="4"/>
  <c r="I17" i="4"/>
  <c r="I8" i="4"/>
  <c r="G18" i="4"/>
  <c r="E18" i="4"/>
  <c r="G11" i="4"/>
  <c r="E11" i="4"/>
  <c r="E20" i="4" l="1"/>
  <c r="I11" i="4"/>
  <c r="G20" i="4"/>
  <c r="K33" i="5" s="1"/>
  <c r="I18" i="4"/>
  <c r="K32" i="5" l="1"/>
  <c r="E40" i="4"/>
  <c r="J30" i="5"/>
  <c r="I30" i="5"/>
  <c r="B11" i="5"/>
  <c r="I29" i="5"/>
  <c r="H29" i="5"/>
  <c r="B10" i="5"/>
  <c r="I17" i="5"/>
  <c r="G67" i="8" s="1"/>
  <c r="H17" i="5"/>
  <c r="I20" i="4"/>
  <c r="I55" i="8"/>
  <c r="I12" i="8" s="1"/>
  <c r="G55" i="8"/>
  <c r="G12" i="8" s="1"/>
  <c r="E55" i="8"/>
  <c r="E12" i="8" s="1"/>
  <c r="E19" i="8" s="1"/>
  <c r="B7" i="5" l="1"/>
  <c r="J3" i="5"/>
  <c r="B15" i="5"/>
  <c r="B12" i="5"/>
  <c r="B13" i="5"/>
  <c r="B14" i="5"/>
  <c r="B9" i="5"/>
  <c r="E57" i="8"/>
  <c r="G57" i="8"/>
  <c r="I57" i="8"/>
  <c r="I41" i="8"/>
  <c r="I63" i="8" s="1"/>
  <c r="I19" i="8" s="1"/>
  <c r="G41" i="8"/>
  <c r="G63" i="8" s="1"/>
  <c r="G19" i="8" s="1"/>
  <c r="E41" i="8"/>
  <c r="E63" i="8" s="1"/>
  <c r="G46" i="8" l="1"/>
  <c r="E46" i="8"/>
  <c r="J6" i="5"/>
  <c r="K6" i="5" s="1"/>
  <c r="K13" i="5" s="1"/>
  <c r="J23" i="5"/>
  <c r="I29" i="4" s="1"/>
  <c r="E58" i="4"/>
  <c r="I10" i="5"/>
  <c r="I16" i="5" s="1"/>
  <c r="I18" i="5" s="1"/>
  <c r="J10" i="5"/>
  <c r="H10" i="5"/>
  <c r="H16" i="5" s="1"/>
  <c r="E66" i="8"/>
  <c r="I66" i="8"/>
  <c r="G66" i="8"/>
  <c r="A6" i="5"/>
  <c r="A9" i="5" l="1"/>
  <c r="D9" i="5" s="1"/>
  <c r="E9" i="5" s="1"/>
  <c r="I70" i="8" s="1"/>
  <c r="J28" i="5"/>
  <c r="J31" i="5" s="1"/>
  <c r="B17" i="5" s="1"/>
  <c r="J16" i="5"/>
  <c r="J18" i="5" s="1"/>
  <c r="H18" i="5"/>
  <c r="B2" i="5"/>
  <c r="B8" i="5"/>
  <c r="I28" i="5"/>
  <c r="I31" i="5" s="1"/>
  <c r="B16" i="5" s="1"/>
  <c r="I22" i="8"/>
  <c r="H28" i="5"/>
  <c r="H31" i="5" s="1"/>
  <c r="G22" i="8"/>
  <c r="E68" i="8"/>
  <c r="E22" i="8"/>
  <c r="K10" i="5"/>
  <c r="K16" i="5" l="1"/>
  <c r="I68" i="8"/>
  <c r="H11" i="5"/>
  <c r="J11" i="5"/>
  <c r="J12" i="5" s="1"/>
  <c r="B6" i="5" s="1"/>
  <c r="D6" i="5" s="1"/>
  <c r="E6" i="5" s="1"/>
  <c r="I48" i="8" s="1"/>
  <c r="B3" i="5"/>
  <c r="I11" i="5"/>
  <c r="B5" i="5" l="1"/>
  <c r="I12" i="5"/>
  <c r="H12" i="5"/>
  <c r="B4" i="5"/>
  <c r="G38" i="4"/>
  <c r="C50" i="4" s="1"/>
  <c r="E38" i="4"/>
  <c r="C49" i="4" s="1"/>
  <c r="I34" i="4"/>
  <c r="I48" i="4" s="1"/>
  <c r="I55" i="4" s="1"/>
  <c r="G34" i="4"/>
  <c r="G48" i="4" s="1"/>
  <c r="G55" i="4" s="1"/>
  <c r="E34" i="4"/>
  <c r="E48" i="4" s="1"/>
  <c r="E55" i="4" s="1"/>
  <c r="K12" i="5" l="1"/>
  <c r="K33" i="8"/>
  <c r="A2" i="5" l="1"/>
  <c r="D2" i="5" s="1"/>
  <c r="E2" i="5" s="1"/>
  <c r="M35" i="8" s="1"/>
  <c r="K36" i="4" l="1"/>
  <c r="K35" i="4"/>
  <c r="I24" i="8"/>
  <c r="B18" i="5"/>
  <c r="A7" i="5"/>
  <c r="D7" i="5" s="1"/>
  <c r="E7" i="5" s="1"/>
  <c r="E70" i="8" s="1"/>
  <c r="A8" i="5"/>
  <c r="D8" i="5" s="1"/>
  <c r="E8" i="5" s="1"/>
  <c r="G70" i="8" s="1"/>
  <c r="A3" i="5"/>
  <c r="D3" i="5" s="1"/>
  <c r="E3" i="5" s="1"/>
  <c r="I38" i="8" s="1"/>
  <c r="A10" i="5" l="1"/>
  <c r="D10" i="5" s="1"/>
  <c r="E10" i="5" s="1"/>
  <c r="E46" i="4" s="1"/>
  <c r="A19" i="5"/>
  <c r="A21" i="5"/>
  <c r="A18" i="5"/>
  <c r="D18" i="5" s="1"/>
  <c r="E18" i="5" s="1"/>
  <c r="A20" i="5"/>
  <c r="D20" i="5" s="1"/>
  <c r="E20" i="5" s="1"/>
  <c r="E26" i="8" s="1"/>
  <c r="E24" i="8"/>
  <c r="B19" i="5"/>
  <c r="B21" i="5"/>
  <c r="A11" i="5"/>
  <c r="D11" i="5" s="1"/>
  <c r="E11" i="5" s="1"/>
  <c r="G46" i="4" s="1"/>
  <c r="A4" i="5"/>
  <c r="D4" i="5" s="1"/>
  <c r="E4" i="5" s="1"/>
  <c r="E48" i="8" s="1"/>
  <c r="A5" i="5"/>
  <c r="D5" i="5" s="1"/>
  <c r="E5" i="5" s="1"/>
  <c r="G48" i="8" s="1"/>
  <c r="E60" i="4" l="1"/>
  <c r="A12" i="5"/>
  <c r="D12" i="5" s="1"/>
  <c r="E12" i="5" s="1"/>
  <c r="E53" i="4" s="1"/>
  <c r="A14" i="5"/>
  <c r="D14" i="5" s="1"/>
  <c r="E14" i="5" s="1"/>
  <c r="I53" i="4" s="1"/>
  <c r="D21" i="5"/>
  <c r="E21" i="5" s="1"/>
  <c r="G26" i="8" s="1"/>
  <c r="D19" i="5"/>
  <c r="E19" i="5" s="1"/>
  <c r="A17" i="5"/>
  <c r="D17" i="5" s="1"/>
  <c r="E17" i="5" s="1"/>
  <c r="I62" i="4" s="1"/>
  <c r="A15" i="5" l="1"/>
  <c r="D15" i="5" s="1"/>
  <c r="E15" i="5" s="1"/>
  <c r="E62" i="4" s="1"/>
  <c r="A13" i="5"/>
  <c r="D13" i="5" s="1"/>
  <c r="E13" i="5" s="1"/>
  <c r="G53" i="4" s="1"/>
  <c r="A16" i="5"/>
  <c r="D16" i="5" s="1"/>
  <c r="E16" i="5" s="1"/>
  <c r="G62" i="4" s="1"/>
</calcChain>
</file>

<file path=xl/sharedStrings.xml><?xml version="1.0" encoding="utf-8"?>
<sst xmlns="http://schemas.openxmlformats.org/spreadsheetml/2006/main" count="168" uniqueCount="115">
  <si>
    <t xml:space="preserve">Atelier </t>
  </si>
  <si>
    <t xml:space="preserve">Exercice utilisé pour le cours: </t>
  </si>
  <si>
    <t>Travail à faire - Étudiants</t>
  </si>
  <si>
    <t>Comptabilité de gestion</t>
  </si>
  <si>
    <t>Imputation- Centres de coûts</t>
  </si>
  <si>
    <t>Robe noire</t>
  </si>
  <si>
    <t>Fall Flower</t>
  </si>
  <si>
    <t>Abeille</t>
  </si>
  <si>
    <t>TOTAL</t>
  </si>
  <si>
    <t>Maintenance (pièces, huile)</t>
  </si>
  <si>
    <t>Électricité</t>
  </si>
  <si>
    <t xml:space="preserve">Outillage pour la finition </t>
  </si>
  <si>
    <t>(colle, outillages,rubans, etc.)</t>
  </si>
  <si>
    <t>Loyer</t>
  </si>
  <si>
    <t>Amortissement- machine de remplissage</t>
  </si>
  <si>
    <t>MOI - Salaire maintenance</t>
  </si>
  <si>
    <t>MOI - Salaire superviseur</t>
  </si>
  <si>
    <t>Assurances et taxes</t>
  </si>
  <si>
    <t>Total FGF</t>
  </si>
  <si>
    <t>Un seul centre de coûts</t>
  </si>
  <si>
    <t>Objectif du calcul: Répartir le montant FGF total aux différents produits.</t>
  </si>
  <si>
    <t>Travail à faire: Calculez le taux d'imputation et imputer les FGF sachant que les frais généraux de fabrication totaux sont de :
Faire les calculs dans le fichier Excel, ne pas arrondir.</t>
  </si>
  <si>
    <r>
      <t xml:space="preserve">Base d'imputation : </t>
    </r>
    <r>
      <rPr>
        <b/>
        <sz val="14"/>
        <color rgb="FFC00000"/>
        <rFont val="Calibri"/>
        <family val="2"/>
        <scheme val="minor"/>
      </rPr>
      <t>Heures machine</t>
    </r>
  </si>
  <si>
    <t>Produits</t>
  </si>
  <si>
    <t>Nombre d'unité à produire</t>
  </si>
  <si>
    <t>Heures machine par unité</t>
  </si>
  <si>
    <t>n/a</t>
  </si>
  <si>
    <t>Heures machine totale</t>
  </si>
  <si>
    <t>Surveillez les cases vertes pour des points de contrôle.</t>
  </si>
  <si>
    <t>Calcul du taux d'imputation</t>
  </si>
  <si>
    <t xml:space="preserve">    FGF totaux    </t>
  </si>
  <si>
    <t>=</t>
  </si>
  <si>
    <t>Heures-machine totales</t>
  </si>
  <si>
    <t>Matières premières</t>
  </si>
  <si>
    <t>Main d'œuvre directe</t>
  </si>
  <si>
    <t>Frais généraux de fabrication</t>
  </si>
  <si>
    <t>Coût de fabrication unitaire</t>
  </si>
  <si>
    <r>
      <t xml:space="preserve">Base d'imputation : </t>
    </r>
    <r>
      <rPr>
        <b/>
        <sz val="14"/>
        <color rgb="FFC00000"/>
        <rFont val="Calibri"/>
        <family val="2"/>
        <scheme val="minor"/>
      </rPr>
      <t>Heures de MOD</t>
    </r>
  </si>
  <si>
    <t>Heures de main d'œuvre directe par unité</t>
  </si>
  <si>
    <t>Heures de main d'œuvre directe totale</t>
  </si>
  <si>
    <t>Taux d'imputation  
par heure de mod</t>
  </si>
  <si>
    <t>Heures MOD totale</t>
  </si>
  <si>
    <r>
      <t xml:space="preserve">Base d'imputation : </t>
    </r>
    <r>
      <rPr>
        <b/>
        <sz val="14"/>
        <color rgb="FFC00000"/>
        <rFont val="Calibri"/>
        <family val="2"/>
        <scheme val="minor"/>
      </rPr>
      <t>nombre d'unités fabriquées</t>
    </r>
  </si>
  <si>
    <t>Nombre d'unités fabriqués</t>
  </si>
  <si>
    <t>Taux d'imputation  
par unité</t>
  </si>
  <si>
    <t>Centres de coûts</t>
  </si>
  <si>
    <t>Processus de fabrication</t>
  </si>
  <si>
    <t>Atelier mécanisé</t>
  </si>
  <si>
    <t>Atelier de finition</t>
  </si>
  <si>
    <t>Centre de coût 1:</t>
  </si>
  <si>
    <t>ATELIER MÉCANISÉ</t>
  </si>
  <si>
    <t>FGF Variables</t>
  </si>
  <si>
    <t>Remplissage</t>
  </si>
  <si>
    <t>Emballage</t>
  </si>
  <si>
    <t>Centre de coût 2:</t>
  </si>
  <si>
    <t>ATELIER DE FINITION</t>
  </si>
  <si>
    <t>FGF fixes</t>
  </si>
  <si>
    <t>Finition</t>
  </si>
  <si>
    <t>Total FGF fixes</t>
  </si>
  <si>
    <t>Base d'imputation</t>
  </si>
  <si>
    <t>Heures machine</t>
  </si>
  <si>
    <t>Heures de MOD</t>
  </si>
  <si>
    <t>Plusieurs centres coûts</t>
  </si>
  <si>
    <r>
      <rPr>
        <sz val="12"/>
        <color rgb="FF000000"/>
        <rFont val="Calibri"/>
        <family val="2"/>
      </rPr>
      <t xml:space="preserve">Travail à faire : Calculez le taux d'imputation par centre de coûts et imputez les FGF à chaque produit.      </t>
    </r>
    <r>
      <rPr>
        <sz val="12"/>
        <color rgb="FFC00000"/>
        <rFont val="Calibri"/>
        <family val="2"/>
      </rPr>
      <t>Ne pas arrondir ! Faire les calculs directement dans le chiffrier Excel.</t>
    </r>
  </si>
  <si>
    <t>Voici des données supplémentaires concernant la production du dernier exercice:</t>
  </si>
  <si>
    <t>Heures-machine - Atelier mécanisé</t>
  </si>
  <si>
    <t>Heures MOD -Atelier mécanisé</t>
  </si>
  <si>
    <t>-</t>
  </si>
  <si>
    <t>Heures MOD -Atelier finition</t>
  </si>
  <si>
    <t>Total</t>
  </si>
  <si>
    <r>
      <rPr>
        <sz val="12"/>
        <color rgb="FF000000"/>
        <rFont val="Calibri"/>
        <family val="2"/>
      </rPr>
      <t xml:space="preserve">Heures-machine - </t>
    </r>
    <r>
      <rPr>
        <b/>
        <sz val="12"/>
        <color rgb="FF000000"/>
        <rFont val="Calibri"/>
        <family val="2"/>
      </rPr>
      <t>Atelier Mécanisé</t>
    </r>
  </si>
  <si>
    <r>
      <rPr>
        <sz val="12"/>
        <color rgb="FF000000"/>
        <rFont val="Calibri"/>
        <family val="2"/>
      </rPr>
      <t xml:space="preserve">Heures de MOD- </t>
    </r>
    <r>
      <rPr>
        <b/>
        <sz val="12"/>
        <color rgb="FF000000"/>
        <rFont val="Calibri"/>
        <family val="2"/>
      </rPr>
      <t>Atelier finition</t>
    </r>
  </si>
  <si>
    <t>Centre de coûts</t>
  </si>
  <si>
    <t>Total FGF par centre de coûts</t>
  </si>
  <si>
    <t>Total de la base d'imputation</t>
  </si>
  <si>
    <t>Taux d'imputation</t>
  </si>
  <si>
    <t>Frais généraux de fabrication- Centre</t>
  </si>
  <si>
    <t>TOTAL des FGF unitaires</t>
  </si>
  <si>
    <t>Frais généraux de fabrication unitaire</t>
  </si>
  <si>
    <t>Réponse des étudiants</t>
  </si>
  <si>
    <t>Bonne réponse</t>
  </si>
  <si>
    <t>Marge de tolérance</t>
  </si>
  <si>
    <t>Binaire</t>
  </si>
  <si>
    <t>Message</t>
  </si>
  <si>
    <t>Unités</t>
  </si>
  <si>
    <t>Heures machine total</t>
  </si>
  <si>
    <t>Heures MOD total</t>
  </si>
  <si>
    <t>MP</t>
  </si>
  <si>
    <t>MOD</t>
  </si>
  <si>
    <t>FGF (HM)</t>
  </si>
  <si>
    <t>Coût total</t>
  </si>
  <si>
    <t>FGF(MOD)</t>
  </si>
  <si>
    <t>Taux imputation machine</t>
  </si>
  <si>
    <t>Taux imputation MOD</t>
  </si>
  <si>
    <t>Plusieurs centres</t>
  </si>
  <si>
    <t>Centre 1: H-M</t>
  </si>
  <si>
    <t>Centre 2 : HMOD</t>
  </si>
  <si>
    <t>FGF C1</t>
  </si>
  <si>
    <t>FGF C2</t>
  </si>
  <si>
    <t>Taux imputation C1</t>
  </si>
  <si>
    <t>Taux imputation C2</t>
  </si>
  <si>
    <t>Coût fabrication (base heures-machine)</t>
  </si>
  <si>
    <t>Coût fabrication (base heures-MOD)</t>
  </si>
  <si>
    <t xml:space="preserve">Indice: pensez au processus de fabrication. </t>
  </si>
  <si>
    <t>Est-ce que le produit passe par ce centre de coûts?</t>
  </si>
  <si>
    <t>Comparer les coûts de fabrication d'une méthode à l'autre. (1 centre vs plusieurs centres)</t>
  </si>
  <si>
    <t xml:space="preserve">Indice ! Les coûts de MP et de MOD ne changent pas. </t>
  </si>
  <si>
    <t>La méthode d'imputation impacte seulement le calcul des FGF</t>
  </si>
  <si>
    <t>Taux d'imputation par heure machine</t>
  </si>
  <si>
    <t>Utiliser le taux d'imputation pour calculer le coût unitaire des FGF</t>
  </si>
  <si>
    <t xml:space="preserve">As-tu remarqué? On a alloué le même montant à chacun des produits. </t>
  </si>
  <si>
    <t>Question de réflexion : Pourquoi est-ce que le coût de fabrication est différent dans chaque scénario?</t>
  </si>
  <si>
    <r>
      <t xml:space="preserve">Scénario 1 : Calculer les coûts de fabrication </t>
    </r>
    <r>
      <rPr>
        <sz val="16"/>
        <color theme="1"/>
        <rFont val="Calibri"/>
        <family val="2"/>
        <scheme val="minor"/>
      </rPr>
      <t>unitaire</t>
    </r>
    <r>
      <rPr>
        <b/>
        <sz val="16"/>
        <color theme="1"/>
        <rFont val="Calibri"/>
        <family val="2"/>
        <scheme val="minor"/>
      </rPr>
      <t xml:space="preserve"> en utilisant </t>
    </r>
    <r>
      <rPr>
        <b/>
        <u/>
        <sz val="16"/>
        <color theme="1"/>
        <rFont val="Calibri"/>
        <family val="2"/>
        <scheme val="minor"/>
      </rPr>
      <t>le nombre d'unités fabriqués</t>
    </r>
    <r>
      <rPr>
        <b/>
        <sz val="16"/>
        <color theme="1"/>
        <rFont val="Calibri"/>
        <family val="2"/>
        <scheme val="minor"/>
      </rPr>
      <t xml:space="preserve"> comme base d'imputation </t>
    </r>
  </si>
  <si>
    <r>
      <t xml:space="preserve">Scénario 2 : Calculer les coûts de fabrication unitaire en utilisant </t>
    </r>
    <r>
      <rPr>
        <b/>
        <u/>
        <sz val="16"/>
        <color theme="1"/>
        <rFont val="Calibri"/>
        <family val="2"/>
        <scheme val="minor"/>
      </rPr>
      <t>les heures-machines</t>
    </r>
    <r>
      <rPr>
        <b/>
        <sz val="16"/>
        <color theme="1"/>
        <rFont val="Calibri"/>
        <family val="2"/>
        <scheme val="minor"/>
      </rPr>
      <t xml:space="preserve"> comme base d'imputation </t>
    </r>
  </si>
  <si>
    <r>
      <t xml:space="preserve">Scénario 3 : Calculer les coûts de fabrication unitaire en utilisant </t>
    </r>
    <r>
      <rPr>
        <b/>
        <u/>
        <sz val="16"/>
        <color theme="1"/>
        <rFont val="Calibri"/>
        <family val="2"/>
        <scheme val="minor"/>
      </rPr>
      <t>les heures de MOD</t>
    </r>
    <r>
      <rPr>
        <b/>
        <sz val="16"/>
        <color theme="1"/>
        <rFont val="Calibri"/>
        <family val="2"/>
        <scheme val="minor"/>
      </rPr>
      <t xml:space="preserve"> comme base d'imputation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</si>
</sst>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_(&quot;$&quot;* #,##0.00_);_(&quot;$&quot;* \(#,##0.00\);_(&quot;$&quot;* &quot;-&quot;??_);_(@_)"/>
    <numFmt numFmtId="165" formatCode="_ * #,##0_)\ &quot;$&quot;_ ;_ * \(#,##0\)\ &quot;$&quot;_ ;_ * &quot;-&quot;??_)\ &quot;$&quot;_ ;_ @_ "/>
    <numFmt numFmtId="166" formatCode="0.0000"/>
    <numFmt numFmtId="167" formatCode="0.0"/>
    <numFmt numFmtId="168" formatCode="_ * #,##0_)_ ;_ * \(#,##0\)_ ;_ * &quot;-&quot;??_)_ ;_ @_ "/>
    <numFmt numFmtId="169" formatCode="0.000"/>
    <numFmt numFmtId="170" formatCode="_ * #,##0.0_)\ &quot;$&quot;_ ;_ * \(#,##0.0\)\ &quot;$&quot;_ ;_ * &quot;-&quot;??_)\ &quot;$&quot;_ ;_ @_ "/>
  </numFmts>
  <fonts count="4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halkboard"/>
      <family val="4"/>
    </font>
    <font>
      <sz val="10"/>
      <color theme="1"/>
      <name val="Chalkboard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0"/>
      <color theme="1"/>
      <name val="Chalkboard"/>
    </font>
    <font>
      <b/>
      <sz val="14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rgb="FF0070C0"/>
      <name val="Calibri (Corps)"/>
    </font>
    <font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rgb="FF0070C0"/>
      <name val="Calibri (Corps)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0"/>
      <color rgb="FFC00000"/>
      <name val="Chalkboard"/>
      <family val="4"/>
    </font>
    <font>
      <sz val="14"/>
      <color rgb="FFC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0"/>
      <color theme="1"/>
      <name val="Chalkboard"/>
      <family val="4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halkboard"/>
      <family val="4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C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C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DashDotDot">
        <color rgb="FF00B050"/>
      </left>
      <right style="mediumDashDotDot">
        <color rgb="FF00B050"/>
      </right>
      <top style="mediumDashDotDot">
        <color rgb="FF00B050"/>
      </top>
      <bottom style="mediumDashDotDot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8">
    <xf numFmtId="0" fontId="0" fillId="0" borderId="0" xfId="0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/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left" indent="1"/>
    </xf>
    <xf numFmtId="165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4" fillId="0" borderId="0" xfId="0" applyNumberFormat="1" applyFont="1"/>
    <xf numFmtId="0" fontId="5" fillId="0" borderId="0" xfId="0" applyFont="1"/>
    <xf numFmtId="165" fontId="0" fillId="0" borderId="0" xfId="1" applyNumberFormat="1" applyFont="1" applyFill="1" applyBorder="1"/>
    <xf numFmtId="165" fontId="0" fillId="0" borderId="0" xfId="0" applyNumberFormat="1"/>
    <xf numFmtId="0" fontId="0" fillId="0" borderId="9" xfId="0" applyBorder="1"/>
    <xf numFmtId="165" fontId="0" fillId="0" borderId="0" xfId="1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44" fontId="4" fillId="0" borderId="0" xfId="0" applyNumberFormat="1" applyFont="1" applyAlignment="1">
      <alignment vertical="center"/>
    </xf>
    <xf numFmtId="0" fontId="7" fillId="0" borderId="0" xfId="0" applyFont="1"/>
    <xf numFmtId="3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2" fontId="5" fillId="0" borderId="0" xfId="0" applyNumberFormat="1" applyFon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0" fillId="0" borderId="12" xfId="0" applyBorder="1"/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4" fillId="0" borderId="13" xfId="0" applyFont="1" applyBorder="1"/>
    <xf numFmtId="0" fontId="0" fillId="0" borderId="15" xfId="0" applyBorder="1"/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right"/>
    </xf>
    <xf numFmtId="0" fontId="4" fillId="0" borderId="15" xfId="0" applyFont="1" applyBorder="1"/>
    <xf numFmtId="0" fontId="0" fillId="0" borderId="22" xfId="0" applyBorder="1"/>
    <xf numFmtId="0" fontId="4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indent="1"/>
    </xf>
    <xf numFmtId="0" fontId="4" fillId="0" borderId="1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left" indent="2"/>
    </xf>
    <xf numFmtId="0" fontId="11" fillId="0" borderId="0" xfId="0" applyFont="1"/>
    <xf numFmtId="0" fontId="12" fillId="0" borderId="0" xfId="0" applyFont="1"/>
    <xf numFmtId="0" fontId="13" fillId="0" borderId="0" xfId="0" applyFont="1"/>
    <xf numFmtId="44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horizontal="center"/>
    </xf>
    <xf numFmtId="165" fontId="0" fillId="0" borderId="0" xfId="0" applyNumberFormat="1" applyAlignment="1">
      <alignment wrapText="1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top"/>
    </xf>
    <xf numFmtId="0" fontId="20" fillId="0" borderId="0" xfId="0" applyFont="1" applyAlignment="1">
      <alignment horizontal="left" vertical="center"/>
    </xf>
    <xf numFmtId="44" fontId="0" fillId="0" borderId="0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indent="2"/>
    </xf>
    <xf numFmtId="0" fontId="21" fillId="0" borderId="0" xfId="0" applyFont="1"/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167" fontId="4" fillId="0" borderId="3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left"/>
    </xf>
    <xf numFmtId="0" fontId="11" fillId="0" borderId="0" xfId="0" applyFont="1" applyAlignment="1">
      <alignment horizontal="left" indent="1"/>
    </xf>
    <xf numFmtId="0" fontId="24" fillId="0" borderId="0" xfId="0" applyFont="1"/>
    <xf numFmtId="165" fontId="4" fillId="0" borderId="1" xfId="0" applyNumberFormat="1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0" fontId="25" fillId="0" borderId="0" xfId="0" applyFont="1"/>
    <xf numFmtId="0" fontId="4" fillId="0" borderId="15" xfId="0" applyFont="1" applyBorder="1" applyAlignment="1">
      <alignment horizontal="left" indent="2"/>
    </xf>
    <xf numFmtId="0" fontId="4" fillId="0" borderId="0" xfId="0" applyFont="1" applyAlignment="1">
      <alignment horizontal="center" wrapText="1"/>
    </xf>
    <xf numFmtId="165" fontId="0" fillId="0" borderId="0" xfId="1" applyNumberFormat="1" applyFont="1" applyBorder="1"/>
    <xf numFmtId="165" fontId="5" fillId="0" borderId="0" xfId="0" applyNumberFormat="1" applyFont="1"/>
    <xf numFmtId="165" fontId="14" fillId="0" borderId="0" xfId="0" applyNumberFormat="1" applyFont="1"/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3" fontId="12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44" fontId="4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 indent="1"/>
    </xf>
    <xf numFmtId="0" fontId="27" fillId="0" borderId="0" xfId="0" applyFont="1" applyAlignment="1">
      <alignment horizontal="center"/>
    </xf>
    <xf numFmtId="0" fontId="28" fillId="0" borderId="0" xfId="0" applyFont="1"/>
    <xf numFmtId="16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30" fillId="0" borderId="0" xfId="0" applyFont="1"/>
    <xf numFmtId="0" fontId="31" fillId="0" borderId="0" xfId="0" applyFont="1"/>
    <xf numFmtId="0" fontId="15" fillId="0" borderId="0" xfId="0" applyFont="1" applyAlignment="1">
      <alignment vertical="center"/>
    </xf>
    <xf numFmtId="0" fontId="32" fillId="0" borderId="0" xfId="0" applyFont="1"/>
    <xf numFmtId="44" fontId="4" fillId="0" borderId="21" xfId="0" applyNumberFormat="1" applyFont="1" applyBorder="1" applyAlignment="1">
      <alignment horizontal="center"/>
    </xf>
    <xf numFmtId="44" fontId="4" fillId="0" borderId="26" xfId="0" applyNumberFormat="1" applyFont="1" applyBorder="1" applyAlignment="1">
      <alignment horizontal="center"/>
    </xf>
    <xf numFmtId="0" fontId="2" fillId="0" borderId="0" xfId="0" applyFont="1"/>
    <xf numFmtId="0" fontId="33" fillId="0" borderId="0" xfId="0" applyFont="1" applyAlignment="1">
      <alignment vertical="center"/>
    </xf>
    <xf numFmtId="0" fontId="35" fillId="0" borderId="0" xfId="0" applyFont="1"/>
    <xf numFmtId="0" fontId="36" fillId="0" borderId="0" xfId="0" applyFont="1"/>
    <xf numFmtId="0" fontId="33" fillId="0" borderId="0" xfId="0" applyFont="1"/>
    <xf numFmtId="0" fontId="35" fillId="0" borderId="9" xfId="0" applyFont="1" applyBorder="1"/>
    <xf numFmtId="167" fontId="4" fillId="0" borderId="1" xfId="0" applyNumberFormat="1" applyFont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37" fillId="0" borderId="0" xfId="0" applyFont="1"/>
    <xf numFmtId="44" fontId="37" fillId="0" borderId="0" xfId="0" applyNumberFormat="1" applyFont="1"/>
    <xf numFmtId="166" fontId="37" fillId="0" borderId="0" xfId="0" applyNumberFormat="1" applyFont="1"/>
    <xf numFmtId="0" fontId="37" fillId="0" borderId="0" xfId="0" quotePrefix="1" applyFont="1"/>
    <xf numFmtId="3" fontId="37" fillId="0" borderId="0" xfId="0" applyNumberFormat="1" applyFont="1"/>
    <xf numFmtId="3" fontId="38" fillId="0" borderId="0" xfId="0" applyNumberFormat="1" applyFont="1"/>
    <xf numFmtId="0" fontId="38" fillId="0" borderId="0" xfId="0" applyFont="1"/>
    <xf numFmtId="2" fontId="37" fillId="0" borderId="0" xfId="0" applyNumberFormat="1" applyFont="1"/>
    <xf numFmtId="44" fontId="37" fillId="0" borderId="0" xfId="1" applyFont="1"/>
    <xf numFmtId="44" fontId="37" fillId="0" borderId="29" xfId="0" applyNumberFormat="1" applyFont="1" applyBorder="1"/>
    <xf numFmtId="44" fontId="38" fillId="0" borderId="0" xfId="0" applyNumberFormat="1" applyFont="1"/>
    <xf numFmtId="0" fontId="37" fillId="0" borderId="29" xfId="0" applyFont="1" applyBorder="1"/>
    <xf numFmtId="164" fontId="38" fillId="0" borderId="0" xfId="0" applyNumberFormat="1" applyFont="1"/>
    <xf numFmtId="0" fontId="41" fillId="0" borderId="9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42" fillId="0" borderId="0" xfId="0" applyFont="1"/>
    <xf numFmtId="44" fontId="37" fillId="0" borderId="0" xfId="1" applyFont="1" applyAlignment="1">
      <alignment vertical="center"/>
    </xf>
    <xf numFmtId="164" fontId="37" fillId="0" borderId="0" xfId="0" applyNumberFormat="1" applyFont="1"/>
    <xf numFmtId="164" fontId="37" fillId="0" borderId="29" xfId="0" applyNumberFormat="1" applyFont="1" applyBorder="1"/>
    <xf numFmtId="0" fontId="39" fillId="0" borderId="13" xfId="0" applyFont="1" applyBorder="1"/>
    <xf numFmtId="0" fontId="39" fillId="0" borderId="15" xfId="0" applyFont="1" applyBorder="1"/>
    <xf numFmtId="0" fontId="38" fillId="0" borderId="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0" fillId="2" borderId="13" xfId="0" applyFill="1" applyBorder="1"/>
    <xf numFmtId="0" fontId="0" fillId="2" borderId="0" xfId="0" applyFill="1"/>
    <xf numFmtId="0" fontId="37" fillId="0" borderId="0" xfId="0" applyFont="1" applyAlignment="1">
      <alignment horizontal="left" indent="2"/>
    </xf>
    <xf numFmtId="0" fontId="45" fillId="0" borderId="0" xfId="0" applyFont="1" applyAlignment="1">
      <alignment horizontal="left" indent="2"/>
    </xf>
    <xf numFmtId="3" fontId="0" fillId="0" borderId="0" xfId="0" applyNumberFormat="1" applyAlignment="1" applyProtection="1">
      <alignment horizontal="center"/>
      <protection locked="0"/>
    </xf>
    <xf numFmtId="3" fontId="4" fillId="3" borderId="4" xfId="0" applyNumberFormat="1" applyFont="1" applyFill="1" applyBorder="1" applyAlignment="1" applyProtection="1">
      <alignment horizontal="center"/>
      <protection locked="0"/>
    </xf>
    <xf numFmtId="3" fontId="4" fillId="4" borderId="5" xfId="0" applyNumberFormat="1" applyFont="1" applyFill="1" applyBorder="1" applyAlignment="1" applyProtection="1">
      <alignment horizontal="center"/>
      <protection locked="0"/>
    </xf>
    <xf numFmtId="3" fontId="12" fillId="0" borderId="24" xfId="0" applyNumberFormat="1" applyFont="1" applyBorder="1" applyAlignment="1" applyProtection="1">
      <alignment horizontal="left"/>
      <protection hidden="1"/>
    </xf>
    <xf numFmtId="165" fontId="4" fillId="4" borderId="2" xfId="0" applyNumberFormat="1" applyFont="1" applyFill="1" applyBorder="1" applyAlignment="1" applyProtection="1">
      <alignment horizontal="center" vertical="center"/>
      <protection locked="0"/>
    </xf>
    <xf numFmtId="168" fontId="4" fillId="4" borderId="8" xfId="2" applyNumberFormat="1" applyFont="1" applyFill="1" applyBorder="1" applyAlignment="1" applyProtection="1">
      <alignment horizontal="center" vertical="center"/>
      <protection locked="0"/>
    </xf>
    <xf numFmtId="170" fontId="4" fillId="3" borderId="2" xfId="1" applyNumberFormat="1" applyFont="1" applyFill="1" applyBorder="1" applyAlignment="1" applyProtection="1">
      <alignment horizontal="left" vertical="center" indent="2"/>
      <protection locked="0"/>
    </xf>
    <xf numFmtId="44" fontId="0" fillId="3" borderId="6" xfId="1" applyFont="1" applyFill="1" applyBorder="1" applyAlignment="1" applyProtection="1">
      <alignment horizontal="center"/>
      <protection locked="0"/>
    </xf>
    <xf numFmtId="44" fontId="4" fillId="4" borderId="21" xfId="0" applyNumberFormat="1" applyFont="1" applyFill="1" applyBorder="1" applyAlignment="1" applyProtection="1">
      <alignment horizontal="center"/>
      <protection locked="0"/>
    </xf>
    <xf numFmtId="44" fontId="4" fillId="3" borderId="2" xfId="1" applyFont="1" applyFill="1" applyBorder="1" applyAlignment="1" applyProtection="1">
      <alignment horizontal="left" vertical="center" indent="2"/>
      <protection locked="0"/>
    </xf>
    <xf numFmtId="3" fontId="12" fillId="0" borderId="24" xfId="0" applyNumberFormat="1" applyFont="1" applyBorder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0" fillId="0" borderId="0" xfId="0" applyProtection="1">
      <protection hidden="1"/>
    </xf>
    <xf numFmtId="0" fontId="12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3" fontId="26" fillId="0" borderId="24" xfId="0" applyNumberFormat="1" applyFont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3" fontId="0" fillId="3" borderId="19" xfId="0" applyNumberFormat="1" applyFill="1" applyBorder="1" applyAlignment="1" applyProtection="1">
      <alignment horizontal="center"/>
      <protection locked="0"/>
    </xf>
    <xf numFmtId="3" fontId="0" fillId="3" borderId="20" xfId="0" applyNumberFormat="1" applyFill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>
      <alignment horizontal="left" indent="1"/>
    </xf>
    <xf numFmtId="0" fontId="4" fillId="0" borderId="0" xfId="0" applyFont="1" applyAlignment="1">
      <alignment vertical="center" wrapText="1"/>
    </xf>
    <xf numFmtId="44" fontId="0" fillId="0" borderId="0" xfId="1" applyFont="1" applyBorder="1" applyAlignment="1" applyProtection="1">
      <alignment horizontal="center"/>
      <protection hidden="1"/>
    </xf>
    <xf numFmtId="165" fontId="35" fillId="0" borderId="9" xfId="1" applyNumberFormat="1" applyFont="1" applyBorder="1" applyAlignment="1" applyProtection="1">
      <alignment vertical="top"/>
      <protection locked="0" hidden="1"/>
    </xf>
    <xf numFmtId="3" fontId="0" fillId="0" borderId="0" xfId="0" applyNumberFormat="1" applyAlignment="1" applyProtection="1">
      <alignment horizont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14" xfId="0" applyBorder="1" applyAlignment="1" applyProtection="1">
      <alignment horizontal="center"/>
      <protection locked="0" hidden="1"/>
    </xf>
    <xf numFmtId="3" fontId="4" fillId="0" borderId="22" xfId="0" applyNumberFormat="1" applyFont="1" applyBorder="1" applyAlignment="1" applyProtection="1">
      <alignment horizontal="center"/>
      <protection locked="0" hidden="1"/>
    </xf>
    <xf numFmtId="0" fontId="23" fillId="0" borderId="0" xfId="0" applyFont="1" applyAlignment="1" applyProtection="1">
      <alignment horizontal="center"/>
      <protection locked="0" hidden="1"/>
    </xf>
    <xf numFmtId="0" fontId="0" fillId="0" borderId="23" xfId="0" applyBorder="1" applyAlignment="1" applyProtection="1">
      <alignment horizontal="center"/>
      <protection locked="0" hidden="1"/>
    </xf>
    <xf numFmtId="44" fontId="0" fillId="0" borderId="0" xfId="1" applyFont="1" applyBorder="1" applyAlignment="1" applyProtection="1">
      <alignment horizontal="center"/>
      <protection locked="0" hidden="1"/>
    </xf>
    <xf numFmtId="44" fontId="0" fillId="0" borderId="14" xfId="1" applyFont="1" applyBorder="1" applyAlignment="1" applyProtection="1">
      <alignment horizontal="center"/>
      <protection locked="0" hidden="1"/>
    </xf>
    <xf numFmtId="44" fontId="0" fillId="0" borderId="16" xfId="1" applyFont="1" applyBorder="1" applyAlignment="1" applyProtection="1">
      <alignment horizontal="center"/>
      <protection locked="0" hidden="1"/>
    </xf>
    <xf numFmtId="44" fontId="0" fillId="3" borderId="6" xfId="1" applyFont="1" applyFill="1" applyBorder="1" applyAlignment="1" applyProtection="1">
      <alignment horizontal="center"/>
      <protection locked="0" hidden="1"/>
    </xf>
    <xf numFmtId="165" fontId="0" fillId="0" borderId="0" xfId="1" applyNumberFormat="1" applyFont="1" applyFill="1" applyBorder="1" applyAlignment="1" applyProtection="1">
      <alignment horizontal="center"/>
      <protection locked="0" hidden="1"/>
    </xf>
    <xf numFmtId="44" fontId="0" fillId="3" borderId="2" xfId="1" applyFont="1" applyFill="1" applyBorder="1" applyAlignment="1" applyProtection="1">
      <alignment horizontal="center"/>
      <protection locked="0" hidden="1"/>
    </xf>
    <xf numFmtId="44" fontId="0" fillId="0" borderId="25" xfId="1" applyFont="1" applyFill="1" applyBorder="1" applyAlignment="1" applyProtection="1">
      <alignment horizontal="center"/>
      <protection locked="0" hidden="1"/>
    </xf>
    <xf numFmtId="44" fontId="4" fillId="0" borderId="21" xfId="0" applyNumberFormat="1" applyFont="1" applyBorder="1" applyAlignment="1" applyProtection="1">
      <alignment horizontal="center"/>
      <protection locked="0" hidden="1"/>
    </xf>
    <xf numFmtId="165" fontId="4" fillId="0" borderId="1" xfId="0" applyNumberFormat="1" applyFont="1" applyBorder="1" applyAlignment="1" applyProtection="1">
      <alignment horizontal="center"/>
      <protection locked="0" hidden="1"/>
    </xf>
    <xf numFmtId="44" fontId="4" fillId="4" borderId="21" xfId="0" applyNumberFormat="1" applyFont="1" applyFill="1" applyBorder="1" applyAlignment="1" applyProtection="1">
      <alignment horizontal="center"/>
      <protection locked="0" hidden="1"/>
    </xf>
    <xf numFmtId="169" fontId="23" fillId="0" borderId="0" xfId="0" applyNumberFormat="1" applyFont="1" applyAlignment="1" applyProtection="1">
      <alignment horizontal="center"/>
      <protection locked="0" hidden="1"/>
    </xf>
    <xf numFmtId="2" fontId="23" fillId="0" borderId="0" xfId="0" applyNumberFormat="1" applyFont="1" applyAlignment="1" applyProtection="1">
      <alignment horizontal="center"/>
      <protection locked="0" hidden="1"/>
    </xf>
    <xf numFmtId="1" fontId="0" fillId="0" borderId="0" xfId="0" applyNumberFormat="1" applyAlignment="1" applyProtection="1">
      <alignment horizontal="center"/>
      <protection locked="0" hidden="1"/>
    </xf>
    <xf numFmtId="168" fontId="23" fillId="0" borderId="0" xfId="2" applyNumberFormat="1" applyFont="1" applyAlignment="1" applyProtection="1">
      <alignment horizontal="center"/>
      <protection locked="0" hidden="1"/>
    </xf>
    <xf numFmtId="44" fontId="0" fillId="0" borderId="7" xfId="1" applyFont="1" applyFill="1" applyBorder="1" applyAlignment="1" applyProtection="1">
      <alignment horizontal="center"/>
      <protection locked="0" hidden="1"/>
    </xf>
    <xf numFmtId="44" fontId="0" fillId="0" borderId="30" xfId="1" applyFont="1" applyFill="1" applyBorder="1" applyAlignment="1" applyProtection="1">
      <alignment horizontal="center"/>
      <protection locked="0" hidden="1"/>
    </xf>
    <xf numFmtId="44" fontId="4" fillId="4" borderId="1" xfId="0" applyNumberFormat="1" applyFont="1" applyFill="1" applyBorder="1" applyAlignment="1" applyProtection="1">
      <alignment horizontal="center"/>
      <protection locked="0" hidden="1"/>
    </xf>
    <xf numFmtId="44" fontId="4" fillId="0" borderId="1" xfId="0" applyNumberFormat="1" applyFont="1" applyBorder="1" applyAlignment="1" applyProtection="1">
      <alignment horizontal="center"/>
      <protection locked="0" hidden="1"/>
    </xf>
    <xf numFmtId="44" fontId="4" fillId="0" borderId="26" xfId="0" applyNumberFormat="1" applyFont="1" applyBorder="1" applyAlignment="1" applyProtection="1">
      <alignment horizontal="center"/>
      <protection locked="0" hidden="1"/>
    </xf>
    <xf numFmtId="0" fontId="0" fillId="0" borderId="0" xfId="0" applyProtection="1">
      <protection locked="0" hidden="1"/>
    </xf>
    <xf numFmtId="165" fontId="0" fillId="0" borderId="0" xfId="1" applyNumberFormat="1" applyFont="1" applyProtection="1">
      <protection locked="0" hidden="1"/>
    </xf>
    <xf numFmtId="165" fontId="4" fillId="0" borderId="0" xfId="0" applyNumberFormat="1" applyFont="1" applyProtection="1">
      <protection locked="0" hidden="1"/>
    </xf>
    <xf numFmtId="165" fontId="0" fillId="0" borderId="7" xfId="1" applyNumberFormat="1" applyFont="1" applyBorder="1" applyProtection="1">
      <protection locked="0" hidden="1"/>
    </xf>
    <xf numFmtId="165" fontId="4" fillId="0" borderId="7" xfId="0" applyNumberFormat="1" applyFont="1" applyBorder="1" applyProtection="1">
      <protection locked="0" hidden="1"/>
    </xf>
    <xf numFmtId="165" fontId="5" fillId="0" borderId="8" xfId="0" applyNumberFormat="1" applyFont="1" applyBorder="1" applyProtection="1">
      <protection locked="0" hidden="1"/>
    </xf>
    <xf numFmtId="0" fontId="5" fillId="0" borderId="0" xfId="0" applyFont="1" applyProtection="1">
      <protection locked="0" hidden="1"/>
    </xf>
    <xf numFmtId="165" fontId="0" fillId="0" borderId="0" xfId="1" applyNumberFormat="1" applyFont="1" applyFill="1" applyBorder="1" applyProtection="1">
      <protection locked="0" hidden="1"/>
    </xf>
    <xf numFmtId="165" fontId="0" fillId="0" borderId="7" xfId="1" applyNumberFormat="1" applyFont="1" applyFill="1" applyBorder="1" applyProtection="1">
      <protection locked="0" hidden="1"/>
    </xf>
    <xf numFmtId="165" fontId="4" fillId="0" borderId="5" xfId="0" applyNumberFormat="1" applyFont="1" applyBorder="1" applyProtection="1">
      <protection locked="0" hidden="1"/>
    </xf>
    <xf numFmtId="0" fontId="4" fillId="0" borderId="0" xfId="0" applyFont="1" applyProtection="1">
      <protection locked="0" hidden="1"/>
    </xf>
    <xf numFmtId="165" fontId="26" fillId="0" borderId="5" xfId="0" applyNumberFormat="1" applyFont="1" applyBorder="1" applyProtection="1">
      <protection locked="0" hidden="1"/>
    </xf>
    <xf numFmtId="3" fontId="4" fillId="0" borderId="0" xfId="0" applyNumberFormat="1" applyFont="1" applyAlignment="1" applyProtection="1">
      <alignment horizontal="center"/>
      <protection locked="0" hidden="1"/>
    </xf>
    <xf numFmtId="0" fontId="4" fillId="0" borderId="0" xfId="0" applyFont="1" applyAlignment="1" applyProtection="1">
      <alignment horizontal="center"/>
      <protection locked="0" hidden="1"/>
    </xf>
    <xf numFmtId="3" fontId="4" fillId="0" borderId="14" xfId="0" applyNumberFormat="1" applyFont="1" applyBorder="1" applyAlignment="1" applyProtection="1">
      <alignment horizontal="center"/>
      <protection locked="0" hidden="1"/>
    </xf>
    <xf numFmtId="0" fontId="0" fillId="2" borderId="0" xfId="0" applyFill="1" applyAlignment="1" applyProtection="1">
      <alignment horizontal="center"/>
      <protection locked="0" hidden="1"/>
    </xf>
    <xf numFmtId="0" fontId="0" fillId="2" borderId="14" xfId="0" applyFill="1" applyBorder="1" applyAlignment="1" applyProtection="1">
      <alignment horizontal="center"/>
      <protection locked="0" hidden="1"/>
    </xf>
    <xf numFmtId="2" fontId="0" fillId="0" borderId="14" xfId="0" applyNumberFormat="1" applyBorder="1" applyAlignment="1" applyProtection="1">
      <alignment horizontal="center"/>
      <protection locked="0" hidden="1"/>
    </xf>
    <xf numFmtId="0" fontId="0" fillId="0" borderId="1" xfId="0" applyBorder="1" applyAlignment="1" applyProtection="1">
      <alignment horizontal="center"/>
      <protection locked="0" hidden="1"/>
    </xf>
    <xf numFmtId="2" fontId="0" fillId="0" borderId="16" xfId="0" applyNumberFormat="1" applyBorder="1" applyAlignment="1" applyProtection="1">
      <alignment horizontal="center"/>
      <protection locked="0" hidden="1"/>
    </xf>
    <xf numFmtId="3" fontId="0" fillId="0" borderId="6" xfId="0" applyNumberForma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 hidden="1"/>
    </xf>
    <xf numFmtId="165" fontId="0" fillId="0" borderId="14" xfId="0" applyNumberFormat="1" applyBorder="1" applyAlignment="1" applyProtection="1">
      <alignment horizontal="center"/>
      <protection locked="0" hidden="1"/>
    </xf>
    <xf numFmtId="165" fontId="44" fillId="0" borderId="0" xfId="0" applyNumberFormat="1" applyFont="1" applyAlignment="1" applyProtection="1">
      <alignment horizontal="center" vertical="center"/>
      <protection locked="0" hidden="1"/>
    </xf>
    <xf numFmtId="0" fontId="29" fillId="0" borderId="0" xfId="0" applyFont="1" applyAlignment="1" applyProtection="1">
      <alignment horizontal="center" vertical="center"/>
      <protection locked="0" hidden="1"/>
    </xf>
    <xf numFmtId="165" fontId="44" fillId="0" borderId="14" xfId="0" applyNumberFormat="1" applyFont="1" applyBorder="1" applyAlignment="1" applyProtection="1">
      <alignment horizontal="center" vertical="center" wrapText="1"/>
      <protection locked="0" hidden="1"/>
    </xf>
    <xf numFmtId="3" fontId="0" fillId="4" borderId="2" xfId="0" applyNumberFormat="1" applyFill="1" applyBorder="1" applyAlignment="1" applyProtection="1">
      <alignment horizontal="center"/>
      <protection locked="0" hidden="1"/>
    </xf>
    <xf numFmtId="0" fontId="0" fillId="0" borderId="14" xfId="0" applyBorder="1" applyProtection="1">
      <protection locked="0" hidden="1"/>
    </xf>
    <xf numFmtId="44" fontId="4" fillId="3" borderId="5" xfId="0" applyNumberFormat="1" applyFont="1" applyFill="1" applyBorder="1" applyAlignment="1" applyProtection="1">
      <alignment horizontal="center"/>
      <protection locked="0" hidden="1"/>
    </xf>
    <xf numFmtId="0" fontId="4" fillId="0" borderId="1" xfId="0" applyFont="1" applyBorder="1" applyAlignment="1" applyProtection="1">
      <alignment horizontal="center"/>
      <protection locked="0" hidden="1"/>
    </xf>
    <xf numFmtId="44" fontId="0" fillId="3" borderId="19" xfId="0" applyNumberFormat="1" applyFill="1" applyBorder="1" applyAlignment="1" applyProtection="1">
      <alignment horizontal="center"/>
      <protection locked="0" hidden="1"/>
    </xf>
    <xf numFmtId="44" fontId="0" fillId="3" borderId="27" xfId="0" applyNumberFormat="1" applyFill="1" applyBorder="1" applyAlignment="1" applyProtection="1">
      <alignment horizontal="center"/>
      <protection locked="0" hidden="1"/>
    </xf>
    <xf numFmtId="44" fontId="0" fillId="3" borderId="4" xfId="0" applyNumberFormat="1" applyFill="1" applyBorder="1" applyAlignment="1" applyProtection="1">
      <alignment horizontal="center"/>
      <protection locked="0" hidden="1"/>
    </xf>
    <xf numFmtId="44" fontId="0" fillId="3" borderId="28" xfId="0" applyNumberFormat="1" applyFill="1" applyBorder="1" applyAlignment="1" applyProtection="1">
      <alignment horizontal="center"/>
      <protection locked="0" hidden="1"/>
    </xf>
    <xf numFmtId="44" fontId="4" fillId="4" borderId="2" xfId="1" applyFont="1" applyFill="1" applyBorder="1" applyAlignment="1" applyProtection="1">
      <alignment horizontal="center"/>
      <protection locked="0" hidden="1"/>
    </xf>
    <xf numFmtId="44" fontId="0" fillId="0" borderId="0" xfId="1" applyFont="1" applyFill="1" applyBorder="1" applyAlignment="1" applyProtection="1">
      <alignment horizontal="center"/>
      <protection locked="0" hidden="1"/>
    </xf>
    <xf numFmtId="44" fontId="0" fillId="4" borderId="0" xfId="1" applyFont="1" applyFill="1" applyBorder="1" applyAlignment="1" applyProtection="1">
      <alignment horizontal="center"/>
      <protection locked="0" hidden="1"/>
    </xf>
    <xf numFmtId="44" fontId="0" fillId="4" borderId="14" xfId="1" applyFont="1" applyFill="1" applyBorder="1" applyAlignment="1" applyProtection="1">
      <alignment horizontal="center"/>
      <protection locked="0" hidden="1"/>
    </xf>
    <xf numFmtId="44" fontId="0" fillId="4" borderId="6" xfId="1" applyFont="1" applyFill="1" applyBorder="1" applyAlignment="1" applyProtection="1">
      <alignment horizontal="center"/>
      <protection locked="0" hidden="1"/>
    </xf>
    <xf numFmtId="44" fontId="4" fillId="0" borderId="21" xfId="0" applyNumberFormat="1" applyFont="1" applyBorder="1" applyAlignment="1" applyProtection="1">
      <alignment horizontal="center" vertical="center"/>
      <protection locked="0" hidden="1"/>
    </xf>
    <xf numFmtId="165" fontId="4" fillId="0" borderId="1" xfId="0" applyNumberFormat="1" applyFont="1" applyBorder="1" applyAlignment="1" applyProtection="1">
      <alignment horizontal="center" vertical="center"/>
      <protection locked="0" hidden="1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7" fontId="4" fillId="0" borderId="1" xfId="0" applyNumberFormat="1" applyFon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65" fontId="4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8" fontId="4" fillId="3" borderId="8" xfId="2" applyNumberFormat="1" applyFont="1" applyFill="1" applyBorder="1" applyAlignment="1" applyProtection="1">
      <alignment horizontal="center" vertical="center"/>
      <protection locked="0"/>
    </xf>
    <xf numFmtId="44" fontId="4" fillId="0" borderId="0" xfId="0" applyNumberFormat="1" applyFont="1" applyAlignment="1" applyProtection="1">
      <alignment horizontal="center" vertical="center"/>
      <protection locked="0"/>
    </xf>
    <xf numFmtId="44" fontId="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center" wrapText="1" indent="3"/>
    </xf>
    <xf numFmtId="0" fontId="4" fillId="0" borderId="0" xfId="0" applyFont="1" applyAlignment="1" applyProtection="1">
      <alignment horizontal="left" vertical="top" wrapText="1"/>
      <protection locked="0"/>
    </xf>
    <xf numFmtId="0" fontId="35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3" fontId="12" fillId="0" borderId="9" xfId="0" applyNumberFormat="1" applyFont="1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</cellXfs>
  <cellStyles count="3">
    <cellStyle name="Milliers" xfId="2" builtinId="3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552450</xdr:colOff>
      <xdr:row>7</xdr:row>
      <xdr:rowOff>114300</xdr:rowOff>
    </xdr:from>
    <xdr:to>
      <xdr:col>15</xdr:col>
      <xdr:colOff>809625</xdr:colOff>
      <xdr:row>7</xdr:row>
      <xdr:rowOff>133350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3B207270-D30C-4CF7-B58F-E6488DD71487}"/>
            </a:ext>
          </a:extLst>
        </xdr:cNvPr>
        <xdr:cNvCxnSpPr/>
      </xdr:nvCxnSpPr>
      <xdr:spPr>
        <a:xfrm>
          <a:off x="10344150" y="2095500"/>
          <a:ext cx="19335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485775</xdr:colOff>
      <xdr:row>13</xdr:row>
      <xdr:rowOff>142875</xdr:rowOff>
    </xdr:from>
    <xdr:to>
      <xdr:col>15</xdr:col>
      <xdr:colOff>711200</xdr:colOff>
      <xdr:row>13</xdr:row>
      <xdr:rowOff>152400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FCFE4DC0-F550-4C65-BF7A-B930B4D9EA87}"/>
            </a:ext>
          </a:extLst>
        </xdr:cNvPr>
        <xdr:cNvCxnSpPr/>
      </xdr:nvCxnSpPr>
      <xdr:spPr>
        <a:xfrm flipV="1">
          <a:off x="10277475" y="3124200"/>
          <a:ext cx="1901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463550</xdr:colOff>
      <xdr:row>8</xdr:row>
      <xdr:rowOff>133350</xdr:rowOff>
    </xdr:from>
    <xdr:to>
      <xdr:col>15</xdr:col>
      <xdr:colOff>771525</xdr:colOff>
      <xdr:row>12</xdr:row>
      <xdr:rowOff>104775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81AF911C-4285-43BA-BDC3-07572868F398}"/>
            </a:ext>
          </a:extLst>
        </xdr:cNvPr>
        <xdr:cNvCxnSpPr/>
      </xdr:nvCxnSpPr>
      <xdr:spPr>
        <a:xfrm>
          <a:off x="10255250" y="2314575"/>
          <a:ext cx="198437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R63"/>
  <sheetViews>
    <sheetView showGridLines="0" tabSelected="1" topLeftCell="A18" zoomScale="80" zoomScaleNormal="80" workbookViewId="0">
      <selection activeCell="I14" sqref="I14"/>
    </sheetView>
  </sheetViews>
  <sheetFormatPr baseColWidth="10" defaultColWidth="11" defaultRowHeight="15.75"/>
  <cols>
    <col min="3" max="3" width="33.625" customWidth="1"/>
    <col min="4" max="4" width="3" customWidth="1"/>
    <col min="5" max="5" width="14.125" customWidth="1"/>
    <col min="6" max="6" width="2.125" customWidth="1"/>
    <col min="7" max="7" width="14.375" customWidth="1"/>
    <col min="8" max="8" width="2.125" customWidth="1"/>
    <col min="9" max="9" width="14.375" bestFit="1" customWidth="1"/>
    <col min="10" max="10" width="2.625" customWidth="1"/>
    <col min="11" max="11" width="13.375" customWidth="1"/>
    <col min="12" max="12" width="2.375" customWidth="1"/>
    <col min="13" max="13" width="4.375" customWidth="1"/>
  </cols>
  <sheetData>
    <row r="1" spans="1:18" s="63" customFormat="1" ht="23.25">
      <c r="A1" s="62" t="s">
        <v>0</v>
      </c>
      <c r="G1" s="64" t="s">
        <v>1</v>
      </c>
    </row>
    <row r="2" spans="1:18" s="63" customFormat="1" ht="18">
      <c r="A2" s="65" t="s">
        <v>2</v>
      </c>
      <c r="G2" s="66" t="s">
        <v>3</v>
      </c>
    </row>
    <row r="3" spans="1:18" s="63" customFormat="1" ht="20.25">
      <c r="A3" s="67" t="s">
        <v>4</v>
      </c>
    </row>
    <row r="4" spans="1:18" s="63" customFormat="1" ht="20.25">
      <c r="A4" s="67"/>
    </row>
    <row r="5" spans="1:18" ht="27.6" customHeight="1">
      <c r="E5" s="255" t="s">
        <v>45</v>
      </c>
      <c r="F5" s="255"/>
      <c r="G5" s="255"/>
      <c r="H5" s="255"/>
      <c r="I5" s="255"/>
      <c r="J5" s="52"/>
      <c r="K5" s="70"/>
      <c r="L5" s="2"/>
      <c r="M5" s="2"/>
      <c r="N5" s="255" t="s">
        <v>46</v>
      </c>
      <c r="O5" s="255"/>
      <c r="P5" s="255"/>
      <c r="Q5" s="255"/>
      <c r="R5" s="104"/>
    </row>
    <row r="6" spans="1:18" ht="31.5">
      <c r="C6" s="48"/>
      <c r="E6" s="53" t="s">
        <v>47</v>
      </c>
      <c r="F6" s="5"/>
      <c r="G6" s="25" t="s">
        <v>48</v>
      </c>
      <c r="H6" s="5"/>
      <c r="I6" s="4" t="s">
        <v>8</v>
      </c>
      <c r="J6" s="5"/>
      <c r="K6" s="83"/>
      <c r="L6" s="5"/>
      <c r="M6" s="5" t="s">
        <v>49</v>
      </c>
      <c r="O6" s="103" t="s">
        <v>50</v>
      </c>
    </row>
    <row r="7" spans="1:18">
      <c r="C7" s="1" t="s">
        <v>51</v>
      </c>
      <c r="E7" s="196"/>
      <c r="F7" s="196"/>
      <c r="G7" s="196"/>
      <c r="H7" s="196"/>
      <c r="I7" s="196"/>
      <c r="M7" s="54" t="s">
        <v>52</v>
      </c>
      <c r="N7" s="101"/>
      <c r="Q7" s="54" t="s">
        <v>53</v>
      </c>
    </row>
    <row r="8" spans="1:18">
      <c r="C8" s="144" t="s">
        <v>9</v>
      </c>
      <c r="E8" s="197">
        <v>40000</v>
      </c>
      <c r="F8" s="197"/>
      <c r="G8" s="197">
        <v>0</v>
      </c>
      <c r="H8" s="197"/>
      <c r="I8" s="198">
        <f>E8+G8</f>
        <v>40000</v>
      </c>
      <c r="J8" s="13"/>
      <c r="K8" s="84"/>
      <c r="M8" s="14" t="s">
        <v>5</v>
      </c>
      <c r="N8" s="100"/>
      <c r="Q8" s="1" t="s">
        <v>5</v>
      </c>
    </row>
    <row r="9" spans="1:18">
      <c r="C9" s="144" t="s">
        <v>10</v>
      </c>
      <c r="E9" s="197">
        <v>15000</v>
      </c>
      <c r="F9" s="197"/>
      <c r="G9" s="197">
        <v>5000</v>
      </c>
      <c r="H9" s="197"/>
      <c r="I9" s="198">
        <f t="shared" ref="I9:I18" si="0">E9+G9</f>
        <v>20000</v>
      </c>
      <c r="J9" s="13"/>
      <c r="K9" s="84"/>
      <c r="M9" s="14" t="s">
        <v>6</v>
      </c>
    </row>
    <row r="10" spans="1:18" ht="16.5" thickBot="1">
      <c r="C10" s="144" t="s">
        <v>11</v>
      </c>
      <c r="E10" s="199">
        <v>0</v>
      </c>
      <c r="F10" s="197"/>
      <c r="G10" s="199">
        <v>105000</v>
      </c>
      <c r="H10" s="197"/>
      <c r="I10" s="200">
        <f t="shared" si="0"/>
        <v>105000</v>
      </c>
      <c r="J10" s="13"/>
      <c r="K10" s="84"/>
      <c r="M10" s="14"/>
    </row>
    <row r="11" spans="1:18" ht="16.5" thickTop="1">
      <c r="C11" s="145" t="s">
        <v>12</v>
      </c>
      <c r="E11" s="201">
        <f>SUM(E8:E10)</f>
        <v>55000</v>
      </c>
      <c r="F11" s="202"/>
      <c r="G11" s="201">
        <f>SUM(G8:G10)</f>
        <v>110000</v>
      </c>
      <c r="H11" s="202"/>
      <c r="I11" s="198">
        <f t="shared" si="0"/>
        <v>165000</v>
      </c>
      <c r="J11" s="15"/>
      <c r="K11" s="83"/>
      <c r="L11" s="83"/>
      <c r="M11" s="5" t="s">
        <v>54</v>
      </c>
      <c r="O11" s="102" t="s">
        <v>55</v>
      </c>
    </row>
    <row r="12" spans="1:18">
      <c r="C12" s="1" t="s">
        <v>56</v>
      </c>
      <c r="E12" s="196"/>
      <c r="F12" s="196"/>
      <c r="G12" s="196"/>
      <c r="H12" s="196"/>
      <c r="I12" s="196"/>
      <c r="M12" s="54" t="s">
        <v>52</v>
      </c>
      <c r="Q12" s="54" t="s">
        <v>57</v>
      </c>
    </row>
    <row r="13" spans="1:18">
      <c r="C13" s="144" t="s">
        <v>13</v>
      </c>
      <c r="E13" s="203">
        <v>232000</v>
      </c>
      <c r="F13" s="196"/>
      <c r="G13" s="203">
        <v>144000</v>
      </c>
      <c r="H13" s="196"/>
      <c r="I13" s="198">
        <f t="shared" si="0"/>
        <v>376000</v>
      </c>
      <c r="K13" s="16"/>
      <c r="M13" s="14"/>
      <c r="Q13" s="1" t="s">
        <v>6</v>
      </c>
    </row>
    <row r="14" spans="1:18">
      <c r="C14" s="144" t="s">
        <v>14</v>
      </c>
      <c r="E14" s="203">
        <v>1500100</v>
      </c>
      <c r="F14" s="196"/>
      <c r="G14" s="203">
        <v>0</v>
      </c>
      <c r="H14" s="196"/>
      <c r="I14" s="198">
        <f t="shared" si="0"/>
        <v>1500100</v>
      </c>
      <c r="K14" s="16"/>
      <c r="M14" s="14" t="s">
        <v>7</v>
      </c>
      <c r="Q14" s="14" t="s">
        <v>7</v>
      </c>
    </row>
    <row r="15" spans="1:18">
      <c r="C15" s="55" t="s">
        <v>15</v>
      </c>
      <c r="E15" s="203">
        <v>265000</v>
      </c>
      <c r="F15" s="196"/>
      <c r="G15" s="203">
        <v>0</v>
      </c>
      <c r="H15" s="196"/>
      <c r="I15" s="198">
        <f t="shared" si="0"/>
        <v>265000</v>
      </c>
      <c r="K15" s="16"/>
      <c r="M15" s="14"/>
    </row>
    <row r="16" spans="1:18">
      <c r="C16" s="144" t="s">
        <v>16</v>
      </c>
      <c r="E16" s="203">
        <v>100000</v>
      </c>
      <c r="F16" s="196"/>
      <c r="G16" s="203">
        <v>140000</v>
      </c>
      <c r="H16" s="196"/>
      <c r="I16" s="198">
        <f t="shared" si="0"/>
        <v>240000</v>
      </c>
      <c r="K16" s="16"/>
      <c r="M16" s="14"/>
    </row>
    <row r="17" spans="1:17" ht="16.5" thickBot="1">
      <c r="C17" s="144" t="s">
        <v>17</v>
      </c>
      <c r="E17" s="204">
        <v>48000</v>
      </c>
      <c r="F17" s="196"/>
      <c r="G17" s="204">
        <v>6000</v>
      </c>
      <c r="H17" s="196"/>
      <c r="I17" s="200">
        <f t="shared" si="0"/>
        <v>54000</v>
      </c>
      <c r="K17" s="16"/>
      <c r="M17" s="14"/>
    </row>
    <row r="18" spans="1:17" ht="16.5" thickTop="1">
      <c r="C18" s="9" t="s">
        <v>58</v>
      </c>
      <c r="E18" s="201">
        <f>SUM(E13:E17)</f>
        <v>2145100</v>
      </c>
      <c r="F18" s="196"/>
      <c r="G18" s="201">
        <f>SUM(G13:G17)</f>
        <v>290000</v>
      </c>
      <c r="H18" s="196"/>
      <c r="I18" s="198">
        <f t="shared" si="0"/>
        <v>2435100</v>
      </c>
      <c r="K18" s="85"/>
      <c r="M18" s="14"/>
    </row>
    <row r="19" spans="1:17" ht="5.0999999999999996" customHeight="1" thickBot="1">
      <c r="C19" s="9"/>
      <c r="E19" s="196"/>
      <c r="F19" s="196"/>
      <c r="G19" s="196"/>
      <c r="H19" s="196"/>
      <c r="I19" s="196"/>
    </row>
    <row r="20" spans="1:17" ht="16.5" thickBot="1">
      <c r="C20" s="1" t="s">
        <v>18</v>
      </c>
      <c r="E20" s="205">
        <f>E11+E18</f>
        <v>2200100</v>
      </c>
      <c r="F20" s="206"/>
      <c r="G20" s="205">
        <f>G11+G18</f>
        <v>400000</v>
      </c>
      <c r="H20" s="206"/>
      <c r="I20" s="207">
        <f>I11+I18</f>
        <v>2600100</v>
      </c>
      <c r="J20" s="1"/>
      <c r="K20" s="14"/>
      <c r="M20" s="86"/>
    </row>
    <row r="21" spans="1:17">
      <c r="C21" s="1" t="s">
        <v>59</v>
      </c>
      <c r="E21" s="17" t="s">
        <v>60</v>
      </c>
      <c r="G21" s="17" t="s">
        <v>61</v>
      </c>
      <c r="I21" s="17"/>
      <c r="K21" s="17"/>
      <c r="M21" s="14"/>
    </row>
    <row r="22" spans="1:17">
      <c r="C22" s="1"/>
      <c r="E22" s="17"/>
      <c r="G22" s="61"/>
      <c r="I22" s="17"/>
      <c r="K22" s="17"/>
      <c r="M22" s="14"/>
    </row>
    <row r="23" spans="1:17" ht="23.25">
      <c r="A23" s="78" t="s">
        <v>62</v>
      </c>
    </row>
    <row r="24" spans="1:17" ht="21.95" customHeight="1" thickBot="1">
      <c r="A24" s="129" t="s">
        <v>63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6" spans="1:17" ht="22.5" customHeight="1">
      <c r="C26" s="73" t="s">
        <v>64</v>
      </c>
    </row>
    <row r="27" spans="1:17">
      <c r="C27" s="29" t="s">
        <v>23</v>
      </c>
      <c r="D27" s="30"/>
      <c r="E27" s="139" t="s">
        <v>5</v>
      </c>
      <c r="F27" s="140"/>
      <c r="G27" s="139" t="s">
        <v>6</v>
      </c>
      <c r="H27" s="140"/>
      <c r="I27" s="141" t="s">
        <v>7</v>
      </c>
    </row>
    <row r="28" spans="1:17">
      <c r="C28" s="34" t="s">
        <v>24</v>
      </c>
      <c r="E28" s="208">
        <f>Divers!H2</f>
        <v>400000</v>
      </c>
      <c r="F28" s="209"/>
      <c r="G28" s="208">
        <f>Divers!I2</f>
        <v>15000</v>
      </c>
      <c r="H28" s="209"/>
      <c r="I28" s="210">
        <f>Divers!J2</f>
        <v>50</v>
      </c>
      <c r="N28" s="131"/>
      <c r="O28" s="131"/>
    </row>
    <row r="29" spans="1:17">
      <c r="C29" s="142" t="s">
        <v>65</v>
      </c>
      <c r="D29" s="143"/>
      <c r="E29" s="211">
        <f>'Révision 1 taux'!E34</f>
        <v>3.0000000000000001E-3</v>
      </c>
      <c r="F29" s="211"/>
      <c r="G29" s="211">
        <f>'Révision 1 taux'!G34</f>
        <v>1E-3</v>
      </c>
      <c r="H29" s="211"/>
      <c r="I29" s="212">
        <f>Divers!J23</f>
        <v>0</v>
      </c>
      <c r="N29" s="131"/>
      <c r="O29" s="131"/>
    </row>
    <row r="30" spans="1:17">
      <c r="C30" s="34" t="s">
        <v>66</v>
      </c>
      <c r="E30" s="172">
        <f>Divers!H4</f>
        <v>0.01</v>
      </c>
      <c r="F30" s="172"/>
      <c r="G30" s="172">
        <v>0.01</v>
      </c>
      <c r="H30" s="172"/>
      <c r="I30" s="213" t="s">
        <v>67</v>
      </c>
      <c r="N30" s="131"/>
      <c r="O30" s="131"/>
    </row>
    <row r="31" spans="1:17">
      <c r="C31" s="37" t="s">
        <v>68</v>
      </c>
      <c r="D31" s="2"/>
      <c r="E31" s="214" t="s">
        <v>67</v>
      </c>
      <c r="F31" s="214"/>
      <c r="G31" s="214">
        <v>0.25</v>
      </c>
      <c r="H31" s="214"/>
      <c r="I31" s="215">
        <v>2.5</v>
      </c>
      <c r="N31" s="131"/>
      <c r="O31" s="131"/>
    </row>
    <row r="32" spans="1:17">
      <c r="E32" s="6"/>
      <c r="F32" s="6"/>
      <c r="G32" s="6"/>
      <c r="H32" s="6"/>
      <c r="I32" s="130"/>
      <c r="N32" s="131"/>
      <c r="O32" s="131"/>
    </row>
    <row r="34" spans="3:14" ht="16.5" thickBot="1">
      <c r="C34" s="43" t="s">
        <v>69</v>
      </c>
      <c r="D34" s="30"/>
      <c r="E34" s="31" t="str">
        <f>E27</f>
        <v>Robe noire</v>
      </c>
      <c r="F34" s="32"/>
      <c r="G34" s="31" t="str">
        <f>G27</f>
        <v>Fall Flower</v>
      </c>
      <c r="H34" s="32"/>
      <c r="I34" s="31" t="str">
        <f>I27</f>
        <v>Abeille</v>
      </c>
      <c r="J34" s="30"/>
      <c r="K34" s="41" t="s">
        <v>8</v>
      </c>
      <c r="M34" t="s">
        <v>103</v>
      </c>
      <c r="N34" s="49"/>
    </row>
    <row r="35" spans="3:14">
      <c r="C35" s="135" t="s">
        <v>70</v>
      </c>
      <c r="E35" s="163"/>
      <c r="F35" s="146"/>
      <c r="G35" s="163"/>
      <c r="H35" s="146"/>
      <c r="I35" s="163"/>
      <c r="J35" s="166"/>
      <c r="K35" s="216">
        <f>SUM(E35:I35)</f>
        <v>0</v>
      </c>
      <c r="M35" s="23"/>
      <c r="N35" s="23"/>
    </row>
    <row r="36" spans="3:14">
      <c r="C36" s="136" t="s">
        <v>71</v>
      </c>
      <c r="D36" s="2"/>
      <c r="E36" s="164"/>
      <c r="F36" s="165"/>
      <c r="G36" s="164"/>
      <c r="H36" s="165"/>
      <c r="I36" s="164"/>
      <c r="J36" s="217"/>
      <c r="K36" s="218">
        <f>SUM(E36:I36)</f>
        <v>0</v>
      </c>
      <c r="M36" t="s">
        <v>104</v>
      </c>
    </row>
    <row r="38" spans="3:14" ht="32.25" thickBot="1">
      <c r="C38" s="44" t="s">
        <v>72</v>
      </c>
      <c r="D38" s="30"/>
      <c r="E38" s="39" t="str">
        <f>E6</f>
        <v>Atelier mécanisé</v>
      </c>
      <c r="F38" s="32"/>
      <c r="G38" s="90" t="str">
        <f>G6</f>
        <v>Atelier de finition</v>
      </c>
      <c r="H38" s="5"/>
      <c r="I38" s="83"/>
      <c r="J38" s="5"/>
      <c r="K38" s="83"/>
      <c r="L38" s="5"/>
      <c r="M38" s="5"/>
    </row>
    <row r="39" spans="3:14">
      <c r="C39" s="34"/>
      <c r="G39" s="35"/>
    </row>
    <row r="40" spans="3:14" ht="24.75" customHeight="1">
      <c r="C40" s="36" t="s">
        <v>73</v>
      </c>
      <c r="E40" s="219">
        <f>E20</f>
        <v>2200100</v>
      </c>
      <c r="F40" s="172"/>
      <c r="G40" s="220">
        <f>G20</f>
        <v>400000</v>
      </c>
      <c r="H40" s="6"/>
      <c r="I40" s="88"/>
      <c r="J40" s="6"/>
      <c r="K40" s="88"/>
      <c r="L40" s="6"/>
      <c r="M40" s="87"/>
    </row>
    <row r="41" spans="3:14" ht="33.75" customHeight="1">
      <c r="C41" s="34" t="s">
        <v>59</v>
      </c>
      <c r="E41" s="221" t="str">
        <f>E21</f>
        <v>Heures machine</v>
      </c>
      <c r="F41" s="222"/>
      <c r="G41" s="223" t="str">
        <f>G21</f>
        <v>Heures de MOD</v>
      </c>
      <c r="H41" s="20"/>
      <c r="I41" s="89"/>
      <c r="J41" s="20"/>
      <c r="K41" s="89"/>
      <c r="N41" s="50"/>
    </row>
    <row r="42" spans="3:14" ht="21" customHeight="1">
      <c r="C42" s="34" t="s">
        <v>74</v>
      </c>
      <c r="E42" s="224"/>
      <c r="F42" s="172"/>
      <c r="G42" s="224"/>
      <c r="H42" s="6"/>
      <c r="I42" s="8"/>
      <c r="J42" s="6"/>
      <c r="K42" s="8"/>
    </row>
    <row r="43" spans="3:14" ht="8.1" customHeight="1" thickBot="1">
      <c r="C43" s="34"/>
      <c r="E43" s="196"/>
      <c r="F43" s="196"/>
      <c r="G43" s="225"/>
    </row>
    <row r="44" spans="3:14" ht="21.6" customHeight="1" thickBot="1">
      <c r="C44" s="37" t="s">
        <v>75</v>
      </c>
      <c r="D44" s="2"/>
      <c r="E44" s="226"/>
      <c r="F44" s="227"/>
      <c r="G44" s="226"/>
      <c r="H44" s="5"/>
      <c r="I44" s="60"/>
      <c r="J44" s="5"/>
      <c r="K44" s="60"/>
      <c r="N44" s="50"/>
    </row>
    <row r="45" spans="3:14" ht="6" customHeight="1" thickBot="1">
      <c r="E45" s="60"/>
      <c r="F45" s="5"/>
      <c r="G45" s="60"/>
      <c r="H45" s="5"/>
      <c r="I45" s="60"/>
      <c r="J45" s="5"/>
      <c r="K45" s="60"/>
      <c r="N45" s="50"/>
    </row>
    <row r="46" spans="3:14" ht="19.5" thickBot="1">
      <c r="E46" s="156" t="str">
        <f>Divers!E10</f>
        <v/>
      </c>
      <c r="F46" s="159"/>
      <c r="G46" s="156" t="str">
        <f>Divers!E11</f>
        <v/>
      </c>
      <c r="H46" s="57"/>
      <c r="I46" s="91"/>
      <c r="J46" s="57"/>
      <c r="K46" s="92"/>
      <c r="N46" s="50"/>
    </row>
    <row r="48" spans="3:14">
      <c r="C48" s="38" t="s">
        <v>76</v>
      </c>
      <c r="D48" s="30"/>
      <c r="E48" s="31" t="str">
        <f>E34</f>
        <v>Robe noire</v>
      </c>
      <c r="F48" s="32"/>
      <c r="G48" s="31" t="str">
        <f>G34</f>
        <v>Fall Flower</v>
      </c>
      <c r="H48" s="32"/>
      <c r="I48" s="33" t="str">
        <f>I34</f>
        <v>Abeille</v>
      </c>
      <c r="K48" s="56"/>
      <c r="N48" s="50"/>
    </row>
    <row r="49" spans="3:14">
      <c r="C49" s="34" t="str">
        <f>E38</f>
        <v>Atelier mécanisé</v>
      </c>
      <c r="E49" s="228"/>
      <c r="F49" s="172"/>
      <c r="G49" s="228"/>
      <c r="H49" s="172"/>
      <c r="I49" s="229"/>
      <c r="K49" s="56"/>
      <c r="M49" s="56"/>
      <c r="N49" s="56"/>
    </row>
    <row r="50" spans="3:14">
      <c r="C50" s="34" t="str">
        <f>G38</f>
        <v>Atelier de finition</v>
      </c>
      <c r="E50" s="230"/>
      <c r="F50" s="172"/>
      <c r="G50" s="230"/>
      <c r="H50" s="172"/>
      <c r="I50" s="231"/>
      <c r="K50" s="23"/>
      <c r="M50" s="23"/>
      <c r="N50" s="23"/>
    </row>
    <row r="51" spans="3:14" ht="18.75">
      <c r="C51" s="82" t="s">
        <v>77</v>
      </c>
      <c r="D51" s="2"/>
      <c r="E51" s="232"/>
      <c r="F51" s="227"/>
      <c r="G51" s="232"/>
      <c r="H51" s="227"/>
      <c r="I51" s="232"/>
      <c r="K51" s="93"/>
      <c r="M51" s="50"/>
      <c r="N51" s="50"/>
    </row>
    <row r="52" spans="3:14" ht="5.25" customHeight="1" thickBot="1">
      <c r="C52" s="71"/>
      <c r="E52" s="80"/>
      <c r="F52" s="5"/>
      <c r="G52" s="80"/>
      <c r="H52" s="5"/>
      <c r="I52" s="80"/>
      <c r="K52" s="93"/>
      <c r="M52" s="50"/>
      <c r="N52" s="50"/>
    </row>
    <row r="53" spans="3:14" ht="19.5" thickBot="1">
      <c r="C53" s="71"/>
      <c r="E53" s="156" t="str">
        <f>Divers!E12</f>
        <v/>
      </c>
      <c r="F53" s="159"/>
      <c r="G53" s="156" t="str">
        <f>Divers!E13</f>
        <v/>
      </c>
      <c r="H53" s="160"/>
      <c r="I53" s="156" t="str">
        <f>Divers!E14</f>
        <v/>
      </c>
      <c r="K53" s="93"/>
      <c r="M53" s="50"/>
      <c r="N53" s="50"/>
    </row>
    <row r="54" spans="3:14">
      <c r="M54" s="81"/>
    </row>
    <row r="55" spans="3:14">
      <c r="C55" s="29" t="s">
        <v>23</v>
      </c>
      <c r="D55" s="30"/>
      <c r="E55" s="31" t="str">
        <f>E48</f>
        <v>Robe noire</v>
      </c>
      <c r="F55" s="32"/>
      <c r="G55" s="31" t="str">
        <f>G48</f>
        <v>Fall Flower</v>
      </c>
      <c r="H55" s="32"/>
      <c r="I55" s="33" t="str">
        <f>I48</f>
        <v>Abeille</v>
      </c>
    </row>
    <row r="56" spans="3:14">
      <c r="C56" s="45"/>
      <c r="E56" s="5"/>
      <c r="F56" s="5"/>
      <c r="G56" s="5"/>
      <c r="H56" s="5"/>
      <c r="I56" s="42"/>
    </row>
    <row r="57" spans="3:14">
      <c r="C57" s="34" t="s">
        <v>33</v>
      </c>
      <c r="E57" s="233">
        <f>'Révision 1 taux'!E43</f>
        <v>5</v>
      </c>
      <c r="F57" s="233"/>
      <c r="G57" s="234"/>
      <c r="H57" s="233"/>
      <c r="I57" s="235"/>
      <c r="K57" s="167" t="s">
        <v>106</v>
      </c>
      <c r="N57" s="108"/>
    </row>
    <row r="58" spans="3:14">
      <c r="C58" s="34" t="s">
        <v>34</v>
      </c>
      <c r="E58" s="233">
        <f>'Révision 1 taux'!E44</f>
        <v>0.3</v>
      </c>
      <c r="F58" s="233"/>
      <c r="G58" s="234"/>
      <c r="H58" s="233"/>
      <c r="I58" s="235"/>
    </row>
    <row r="59" spans="3:14" ht="16.5" thickBot="1">
      <c r="C59" s="34" t="s">
        <v>78</v>
      </c>
      <c r="E59" s="236"/>
      <c r="F59" s="181"/>
      <c r="G59" s="236"/>
      <c r="H59" s="181"/>
      <c r="I59" s="236"/>
      <c r="K59" s="167" t="s">
        <v>107</v>
      </c>
    </row>
    <row r="60" spans="3:14" ht="17.25" customHeight="1" thickTop="1">
      <c r="C60" s="51" t="s">
        <v>36</v>
      </c>
      <c r="D60" s="52"/>
      <c r="E60" s="237">
        <f>SUM(E57:E59)</f>
        <v>5.3</v>
      </c>
      <c r="F60" s="238"/>
      <c r="G60" s="232"/>
      <c r="H60" s="238"/>
      <c r="I60" s="232"/>
      <c r="K60" t="s">
        <v>105</v>
      </c>
      <c r="N60" s="95"/>
    </row>
    <row r="61" spans="3:14" ht="5.45" customHeight="1" thickBot="1">
      <c r="C61" s="70"/>
      <c r="D61" s="70"/>
      <c r="E61" s="59"/>
      <c r="F61" s="98"/>
      <c r="G61" s="59"/>
      <c r="H61" s="98"/>
      <c r="I61" s="59"/>
      <c r="N61" s="95"/>
    </row>
    <row r="62" spans="3:14" ht="19.5" thickBot="1">
      <c r="C62" s="71"/>
      <c r="E62" s="161" t="str">
        <f>Divers!E15</f>
        <v/>
      </c>
      <c r="F62" s="162"/>
      <c r="G62" s="161" t="str">
        <f>Divers!E16</f>
        <v/>
      </c>
      <c r="H62" s="160"/>
      <c r="I62" s="161" t="str">
        <f>Divers!E17</f>
        <v/>
      </c>
      <c r="K62" s="93"/>
      <c r="M62" s="50"/>
      <c r="N62" s="50"/>
    </row>
    <row r="63" spans="3:14" ht="24.6" customHeight="1">
      <c r="C63" s="70"/>
      <c r="D63" s="70"/>
      <c r="E63" s="22"/>
      <c r="F63" s="22"/>
      <c r="G63" s="22"/>
      <c r="H63" s="22"/>
      <c r="I63" s="22"/>
      <c r="N63" s="50"/>
    </row>
  </sheetData>
  <sheetProtection sheet="1" objects="1" scenarios="1" selectLockedCells="1"/>
  <mergeCells count="2">
    <mergeCell ref="E5:I5"/>
    <mergeCell ref="N5:Q5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1A29-7CDD-4104-AA2B-EB674917EDD9}">
  <sheetPr codeName="Feuil1"/>
  <dimension ref="A1:O76"/>
  <sheetViews>
    <sheetView showGridLines="0" zoomScale="70" zoomScaleNormal="70" workbookViewId="0">
      <selection activeCell="Q17" sqref="Q17"/>
    </sheetView>
  </sheetViews>
  <sheetFormatPr baseColWidth="10" defaultColWidth="11" defaultRowHeight="15.75"/>
  <cols>
    <col min="2" max="2" width="11.875" customWidth="1"/>
    <col min="3" max="3" width="33.625" customWidth="1"/>
    <col min="4" max="4" width="3" customWidth="1"/>
    <col min="5" max="5" width="14.125" customWidth="1"/>
    <col min="6" max="6" width="2.125" customWidth="1"/>
    <col min="7" max="7" width="14.875" customWidth="1"/>
    <col min="8" max="8" width="2.125" customWidth="1"/>
    <col min="9" max="9" width="14.375" bestFit="1" customWidth="1"/>
    <col min="10" max="10" width="2.625" customWidth="1"/>
    <col min="11" max="11" width="25" customWidth="1"/>
    <col min="12" max="12" width="2.375" customWidth="1"/>
    <col min="13" max="13" width="22.25" customWidth="1"/>
  </cols>
  <sheetData>
    <row r="1" spans="1:13" s="63" customFormat="1" ht="23.25">
      <c r="B1" s="62" t="s">
        <v>0</v>
      </c>
      <c r="H1" s="64" t="s">
        <v>1</v>
      </c>
    </row>
    <row r="2" spans="1:13" s="63" customFormat="1" ht="18">
      <c r="B2" s="65" t="s">
        <v>2</v>
      </c>
      <c r="H2" s="66" t="s">
        <v>3</v>
      </c>
    </row>
    <row r="3" spans="1:13" s="63" customFormat="1" ht="20.25">
      <c r="B3" s="67" t="s">
        <v>4</v>
      </c>
    </row>
    <row r="4" spans="1:13" s="63" customFormat="1" ht="20.25">
      <c r="B4" s="67"/>
    </row>
    <row r="5" spans="1:13" ht="19.5" customHeight="1"/>
    <row r="6" spans="1:13" s="110" customFormat="1" ht="21">
      <c r="A6" s="72" t="s">
        <v>19</v>
      </c>
      <c r="M6" s="111"/>
    </row>
    <row r="7" spans="1:13" s="110" customFormat="1" ht="25.5" customHeight="1">
      <c r="A7" s="112" t="s">
        <v>20</v>
      </c>
    </row>
    <row r="8" spans="1:13" s="110" customFormat="1" ht="71.25" customHeight="1" thickBot="1">
      <c r="A8" s="252" t="s">
        <v>21</v>
      </c>
      <c r="B8" s="252"/>
      <c r="C8" s="252"/>
      <c r="D8" s="252"/>
      <c r="E8" s="252"/>
      <c r="F8" s="252"/>
      <c r="G8" s="252"/>
      <c r="H8" s="252"/>
      <c r="I8" s="252"/>
      <c r="J8" s="113"/>
      <c r="K8" s="170">
        <f>Divers!K11</f>
        <v>2600100</v>
      </c>
      <c r="L8" s="113"/>
      <c r="M8" s="113"/>
    </row>
    <row r="9" spans="1:13" ht="20.100000000000001" customHeight="1">
      <c r="A9" s="73"/>
    </row>
    <row r="10" spans="1:13" ht="21">
      <c r="A10" s="109" t="s">
        <v>112</v>
      </c>
    </row>
    <row r="12" spans="1:13" ht="18.75">
      <c r="A12" s="74" t="s">
        <v>42</v>
      </c>
      <c r="E12" s="239" t="str">
        <f>E55</f>
        <v>Robe noire</v>
      </c>
      <c r="F12" s="240"/>
      <c r="G12" s="239" t="str">
        <f>G55</f>
        <v>Fall Flower</v>
      </c>
      <c r="H12" s="240"/>
      <c r="I12" s="241" t="str">
        <f>I55</f>
        <v>Abeille</v>
      </c>
      <c r="J12" s="166"/>
      <c r="K12" s="166"/>
    </row>
    <row r="13" spans="1:13" ht="20.100000000000001" customHeight="1">
      <c r="C13" t="s">
        <v>43</v>
      </c>
      <c r="E13" s="190">
        <f>Divers!H2</f>
        <v>400000</v>
      </c>
      <c r="F13" s="190"/>
      <c r="G13" s="190">
        <f>Divers!I2</f>
        <v>15000</v>
      </c>
      <c r="H13" s="190"/>
      <c r="I13" s="190">
        <f>Divers!J2</f>
        <v>50</v>
      </c>
      <c r="J13" s="166"/>
      <c r="K13" s="166"/>
    </row>
    <row r="14" spans="1:13">
      <c r="E14" s="242"/>
      <c r="F14" s="242"/>
      <c r="G14" s="242"/>
      <c r="H14" s="242"/>
      <c r="I14" s="242"/>
      <c r="J14" s="166"/>
      <c r="K14" s="166"/>
    </row>
    <row r="15" spans="1:13" ht="22.5" customHeight="1">
      <c r="A15" s="250" t="s">
        <v>29</v>
      </c>
      <c r="B15" s="250"/>
      <c r="C15" s="96" t="s">
        <v>30</v>
      </c>
      <c r="E15" s="243"/>
      <c r="F15" s="244" t="s">
        <v>31</v>
      </c>
      <c r="G15" s="155"/>
      <c r="H15" s="166"/>
      <c r="I15" s="251" t="s">
        <v>44</v>
      </c>
      <c r="J15" s="251"/>
      <c r="K15" s="251"/>
    </row>
    <row r="16" spans="1:13" ht="22.5" customHeight="1">
      <c r="A16" s="250"/>
      <c r="B16" s="250"/>
      <c r="C16" s="20" t="s">
        <v>43</v>
      </c>
      <c r="E16" s="245"/>
      <c r="F16" s="244"/>
      <c r="G16" s="246"/>
      <c r="H16" s="166"/>
      <c r="I16" s="251"/>
      <c r="J16" s="251"/>
      <c r="K16" s="251"/>
    </row>
    <row r="17" spans="1:13">
      <c r="A17" s="21"/>
      <c r="C17" s="20"/>
      <c r="E17" s="247"/>
      <c r="F17" s="166"/>
      <c r="G17" s="246"/>
      <c r="H17" s="166"/>
      <c r="I17" s="251"/>
      <c r="J17" s="251"/>
      <c r="K17" s="251"/>
    </row>
    <row r="19" spans="1:13">
      <c r="C19" s="29" t="s">
        <v>23</v>
      </c>
      <c r="D19" s="30"/>
      <c r="E19" s="31" t="str">
        <f>E12</f>
        <v>Robe noire</v>
      </c>
      <c r="F19" s="32"/>
      <c r="G19" s="31" t="str">
        <f>G63</f>
        <v>Fall Flower</v>
      </c>
      <c r="H19" s="32"/>
      <c r="I19" s="75" t="str">
        <f>I63</f>
        <v>Abeille</v>
      </c>
    </row>
    <row r="20" spans="1:13">
      <c r="C20" s="45"/>
      <c r="E20" s="5"/>
      <c r="F20" s="5"/>
      <c r="G20" s="5"/>
      <c r="H20" s="5"/>
      <c r="I20" s="40"/>
    </row>
    <row r="21" spans="1:13">
      <c r="C21" s="34" t="s">
        <v>33</v>
      </c>
      <c r="E21" s="177">
        <f>E65</f>
        <v>5</v>
      </c>
      <c r="F21" s="177"/>
      <c r="G21" s="177">
        <f>G65</f>
        <v>20</v>
      </c>
      <c r="H21" s="177"/>
      <c r="I21" s="178">
        <f>I65</f>
        <v>100</v>
      </c>
    </row>
    <row r="22" spans="1:13">
      <c r="C22" s="34" t="s">
        <v>34</v>
      </c>
      <c r="E22" s="177">
        <f>E66</f>
        <v>0.3</v>
      </c>
      <c r="F22" s="177"/>
      <c r="G22" s="177">
        <f>G66</f>
        <v>15.3</v>
      </c>
      <c r="H22" s="177"/>
      <c r="I22" s="178">
        <f>I66</f>
        <v>150</v>
      </c>
    </row>
    <row r="23" spans="1:13" ht="20.45" customHeight="1" thickBot="1">
      <c r="C23" s="34" t="s">
        <v>35</v>
      </c>
      <c r="E23" s="180"/>
      <c r="F23" s="181"/>
      <c r="G23" s="191">
        <v>6.26</v>
      </c>
      <c r="H23" s="181"/>
      <c r="I23" s="192">
        <v>6.26</v>
      </c>
      <c r="K23" t="s">
        <v>110</v>
      </c>
    </row>
    <row r="24" spans="1:13" ht="20.45" customHeight="1" thickTop="1">
      <c r="C24" s="46" t="s">
        <v>36</v>
      </c>
      <c r="D24" s="3"/>
      <c r="E24" s="184">
        <f>SUM(E21:E23)</f>
        <v>5.3</v>
      </c>
      <c r="F24" s="185"/>
      <c r="G24" s="193"/>
      <c r="H24" s="194"/>
      <c r="I24" s="195">
        <f>SUM(I21:I23)</f>
        <v>256.26</v>
      </c>
    </row>
    <row r="25" spans="1:13" ht="16.5" thickBot="1"/>
    <row r="26" spans="1:13" ht="19.5" thickBot="1">
      <c r="E26" s="156" t="str">
        <f>Divers!E20</f>
        <v/>
      </c>
      <c r="F26" s="158"/>
      <c r="G26" s="156" t="str">
        <f>Divers!E21</f>
        <v/>
      </c>
    </row>
    <row r="27" spans="1:13" ht="19.5" thickBot="1">
      <c r="A27" s="18"/>
      <c r="B27" s="18"/>
      <c r="C27" s="18"/>
      <c r="D27" s="18"/>
      <c r="E27" s="256"/>
      <c r="F27" s="257"/>
      <c r="G27" s="256"/>
      <c r="H27" s="18"/>
      <c r="I27" s="18"/>
      <c r="J27" s="18"/>
      <c r="K27" s="18"/>
      <c r="L27" s="18"/>
      <c r="M27" s="18"/>
    </row>
    <row r="28" spans="1:13" ht="27.75" customHeight="1">
      <c r="A28" s="109" t="s">
        <v>113</v>
      </c>
    </row>
    <row r="29" spans="1:13" ht="20.100000000000001" customHeight="1">
      <c r="A29" s="73"/>
    </row>
    <row r="30" spans="1:13" ht="20.100000000000001" customHeight="1">
      <c r="A30" s="74" t="s">
        <v>22</v>
      </c>
    </row>
    <row r="31" spans="1:13">
      <c r="C31" s="11" t="s">
        <v>23</v>
      </c>
      <c r="E31" s="137" t="s">
        <v>5</v>
      </c>
      <c r="F31" s="138"/>
      <c r="G31" s="137" t="s">
        <v>6</v>
      </c>
      <c r="H31" s="138"/>
      <c r="I31" s="137" t="s">
        <v>7</v>
      </c>
      <c r="J31" s="42"/>
      <c r="K31" s="41" t="s">
        <v>8</v>
      </c>
      <c r="L31" s="5"/>
      <c r="M31" s="5"/>
    </row>
    <row r="32" spans="1:13" ht="6.95" customHeight="1">
      <c r="E32" s="5"/>
      <c r="F32" s="5"/>
      <c r="G32" s="5"/>
      <c r="H32" s="5"/>
      <c r="I32" s="5"/>
      <c r="J32" s="42"/>
      <c r="K32" s="47"/>
      <c r="L32" s="5"/>
    </row>
    <row r="33" spans="1:14">
      <c r="C33" t="s">
        <v>24</v>
      </c>
      <c r="E33" s="171">
        <v>400000</v>
      </c>
      <c r="F33" s="172"/>
      <c r="G33" s="171">
        <v>15000</v>
      </c>
      <c r="H33" s="172"/>
      <c r="I33" s="171">
        <v>50</v>
      </c>
      <c r="J33" s="173"/>
      <c r="K33" s="174">
        <f>E33+G33+I33</f>
        <v>415050</v>
      </c>
      <c r="L33" s="8"/>
      <c r="M33" s="24"/>
    </row>
    <row r="34" spans="1:14" ht="16.5" thickBot="1">
      <c r="C34" t="s">
        <v>25</v>
      </c>
      <c r="E34" s="175">
        <v>3.0000000000000001E-3</v>
      </c>
      <c r="F34" s="175"/>
      <c r="G34" s="175">
        <v>1E-3</v>
      </c>
      <c r="H34" s="175"/>
      <c r="I34" s="175">
        <v>0</v>
      </c>
      <c r="J34" s="173"/>
      <c r="K34" s="176" t="s">
        <v>26</v>
      </c>
      <c r="L34" s="6"/>
    </row>
    <row r="35" spans="1:14" ht="19.5" thickBot="1">
      <c r="C35" s="7" t="s">
        <v>27</v>
      </c>
      <c r="E35" s="147"/>
      <c r="F35" s="6"/>
      <c r="G35" s="147"/>
      <c r="H35" s="6"/>
      <c r="I35" s="147"/>
      <c r="K35" s="148"/>
      <c r="L35" s="1"/>
      <c r="M35" s="149" t="str">
        <f>Divers!E2</f>
        <v/>
      </c>
      <c r="N35" s="77" t="s">
        <v>28</v>
      </c>
    </row>
    <row r="36" spans="1:14" ht="18.75">
      <c r="C36" s="1"/>
      <c r="E36" s="24"/>
      <c r="F36" s="6"/>
      <c r="G36" s="24"/>
      <c r="H36" s="6"/>
      <c r="I36" s="24"/>
      <c r="K36" s="24"/>
      <c r="L36" s="1"/>
      <c r="M36" s="76"/>
      <c r="N36" s="56"/>
    </row>
    <row r="37" spans="1:14" ht="25.5" customHeight="1" thickBot="1">
      <c r="A37" s="21"/>
      <c r="B37" s="248" t="s">
        <v>29</v>
      </c>
      <c r="G37" s="70" t="s">
        <v>108</v>
      </c>
      <c r="K37" s="253"/>
      <c r="M37" s="58"/>
    </row>
    <row r="38" spans="1:14" ht="18.95" customHeight="1" thickBot="1">
      <c r="A38" s="168"/>
      <c r="B38" s="248"/>
      <c r="C38" s="96" t="s">
        <v>30</v>
      </c>
      <c r="E38" s="150"/>
      <c r="F38" s="6" t="s">
        <v>31</v>
      </c>
      <c r="G38" s="152"/>
      <c r="I38" s="149" t="str">
        <f>Divers!E3</f>
        <v/>
      </c>
      <c r="K38" s="253"/>
      <c r="M38" s="23"/>
    </row>
    <row r="39" spans="1:14" ht="20.25" customHeight="1">
      <c r="A39" s="168"/>
      <c r="B39" s="248"/>
      <c r="C39" s="20" t="s">
        <v>32</v>
      </c>
      <c r="E39" s="151"/>
      <c r="F39" s="6"/>
      <c r="G39" s="59"/>
      <c r="K39" s="253"/>
      <c r="M39" s="105"/>
    </row>
    <row r="40" spans="1:14">
      <c r="A40" s="21"/>
      <c r="C40" s="20"/>
      <c r="E40" s="22"/>
    </row>
    <row r="41" spans="1:14">
      <c r="C41" s="29" t="s">
        <v>23</v>
      </c>
      <c r="D41" s="30"/>
      <c r="E41" s="31" t="str">
        <f>E31</f>
        <v>Robe noire</v>
      </c>
      <c r="F41" s="32"/>
      <c r="G41" s="31" t="str">
        <f>G31</f>
        <v>Fall Flower</v>
      </c>
      <c r="H41" s="32"/>
      <c r="I41" s="33" t="str">
        <f>I31</f>
        <v>Abeille</v>
      </c>
      <c r="J41" s="5"/>
      <c r="K41" s="5"/>
    </row>
    <row r="42" spans="1:14" ht="8.1" customHeight="1">
      <c r="C42" s="45"/>
      <c r="E42" s="5"/>
      <c r="F42" s="5"/>
      <c r="G42" s="5"/>
      <c r="H42" s="5"/>
      <c r="I42" s="42"/>
      <c r="J42" s="5"/>
      <c r="K42" s="5"/>
    </row>
    <row r="43" spans="1:14">
      <c r="C43" s="34" t="s">
        <v>33</v>
      </c>
      <c r="E43" s="177">
        <v>5</v>
      </c>
      <c r="F43" s="177"/>
      <c r="G43" s="177">
        <v>20</v>
      </c>
      <c r="H43" s="177"/>
      <c r="I43" s="178">
        <v>100</v>
      </c>
      <c r="J43" s="10"/>
      <c r="K43" s="27"/>
      <c r="L43" s="10"/>
      <c r="M43" s="23"/>
    </row>
    <row r="44" spans="1:14">
      <c r="C44" s="34" t="s">
        <v>34</v>
      </c>
      <c r="E44" s="177">
        <f>E56*30</f>
        <v>0.3</v>
      </c>
      <c r="F44" s="177"/>
      <c r="G44" s="177">
        <f>0.01*30+0.25*60</f>
        <v>15.3</v>
      </c>
      <c r="H44" s="177"/>
      <c r="I44" s="179">
        <f>I56*60</f>
        <v>150</v>
      </c>
      <c r="J44" s="10"/>
      <c r="K44" s="27"/>
      <c r="L44" s="10"/>
      <c r="M44" s="97"/>
    </row>
    <row r="45" spans="1:14" ht="16.5" thickBot="1">
      <c r="C45" s="34" t="s">
        <v>35</v>
      </c>
      <c r="E45" s="180"/>
      <c r="F45" s="181"/>
      <c r="G45" s="182"/>
      <c r="H45" s="181"/>
      <c r="I45" s="183">
        <v>0</v>
      </c>
      <c r="J45" s="19"/>
      <c r="K45" s="77" t="s">
        <v>109</v>
      </c>
      <c r="L45" s="12"/>
      <c r="M45" s="56"/>
    </row>
    <row r="46" spans="1:14" ht="16.5" thickTop="1">
      <c r="C46" s="46" t="s">
        <v>36</v>
      </c>
      <c r="D46" s="3"/>
      <c r="E46" s="184">
        <f>SUM(E43:E45)</f>
        <v>5.3</v>
      </c>
      <c r="F46" s="185"/>
      <c r="G46" s="184">
        <f>SUM(G43:G45)</f>
        <v>35.299999999999997</v>
      </c>
      <c r="H46" s="185"/>
      <c r="I46" s="186"/>
      <c r="K46" s="17"/>
      <c r="M46" s="99"/>
    </row>
    <row r="47" spans="1:14" ht="6.95" customHeight="1" thickBot="1">
      <c r="M47" s="99"/>
    </row>
    <row r="48" spans="1:14" ht="19.5" thickBot="1">
      <c r="E48" s="156" t="str">
        <f>Divers!E4</f>
        <v/>
      </c>
      <c r="F48" s="157"/>
      <c r="G48" s="156" t="str">
        <f>Divers!E5</f>
        <v/>
      </c>
      <c r="H48" s="157"/>
      <c r="I48" s="156" t="str">
        <f>Divers!E6</f>
        <v/>
      </c>
    </row>
    <row r="51" spans="1:13" ht="16.5" thickBo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3" ht="20.100000000000001" customHeight="1">
      <c r="A52" s="73"/>
    </row>
    <row r="53" spans="1:13" ht="20.100000000000001" customHeight="1">
      <c r="A53" s="109" t="s">
        <v>114</v>
      </c>
    </row>
    <row r="54" spans="1:13" ht="20.100000000000001" customHeight="1">
      <c r="A54" s="109"/>
    </row>
    <row r="55" spans="1:13" ht="30" customHeight="1">
      <c r="A55" s="74" t="s">
        <v>37</v>
      </c>
      <c r="E55" s="4" t="str">
        <f>E31</f>
        <v>Robe noire</v>
      </c>
      <c r="F55" s="5"/>
      <c r="G55" s="4" t="str">
        <f>G31</f>
        <v>Fall Flower</v>
      </c>
      <c r="H55" s="5"/>
      <c r="I55" s="114" t="str">
        <f>I31</f>
        <v>Abeille</v>
      </c>
    </row>
    <row r="56" spans="1:13">
      <c r="C56" t="s">
        <v>38</v>
      </c>
      <c r="E56" s="187">
        <v>0.01</v>
      </c>
      <c r="F56" s="187"/>
      <c r="G56" s="187">
        <v>0.26</v>
      </c>
      <c r="H56" s="187"/>
      <c r="I56" s="188">
        <v>2.5</v>
      </c>
      <c r="J56" s="26"/>
    </row>
    <row r="57" spans="1:13">
      <c r="C57" t="s">
        <v>39</v>
      </c>
      <c r="E57" s="189">
        <f>E56*E33</f>
        <v>4000</v>
      </c>
      <c r="F57" s="189"/>
      <c r="G57" s="189">
        <f>G56*G33</f>
        <v>3900</v>
      </c>
      <c r="H57" s="189"/>
      <c r="I57" s="189">
        <f>I56*I33</f>
        <v>125</v>
      </c>
      <c r="J57" s="26"/>
    </row>
    <row r="58" spans="1:13">
      <c r="A58" s="21"/>
      <c r="M58" s="58"/>
    </row>
    <row r="59" spans="1:13" ht="19.5" customHeight="1">
      <c r="A59" s="250" t="s">
        <v>29</v>
      </c>
      <c r="B59" s="250"/>
      <c r="C59" s="96" t="s">
        <v>30</v>
      </c>
      <c r="E59" s="150"/>
      <c r="F59" s="6" t="s">
        <v>31</v>
      </c>
      <c r="G59" s="155"/>
      <c r="I59" s="254" t="s">
        <v>40</v>
      </c>
      <c r="J59" s="254"/>
      <c r="K59" s="254"/>
      <c r="M59" s="23"/>
    </row>
    <row r="60" spans="1:13" ht="18.75" customHeight="1">
      <c r="A60" s="250"/>
      <c r="B60" s="250"/>
      <c r="C60" s="20" t="s">
        <v>41</v>
      </c>
      <c r="E60" s="151"/>
      <c r="F60" s="6"/>
      <c r="G60" s="59"/>
      <c r="I60" s="254"/>
      <c r="J60" s="254"/>
      <c r="K60" s="254"/>
      <c r="M60" s="23"/>
    </row>
    <row r="61" spans="1:13">
      <c r="A61" s="21"/>
      <c r="C61" s="20"/>
      <c r="E61" s="22"/>
      <c r="G61" s="59"/>
      <c r="I61" s="254"/>
      <c r="J61" s="254"/>
      <c r="K61" s="254"/>
      <c r="M61" s="23"/>
    </row>
    <row r="62" spans="1:13">
      <c r="A62" s="21"/>
      <c r="C62" s="20"/>
      <c r="E62" s="22"/>
    </row>
    <row r="63" spans="1:13">
      <c r="C63" s="29" t="s">
        <v>23</v>
      </c>
      <c r="D63" s="30"/>
      <c r="E63" s="31" t="str">
        <f>E41</f>
        <v>Robe noire</v>
      </c>
      <c r="F63" s="32"/>
      <c r="G63" s="31" t="str">
        <f>G41</f>
        <v>Fall Flower</v>
      </c>
      <c r="H63" s="32"/>
      <c r="I63" s="75" t="str">
        <f>I41</f>
        <v>Abeille</v>
      </c>
      <c r="J63" s="5"/>
      <c r="K63" s="5"/>
    </row>
    <row r="64" spans="1:13" ht="8.1" customHeight="1">
      <c r="C64" s="45"/>
      <c r="E64" s="5"/>
      <c r="F64" s="5"/>
      <c r="G64" s="5"/>
      <c r="H64" s="5"/>
      <c r="I64" s="42"/>
      <c r="J64" s="5"/>
      <c r="K64" s="5"/>
    </row>
    <row r="65" spans="1:15">
      <c r="C65" s="34" t="s">
        <v>33</v>
      </c>
      <c r="E65" s="68">
        <f>E43</f>
        <v>5</v>
      </c>
      <c r="F65" s="68"/>
      <c r="G65" s="68">
        <f>G43</f>
        <v>20</v>
      </c>
      <c r="H65" s="68"/>
      <c r="I65" s="69">
        <f>I43</f>
        <v>100</v>
      </c>
      <c r="J65" s="10"/>
      <c r="K65" s="27"/>
      <c r="L65" s="10"/>
    </row>
    <row r="66" spans="1:15">
      <c r="C66" s="34" t="s">
        <v>34</v>
      </c>
      <c r="E66" s="68">
        <f>E44</f>
        <v>0.3</v>
      </c>
      <c r="F66" s="68"/>
      <c r="G66" s="68">
        <f>G44</f>
        <v>15.3</v>
      </c>
      <c r="H66" s="68"/>
      <c r="I66" s="69">
        <f>I44</f>
        <v>150</v>
      </c>
      <c r="J66" s="10"/>
      <c r="K66" s="27"/>
      <c r="L66" s="10"/>
    </row>
    <row r="67" spans="1:15" ht="16.5" thickBot="1">
      <c r="C67" s="34" t="s">
        <v>35</v>
      </c>
      <c r="E67" s="153"/>
      <c r="F67" s="12"/>
      <c r="G67" s="169">
        <f>Divers!I17</f>
        <v>84.240000000000009</v>
      </c>
      <c r="H67" s="12"/>
      <c r="I67" s="153"/>
      <c r="J67" s="19"/>
      <c r="K67" s="28"/>
      <c r="L67" s="12"/>
      <c r="M67" s="23"/>
    </row>
    <row r="68" spans="1:15" ht="19.5" customHeight="1" thickTop="1">
      <c r="C68" s="46" t="s">
        <v>36</v>
      </c>
      <c r="D68" s="3"/>
      <c r="E68" s="106">
        <f>SUM(E65:E67)</f>
        <v>5.3</v>
      </c>
      <c r="F68" s="79"/>
      <c r="G68" s="154"/>
      <c r="H68" s="94"/>
      <c r="I68" s="107">
        <f>SUM(I65:I67)</f>
        <v>250</v>
      </c>
      <c r="K68" s="17"/>
      <c r="M68" s="97"/>
    </row>
    <row r="69" spans="1:15" ht="8.25" customHeight="1" thickBot="1"/>
    <row r="70" spans="1:15" ht="19.5" thickBot="1">
      <c r="E70" s="156" t="str">
        <f>Divers!E7</f>
        <v/>
      </c>
      <c r="F70" s="158"/>
      <c r="G70" s="156" t="str">
        <f>Divers!E8</f>
        <v/>
      </c>
      <c r="H70" s="158"/>
      <c r="I70" s="156" t="str">
        <f>Divers!E9</f>
        <v/>
      </c>
    </row>
    <row r="71" spans="1:15" ht="15" customHeight="1">
      <c r="M71" s="54"/>
    </row>
    <row r="72" spans="1:15" ht="9.9499999999999993" customHeight="1" thickBo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8"/>
      <c r="L72" s="18"/>
      <c r="M72" s="249"/>
      <c r="N72" s="249"/>
      <c r="O72" s="249"/>
    </row>
    <row r="73" spans="1:15">
      <c r="A73" s="73"/>
    </row>
    <row r="74" spans="1:15" ht="9.9499999999999993" customHeight="1" thickBo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8"/>
      <c r="L74" s="18"/>
      <c r="M74" s="249"/>
      <c r="N74" s="249"/>
      <c r="O74" s="249"/>
    </row>
    <row r="76" spans="1:15" ht="21">
      <c r="A76" s="109" t="s">
        <v>111</v>
      </c>
    </row>
  </sheetData>
  <sheetProtection selectLockedCells="1"/>
  <protectedRanges>
    <protectedRange sqref="E35 K35 E38:E39 G38 E45 G45 I46 E59:E60 G59 E67 G67:G68 I67 G15 E23 G35 I35" name="Imputation 1"/>
    <protectedRange sqref="G24" name="Imputation 1_1"/>
    <protectedRange sqref="G23 I23" name="Imputation 1_2"/>
  </protectedRanges>
  <mergeCells count="9">
    <mergeCell ref="B37:B39"/>
    <mergeCell ref="M74:O74"/>
    <mergeCell ref="A15:B16"/>
    <mergeCell ref="I15:K17"/>
    <mergeCell ref="A8:I8"/>
    <mergeCell ref="K37:K39"/>
    <mergeCell ref="I59:K61"/>
    <mergeCell ref="M72:O72"/>
    <mergeCell ref="A59:B60"/>
  </mergeCells>
  <dataValidations disablePrompts="1" count="1">
    <dataValidation type="list" allowBlank="1" showInputMessage="1" showErrorMessage="1" sqref="C35:C36" xr:uid="{F63F6811-4AC2-4BE7-8E13-2B736317E32C}">
      <formula1>#REF!</formula1>
    </dataValidation>
  </dataValidation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33"/>
  <sheetViews>
    <sheetView workbookViewId="0">
      <selection activeCell="A20" sqref="A20"/>
    </sheetView>
  </sheetViews>
  <sheetFormatPr baseColWidth="10" defaultColWidth="11" defaultRowHeight="15.75"/>
  <cols>
    <col min="1" max="1" width="26.125" style="116" customWidth="1"/>
    <col min="2" max="2" width="13" style="116" bestFit="1" customWidth="1"/>
    <col min="3" max="3" width="16.875" style="116" bestFit="1" customWidth="1"/>
    <col min="4" max="6" width="11" style="116"/>
    <col min="7" max="7" width="23.125" style="116" customWidth="1"/>
    <col min="8" max="8" width="16.75" style="116" customWidth="1"/>
    <col min="9" max="10" width="11" style="116"/>
    <col min="11" max="11" width="14.5" style="116" bestFit="1" customWidth="1"/>
    <col min="12" max="16384" width="11" style="116"/>
  </cols>
  <sheetData>
    <row r="1" spans="1:11">
      <c r="A1" s="116" t="s">
        <v>79</v>
      </c>
      <c r="B1" s="116" t="s">
        <v>80</v>
      </c>
      <c r="C1" s="116" t="s">
        <v>81</v>
      </c>
      <c r="D1" s="116" t="s">
        <v>82</v>
      </c>
      <c r="E1" s="116" t="s">
        <v>83</v>
      </c>
      <c r="H1" s="116" t="str">
        <f>'Révision 1 taux'!E31</f>
        <v>Robe noire</v>
      </c>
      <c r="I1" s="116" t="str">
        <f>'Révision 1 taux'!G31</f>
        <v>Fall Flower</v>
      </c>
      <c r="J1" s="116" t="str">
        <f>'Révision 1 taux'!I31</f>
        <v>Abeille</v>
      </c>
      <c r="K1" s="116" t="s">
        <v>69</v>
      </c>
    </row>
    <row r="2" spans="1:11">
      <c r="A2" s="117">
        <f>'Révision 1 taux'!K35</f>
        <v>0</v>
      </c>
      <c r="B2" s="118">
        <f>K6</f>
        <v>1215</v>
      </c>
      <c r="C2" s="116">
        <v>0.01</v>
      </c>
      <c r="D2" s="116">
        <f t="shared" ref="D2:D9" si="0">IF(ISNUMBER(A2),IF(ABS(A2-B2)&lt;=C2,1,0),0)</f>
        <v>0</v>
      </c>
      <c r="E2" s="119" t="str">
        <f>IF(D2=1,"Bon calcul, continue !","")</f>
        <v/>
      </c>
      <c r="G2" s="116" t="s">
        <v>84</v>
      </c>
      <c r="H2" s="120">
        <f>'Révision 1 taux'!E33</f>
        <v>400000</v>
      </c>
      <c r="I2" s="120">
        <f>'Révision 1 taux'!G33</f>
        <v>15000</v>
      </c>
      <c r="J2" s="120">
        <f>'Révision 1 taux'!I33</f>
        <v>50</v>
      </c>
      <c r="K2" s="121">
        <f>SUM(H2:J2)</f>
        <v>415050</v>
      </c>
    </row>
    <row r="3" spans="1:11">
      <c r="A3" s="117">
        <f>'Révision 1 taux'!G38</f>
        <v>0</v>
      </c>
      <c r="B3" s="118">
        <f>K13</f>
        <v>2140</v>
      </c>
      <c r="C3" s="116">
        <v>0.01</v>
      </c>
      <c r="D3" s="116">
        <f t="shared" si="0"/>
        <v>0</v>
      </c>
      <c r="E3" s="119" t="str">
        <f t="shared" ref="E3" si="1">IF(D3=1,"Bravo!","")</f>
        <v/>
      </c>
      <c r="G3" s="116" t="s">
        <v>60</v>
      </c>
      <c r="H3" s="116">
        <f>'Révision 1 taux'!E34</f>
        <v>3.0000000000000001E-3</v>
      </c>
      <c r="I3" s="116">
        <f>'Révision 1 taux'!G34</f>
        <v>1E-3</v>
      </c>
      <c r="J3" s="116">
        <f>'Révision 1 taux'!I34</f>
        <v>0</v>
      </c>
      <c r="K3" s="122"/>
    </row>
    <row r="4" spans="1:11">
      <c r="A4" s="117">
        <f>'Révision 1 taux'!E45</f>
        <v>0</v>
      </c>
      <c r="B4" s="118">
        <f>H11</f>
        <v>6.42</v>
      </c>
      <c r="C4" s="116">
        <v>0.01</v>
      </c>
      <c r="D4" s="116">
        <f t="shared" si="0"/>
        <v>0</v>
      </c>
      <c r="E4" s="119" t="str">
        <f>IF(D4=1,"WOW !","")</f>
        <v/>
      </c>
      <c r="G4" s="116" t="s">
        <v>61</v>
      </c>
      <c r="H4" s="116">
        <f>'Révision 1 taux'!E56</f>
        <v>0.01</v>
      </c>
      <c r="I4" s="116">
        <f>'Révision 1 taux'!G56</f>
        <v>0.26</v>
      </c>
      <c r="J4" s="123">
        <f>'Révision 1 taux'!I56</f>
        <v>2.5</v>
      </c>
      <c r="K4" s="122"/>
    </row>
    <row r="5" spans="1:11">
      <c r="A5" s="117">
        <f>'Révision 1 taux'!G45</f>
        <v>0</v>
      </c>
      <c r="B5" s="118">
        <f>I11</f>
        <v>2.14</v>
      </c>
      <c r="C5" s="116">
        <v>0.01</v>
      </c>
      <c r="D5" s="116">
        <f t="shared" si="0"/>
        <v>0</v>
      </c>
      <c r="E5" s="119" t="str">
        <f>IF(D5=1,"Incroyable !","")</f>
        <v/>
      </c>
      <c r="K5" s="122"/>
    </row>
    <row r="6" spans="1:11">
      <c r="A6" s="117">
        <f>'Révision 1 taux'!I46</f>
        <v>0</v>
      </c>
      <c r="B6" s="118">
        <f>J12</f>
        <v>250</v>
      </c>
      <c r="C6" s="116">
        <v>0.01</v>
      </c>
      <c r="D6" s="116">
        <f t="shared" si="0"/>
        <v>0</v>
      </c>
      <c r="E6" s="119" t="str">
        <f>IF(D6=1,"Super !","")</f>
        <v/>
      </c>
      <c r="G6" s="116" t="s">
        <v>85</v>
      </c>
      <c r="H6" s="116">
        <f>H2*H3</f>
        <v>1200</v>
      </c>
      <c r="I6" s="116">
        <f t="shared" ref="I6:J6" si="2">I2*I3</f>
        <v>15</v>
      </c>
      <c r="J6" s="116">
        <f t="shared" si="2"/>
        <v>0</v>
      </c>
      <c r="K6" s="121">
        <f>SUM(H6:J6)</f>
        <v>1215</v>
      </c>
    </row>
    <row r="7" spans="1:11">
      <c r="A7" s="117">
        <f>'Révision 1 taux'!E67</f>
        <v>0</v>
      </c>
      <c r="B7" s="118">
        <f>H17</f>
        <v>3.24</v>
      </c>
      <c r="C7" s="116">
        <v>0.01</v>
      </c>
      <c r="D7" s="116">
        <f t="shared" si="0"/>
        <v>0</v>
      </c>
      <c r="E7" s="119" t="str">
        <f>IF(D7=1,"Génial!","")</f>
        <v/>
      </c>
      <c r="G7" s="116" t="s">
        <v>86</v>
      </c>
      <c r="H7" s="116">
        <f>H4*H2</f>
        <v>4000</v>
      </c>
      <c r="I7" s="116">
        <f>I4*I2</f>
        <v>3900</v>
      </c>
      <c r="J7" s="116">
        <f>J4*J2</f>
        <v>125</v>
      </c>
      <c r="K7" s="121">
        <f>SUM(H7:J7)</f>
        <v>8025</v>
      </c>
    </row>
    <row r="8" spans="1:11">
      <c r="A8" s="117">
        <f>'Révision 1 taux'!G68</f>
        <v>0</v>
      </c>
      <c r="B8" s="118">
        <f>I18</f>
        <v>119.54</v>
      </c>
      <c r="C8" s="116">
        <v>0.01</v>
      </c>
      <c r="D8" s="116">
        <f t="shared" si="0"/>
        <v>0</v>
      </c>
      <c r="E8" s="119" t="str">
        <f>IF(D8=1,"Fabuleux!","")</f>
        <v/>
      </c>
      <c r="G8" s="122" t="s">
        <v>101</v>
      </c>
      <c r="K8" s="122"/>
    </row>
    <row r="9" spans="1:11">
      <c r="A9" s="117">
        <f>'Révision 1 taux'!I67</f>
        <v>0</v>
      </c>
      <c r="B9" s="117">
        <f>J17</f>
        <v>810</v>
      </c>
      <c r="C9" s="116">
        <v>0.01</v>
      </c>
      <c r="D9" s="116">
        <f t="shared" si="0"/>
        <v>0</v>
      </c>
      <c r="E9" s="119" t="str">
        <f>IF(D9=1,"C'est bon!","")</f>
        <v/>
      </c>
      <c r="G9" s="116" t="s">
        <v>87</v>
      </c>
      <c r="H9" s="117">
        <f>'Révision 1 taux'!E43</f>
        <v>5</v>
      </c>
      <c r="I9" s="117">
        <f>'Révision 1 taux'!G43</f>
        <v>20</v>
      </c>
      <c r="J9" s="117">
        <f>'Révision 1 taux'!I43</f>
        <v>100</v>
      </c>
      <c r="K9" s="117">
        <f t="shared" ref="K9:K10" si="3">(H9*H$2)+(I9*I$2)+(J9*J$2)</f>
        <v>2305000</v>
      </c>
    </row>
    <row r="10" spans="1:11">
      <c r="A10" s="117">
        <f>'Activité '!E44</f>
        <v>0</v>
      </c>
      <c r="B10" s="118">
        <f>K32</f>
        <v>1810.7818930041153</v>
      </c>
      <c r="C10" s="116">
        <v>0.01</v>
      </c>
      <c r="D10" s="116">
        <f>IF(ISNUMBER(A10),IF(ABS(A10-B10)&lt;=C10,1,0),0)</f>
        <v>0</v>
      </c>
      <c r="E10" s="119" t="str">
        <f>IF(D10=1,"Épatant","")</f>
        <v/>
      </c>
      <c r="G10" s="116" t="s">
        <v>88</v>
      </c>
      <c r="H10" s="117">
        <f>'Révision 1 taux'!E44</f>
        <v>0.3</v>
      </c>
      <c r="I10" s="117">
        <f>'Révision 1 taux'!G44</f>
        <v>15.3</v>
      </c>
      <c r="J10" s="117">
        <f>'Révision 1 taux'!I44</f>
        <v>150</v>
      </c>
      <c r="K10" s="117">
        <f t="shared" si="3"/>
        <v>357000</v>
      </c>
    </row>
    <row r="11" spans="1:11">
      <c r="A11" s="117">
        <f>'Activité '!G44</f>
        <v>0</v>
      </c>
      <c r="B11" s="118">
        <f>K33</f>
        <v>103.2258064516129</v>
      </c>
      <c r="C11" s="116">
        <v>0.01</v>
      </c>
      <c r="D11" s="116">
        <f t="shared" ref="D11:D14" si="4">IF(ISNUMBER(A11),IF(ABS(A11-B11)&lt;=C11,1,0),0)</f>
        <v>0</v>
      </c>
      <c r="E11" s="119" t="str">
        <f>IF(D11=1,"Bon travail!","")</f>
        <v/>
      </c>
      <c r="G11" s="116" t="s">
        <v>89</v>
      </c>
      <c r="H11" s="125">
        <f>$K$13*H3</f>
        <v>6.42</v>
      </c>
      <c r="I11" s="125">
        <f>$K$13*I3</f>
        <v>2.14</v>
      </c>
      <c r="J11" s="125">
        <f>$K$13*J3</f>
        <v>0</v>
      </c>
      <c r="K11" s="117">
        <v>2600100</v>
      </c>
    </row>
    <row r="12" spans="1:11">
      <c r="A12" s="117">
        <f>'Activité '!E51</f>
        <v>0</v>
      </c>
      <c r="B12" s="118">
        <f>H29</f>
        <v>5.4323456790123457</v>
      </c>
      <c r="C12" s="116">
        <v>0.01</v>
      </c>
      <c r="D12" s="116">
        <f t="shared" si="4"/>
        <v>0</v>
      </c>
      <c r="E12" s="119" t="str">
        <f>IF(D12=1,"Excellent!","")</f>
        <v/>
      </c>
      <c r="G12" s="116" t="s">
        <v>90</v>
      </c>
      <c r="H12" s="126">
        <f>SUM(H9:H11)</f>
        <v>11.719999999999999</v>
      </c>
      <c r="I12" s="126">
        <f t="shared" ref="I12:J12" si="5">SUM(I9:I11)</f>
        <v>37.44</v>
      </c>
      <c r="J12" s="126">
        <f t="shared" si="5"/>
        <v>250</v>
      </c>
      <c r="K12" s="117">
        <f>(H12*H$2)+(I12*I$2)+(J12*J$2)</f>
        <v>5262100</v>
      </c>
    </row>
    <row r="13" spans="1:11">
      <c r="A13" s="117">
        <f>'Activité '!G51</f>
        <v>0</v>
      </c>
      <c r="B13" s="118">
        <f>(I29+I30)</f>
        <v>27.61723350590734</v>
      </c>
      <c r="C13" s="116">
        <v>0.01</v>
      </c>
      <c r="D13" s="116">
        <f t="shared" si="4"/>
        <v>0</v>
      </c>
      <c r="E13" s="119" t="str">
        <f>IF(D13=1,"Juste Parfait!","")</f>
        <v/>
      </c>
      <c r="G13" s="116" t="s">
        <v>92</v>
      </c>
      <c r="K13" s="124">
        <f>K11/K6</f>
        <v>2140</v>
      </c>
    </row>
    <row r="14" spans="1:11">
      <c r="A14" s="117">
        <f>'Activité '!I51</f>
        <v>0</v>
      </c>
      <c r="B14" s="117">
        <f>J30</f>
        <v>258.06451612903226</v>
      </c>
      <c r="C14" s="116">
        <v>0.01</v>
      </c>
      <c r="D14" s="116">
        <f t="shared" si="4"/>
        <v>0</v>
      </c>
      <c r="E14" s="119" t="str">
        <f>IF(D14=1,"Bravo !","")</f>
        <v/>
      </c>
      <c r="G14" s="122" t="s">
        <v>102</v>
      </c>
    </row>
    <row r="15" spans="1:11">
      <c r="A15" s="117">
        <f>'Activité '!E59</f>
        <v>0</v>
      </c>
      <c r="B15" s="117">
        <f>H29</f>
        <v>5.4323456790123457</v>
      </c>
      <c r="C15" s="116">
        <v>0.01</v>
      </c>
      <c r="D15" s="116">
        <f t="shared" ref="D15:D21" si="6">IF(ISNUMBER(A15),IF(ABS(A15-B15)&lt;=C15,1,0),0)</f>
        <v>0</v>
      </c>
      <c r="E15" s="119" t="str">
        <f>IF(D15=1,"C'est bon !","")</f>
        <v/>
      </c>
      <c r="G15" s="116" t="s">
        <v>87</v>
      </c>
      <c r="H15" s="117">
        <f t="shared" ref="H15:J16" si="7">H9</f>
        <v>5</v>
      </c>
      <c r="I15" s="117">
        <f t="shared" si="7"/>
        <v>20</v>
      </c>
      <c r="J15" s="117">
        <f t="shared" si="7"/>
        <v>100</v>
      </c>
      <c r="K15" s="117">
        <f t="shared" ref="K15:K16" si="8">(H15*H$2)+(I15*I$2)+(J15*J$2)</f>
        <v>2305000</v>
      </c>
    </row>
    <row r="16" spans="1:11">
      <c r="A16" s="117">
        <f>'Activité '!G60</f>
        <v>0</v>
      </c>
      <c r="B16" s="117">
        <f>I31</f>
        <v>62.917233505907333</v>
      </c>
      <c r="C16" s="116">
        <v>0.01</v>
      </c>
      <c r="D16" s="116">
        <f t="shared" si="6"/>
        <v>0</v>
      </c>
      <c r="E16" s="119" t="str">
        <f t="shared" ref="E16" si="9">IF(D16=1,"Bravo !","")</f>
        <v/>
      </c>
      <c r="G16" s="116" t="s">
        <v>88</v>
      </c>
      <c r="H16" s="117">
        <f t="shared" si="7"/>
        <v>0.3</v>
      </c>
      <c r="I16" s="117">
        <f t="shared" si="7"/>
        <v>15.3</v>
      </c>
      <c r="J16" s="117">
        <f t="shared" si="7"/>
        <v>150</v>
      </c>
      <c r="K16" s="117">
        <f t="shared" si="8"/>
        <v>357000</v>
      </c>
    </row>
    <row r="17" spans="1:11">
      <c r="A17" s="117">
        <f>'Activité '!I60</f>
        <v>0</v>
      </c>
      <c r="B17" s="117">
        <f>J31</f>
        <v>508.06451612903226</v>
      </c>
      <c r="C17" s="116">
        <v>0.01</v>
      </c>
      <c r="D17" s="116">
        <f t="shared" si="6"/>
        <v>0</v>
      </c>
      <c r="E17" s="119" t="str">
        <f>IF(D17=1,"Presque terminé !","")</f>
        <v/>
      </c>
      <c r="G17" s="116" t="s">
        <v>91</v>
      </c>
      <c r="H17" s="125">
        <f>$K$19*H4</f>
        <v>3.24</v>
      </c>
      <c r="I17" s="125">
        <f>$K$19*I4</f>
        <v>84.240000000000009</v>
      </c>
      <c r="J17" s="125">
        <f>$K$19*J4</f>
        <v>810</v>
      </c>
      <c r="K17" s="117">
        <f>K11</f>
        <v>2600100</v>
      </c>
    </row>
    <row r="18" spans="1:11">
      <c r="A18" s="117">
        <f>'Révision 1 taux'!E23</f>
        <v>0</v>
      </c>
      <c r="B18" s="117">
        <f>'Révision 1 taux'!G15</f>
        <v>0</v>
      </c>
      <c r="C18" s="116">
        <v>0.01</v>
      </c>
      <c r="D18" s="116">
        <f t="shared" si="6"/>
        <v>1</v>
      </c>
      <c r="E18" s="119" t="str">
        <f>IF(D18=1,"Très bien","")</f>
        <v>Très bien</v>
      </c>
      <c r="G18" s="116" t="s">
        <v>90</v>
      </c>
      <c r="H18" s="126">
        <f>SUM(H15:H17)</f>
        <v>8.5399999999999991</v>
      </c>
      <c r="I18" s="126">
        <f t="shared" ref="I18:J18" si="10">SUM(I15:I17)</f>
        <v>119.54</v>
      </c>
      <c r="J18" s="126">
        <f t="shared" si="10"/>
        <v>1060</v>
      </c>
      <c r="K18" s="126"/>
    </row>
    <row r="19" spans="1:11">
      <c r="A19" s="117">
        <f>'Révision 1 taux'!G24</f>
        <v>0</v>
      </c>
      <c r="B19" s="117">
        <f>'Révision 1 taux'!G21+'Révision 1 taux'!G22+'Révision 1 taux'!G23</f>
        <v>41.559999999999995</v>
      </c>
      <c r="C19" s="116">
        <v>0.01</v>
      </c>
      <c r="D19" s="116">
        <f t="shared" si="6"/>
        <v>0</v>
      </c>
      <c r="E19" s="119" t="str">
        <f t="shared" ref="E19" si="11">IF(D19=1,"Presque terminé !","")</f>
        <v/>
      </c>
      <c r="G19" s="116" t="s">
        <v>93</v>
      </c>
      <c r="K19" s="124">
        <f>K11/K7</f>
        <v>324</v>
      </c>
    </row>
    <row r="20" spans="1:11">
      <c r="A20" s="117">
        <f>'Révision 1 taux'!E23</f>
        <v>0</v>
      </c>
      <c r="B20" s="117">
        <f>K11/K2</f>
        <v>6.2645464401879289</v>
      </c>
      <c r="C20" s="116">
        <v>0.01</v>
      </c>
      <c r="D20" s="116">
        <f t="shared" si="6"/>
        <v>0</v>
      </c>
      <c r="E20" s="119" t="str">
        <f>IF(D20=1,"Ca y est !","")</f>
        <v/>
      </c>
    </row>
    <row r="21" spans="1:11">
      <c r="A21" s="116">
        <f>'Révision 1 taux'!G24</f>
        <v>0</v>
      </c>
      <c r="B21" s="117">
        <f>'Révision 1 taux'!G21+'Révision 1 taux'!G22+'Révision 1 taux'!G23</f>
        <v>41.559999999999995</v>
      </c>
      <c r="C21" s="116">
        <v>0.01</v>
      </c>
      <c r="D21" s="116">
        <f t="shared" si="6"/>
        <v>0</v>
      </c>
      <c r="E21" s="119" t="str">
        <f>IF(D21=1,"Bon calcul","")</f>
        <v/>
      </c>
      <c r="H21" s="116" t="str">
        <f>H1</f>
        <v>Robe noire</v>
      </c>
      <c r="I21" s="116" t="str">
        <f t="shared" ref="I21:J21" si="12">I1</f>
        <v>Fall Flower</v>
      </c>
      <c r="J21" s="116" t="str">
        <f t="shared" si="12"/>
        <v>Abeille</v>
      </c>
    </row>
    <row r="22" spans="1:11">
      <c r="G22" s="122" t="s">
        <v>94</v>
      </c>
      <c r="H22" s="117"/>
      <c r="I22" s="117"/>
      <c r="K22" s="132" t="s">
        <v>8</v>
      </c>
    </row>
    <row r="23" spans="1:11">
      <c r="G23" s="116" t="s">
        <v>95</v>
      </c>
      <c r="H23" s="116">
        <f>H3</f>
        <v>3.0000000000000001E-3</v>
      </c>
      <c r="I23" s="116">
        <f>I3</f>
        <v>1E-3</v>
      </c>
      <c r="J23" s="116">
        <f>J3</f>
        <v>0</v>
      </c>
      <c r="K23" s="116">
        <f>(H23*H2)+(I2*I23)</f>
        <v>1215</v>
      </c>
    </row>
    <row r="24" spans="1:11">
      <c r="G24" s="116" t="s">
        <v>96</v>
      </c>
      <c r="H24" s="116">
        <v>0</v>
      </c>
      <c r="I24" s="116">
        <v>0.25</v>
      </c>
      <c r="J24" s="116">
        <v>2.5</v>
      </c>
      <c r="K24" s="116">
        <f>(I24*I2)+(J2*J24)</f>
        <v>3875</v>
      </c>
    </row>
    <row r="26" spans="1:11">
      <c r="G26" s="116" t="s">
        <v>36</v>
      </c>
      <c r="H26" s="128"/>
      <c r="I26" s="128"/>
      <c r="J26" s="128"/>
    </row>
    <row r="27" spans="1:11">
      <c r="G27" s="116" t="s">
        <v>87</v>
      </c>
      <c r="H27" s="117">
        <f t="shared" ref="H27:J28" si="13">H9</f>
        <v>5</v>
      </c>
      <c r="I27" s="117">
        <f t="shared" si="13"/>
        <v>20</v>
      </c>
      <c r="J27" s="117">
        <f t="shared" si="13"/>
        <v>100</v>
      </c>
    </row>
    <row r="28" spans="1:11">
      <c r="G28" s="116" t="s">
        <v>88</v>
      </c>
      <c r="H28" s="117">
        <f t="shared" si="13"/>
        <v>0.3</v>
      </c>
      <c r="I28" s="117">
        <f t="shared" si="13"/>
        <v>15.3</v>
      </c>
      <c r="J28" s="117">
        <f t="shared" si="13"/>
        <v>150</v>
      </c>
    </row>
    <row r="29" spans="1:11">
      <c r="G29" s="116" t="s">
        <v>97</v>
      </c>
      <c r="H29" s="133">
        <f>H23*K32</f>
        <v>5.4323456790123457</v>
      </c>
      <c r="I29" s="133">
        <f>I23*K32</f>
        <v>1.8107818930041153</v>
      </c>
      <c r="J29" s="116">
        <v>0</v>
      </c>
    </row>
    <row r="30" spans="1:11">
      <c r="G30" s="116" t="s">
        <v>98</v>
      </c>
      <c r="H30" s="127">
        <v>0</v>
      </c>
      <c r="I30" s="134">
        <f>I24*K33</f>
        <v>25.806451612903224</v>
      </c>
      <c r="J30" s="134">
        <f>J24*K33</f>
        <v>258.06451612903226</v>
      </c>
      <c r="K30" s="127"/>
    </row>
    <row r="31" spans="1:11">
      <c r="H31" s="133">
        <f>H27+H28+H29+H30</f>
        <v>10.732345679012345</v>
      </c>
      <c r="I31" s="133">
        <f>I27+I28+I29+I30</f>
        <v>62.917233505907333</v>
      </c>
      <c r="J31" s="133">
        <f>J27+J28+J29+J30</f>
        <v>508.06451612903226</v>
      </c>
    </row>
    <row r="32" spans="1:11">
      <c r="G32" s="116" t="s">
        <v>99</v>
      </c>
      <c r="K32" s="124">
        <f>'Activité '!E20/Divers!K23</f>
        <v>1810.7818930041153</v>
      </c>
    </row>
    <row r="33" spans="7:11">
      <c r="G33" s="116" t="s">
        <v>100</v>
      </c>
      <c r="K33" s="124">
        <f>'Activité '!G20/Divers!K24</f>
        <v>103.2258064516129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797739-e8dc-4491-9318-4a619ee9b1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210C906DD6AF4AAA0745DA7F7D668C" ma:contentTypeVersion="16" ma:contentTypeDescription="Create a new document." ma:contentTypeScope="" ma:versionID="31d8dd37800a71d9fe15f22dc000f6c5">
  <xsd:schema xmlns:xsd="http://www.w3.org/2001/XMLSchema" xmlns:xs="http://www.w3.org/2001/XMLSchema" xmlns:p="http://schemas.microsoft.com/office/2006/metadata/properties" xmlns:ns3="9b797739-e8dc-4491-9318-4a619ee9b153" xmlns:ns4="08c3be05-7986-4e38-b56c-c7c4a964138c" targetNamespace="http://schemas.microsoft.com/office/2006/metadata/properties" ma:root="true" ma:fieldsID="bc972a2e58901271c97d4b95cef24859" ns3:_="" ns4:_="">
    <xsd:import namespace="9b797739-e8dc-4491-9318-4a619ee9b153"/>
    <xsd:import namespace="08c3be05-7986-4e38-b56c-c7c4a96413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97739-e8dc-4491-9318-4a619ee9b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be05-7986-4e38-b56c-c7c4a9641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F6A2-E071-4E65-B19D-632C53969AEF}">
  <ds:schemaRefs>
    <ds:schemaRef ds:uri="http://www.w3.org/XML/1998/namespace"/>
    <ds:schemaRef ds:uri="http://schemas.microsoft.com/office/2006/documentManagement/types"/>
    <ds:schemaRef ds:uri="http://purl.org/dc/elements/1.1/"/>
    <ds:schemaRef ds:uri="9b797739-e8dc-4491-9318-4a619ee9b153"/>
    <ds:schemaRef ds:uri="08c3be05-7986-4e38-b56c-c7c4a964138c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1417E73-6213-4E68-8010-66445EDD73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7CE63C-6DF6-4FAF-BF8D-3223A3E31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97739-e8dc-4491-9318-4a619ee9b153"/>
    <ds:schemaRef ds:uri="08c3be05-7986-4e38-b56c-c7c4a9641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Activité </vt:lpstr>
      <vt:lpstr>Révision 1 taux</vt:lpstr>
      <vt:lpstr>Divers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Microsoft Office</dc:creator>
  <cp:keywords/>
  <dc:description/>
  <cp:lastModifiedBy>Loecha Philion</cp:lastModifiedBy>
  <cp:revision/>
  <dcterms:created xsi:type="dcterms:W3CDTF">2020-04-30T16:40:16Z</dcterms:created>
  <dcterms:modified xsi:type="dcterms:W3CDTF">2025-05-06T14:06:56Z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0x0101003F210C906DD6AF4AAA0745DA7F7D668C</vt:lpwstr>
  </property>
</Properties>
</file>