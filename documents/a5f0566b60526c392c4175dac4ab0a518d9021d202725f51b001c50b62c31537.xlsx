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ecmtl.sharepoint.com/sites/O365-Gestiondesoprations-H2026/Shared Documents/General/Exercices de fin de séance - français/05 - Planification globale de production (PGP)/"/>
    </mc:Choice>
  </mc:AlternateContent>
  <xr:revisionPtr revIDLastSave="5" documentId="13_ncr:1_{EE8A2AAC-BA60-44F9-8FEB-A4A0B693EC2F}" xr6:coauthVersionLast="47" xr6:coauthVersionMax="47" xr10:uidLastSave="{E5358991-D9C8-4900-8F2B-E76CFF5968EC}"/>
  <bookViews>
    <workbookView xWindow="-120" yWindow="-120" windowWidth="29040" windowHeight="15720" activeTab="1" xr2:uid="{00000000-000D-0000-FFFF-FFFF00000000}"/>
  </bookViews>
  <sheets>
    <sheet name="Données du problème" sheetId="10" r:id="rId1"/>
    <sheet name="Question 1" sheetId="18" r:id="rId2"/>
    <sheet name="Question 2" sheetId="14" r:id="rId3"/>
    <sheet name="Question 3" sheetId="21" r:id="rId4"/>
  </sheets>
  <definedNames>
    <definedName name="_Hlk532205760" localSheetId="3">'Question 3'!$A$2</definedName>
    <definedName name="solver_cvg" localSheetId="2" hidden="1">0.0001</definedName>
    <definedName name="solver_drv" localSheetId="2" hidden="1">2</definedName>
    <definedName name="solver_eng" localSheetId="2" hidden="1">2</definedName>
    <definedName name="solver_est" localSheetId="2" hidden="1">1</definedName>
    <definedName name="solver_itr" localSheetId="2" hidden="1">2147483647</definedName>
    <definedName name="solver_lhs1" localSheetId="2" hidden="1">'Question 2'!$C$6:$N$6</definedName>
    <definedName name="solver_lhs10" localSheetId="2" hidden="1">'Question 2'!$C$10:$N$10</definedName>
    <definedName name="solver_lhs11" localSheetId="2" hidden="1">'Question 2'!$C$11:$N$11</definedName>
    <definedName name="solver_lhs12" localSheetId="2" hidden="1">'Question 2'!#REF!</definedName>
    <definedName name="solver_lhs13" localSheetId="2" hidden="1">'Question 2'!#REF!</definedName>
    <definedName name="solver_lhs14" localSheetId="2" hidden="1">'Question 2'!$N$7</definedName>
    <definedName name="solver_lhs15" localSheetId="2" hidden="1">'Question 2'!$N$7</definedName>
    <definedName name="solver_lhs2" localSheetId="2" hidden="1">'Question 2'!$C$8:$N$8</definedName>
    <definedName name="solver_lhs3" localSheetId="2" hidden="1">'Question 2'!$C$8:$N$8</definedName>
    <definedName name="solver_lhs4" localSheetId="2" hidden="1">'Question 2'!$C$7:$N$7</definedName>
    <definedName name="solver_lhs5" localSheetId="2" hidden="1">'Question 2'!$C$7:$N$7</definedName>
    <definedName name="solver_lhs6" localSheetId="2" hidden="1">'Question 2'!$C$7:$N$10</definedName>
    <definedName name="solver_lhs7" localSheetId="2" hidden="1">'Question 2'!#REF!</definedName>
    <definedName name="solver_lhs8" localSheetId="2" hidden="1">'Question 2'!#REF!</definedName>
    <definedName name="solver_lhs9" localSheetId="2" hidden="1">'Question 2'!$C$9:$N$9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pre" localSheetId="2" hidden="1">0.000001</definedName>
    <definedName name="solver_rbv" localSheetId="2" hidden="1">2</definedName>
    <definedName name="solver_rel1" localSheetId="2" hidden="1">3</definedName>
    <definedName name="solver_rel10" localSheetId="2" hidden="1">3</definedName>
    <definedName name="solver_rel11" localSheetId="2" hidden="1">3</definedName>
    <definedName name="solver_rel12" localSheetId="2" hidden="1">3</definedName>
    <definedName name="solver_rel13" localSheetId="2" hidden="1">3</definedName>
    <definedName name="solver_rel14" localSheetId="2" hidden="1">1</definedName>
    <definedName name="solver_rel15" localSheetId="2" hidden="1">3</definedName>
    <definedName name="solver_rel2" localSheetId="2" hidden="1">1</definedName>
    <definedName name="solver_rel3" localSheetId="2" hidden="1">3</definedName>
    <definedName name="solver_rel4" localSheetId="2" hidden="1">1</definedName>
    <definedName name="solver_rel5" localSheetId="2" hidden="1">3</definedName>
    <definedName name="solver_rel6" localSheetId="2" hidden="1">4</definedName>
    <definedName name="solver_rel7" localSheetId="2" hidden="1">1</definedName>
    <definedName name="solver_rel8" localSheetId="2" hidden="1">3</definedName>
    <definedName name="solver_rel9" localSheetId="2" hidden="1">3</definedName>
    <definedName name="solver_rhs1" localSheetId="2" hidden="1">0</definedName>
    <definedName name="solver_rhs10" localSheetId="2" hidden="1">0</definedName>
    <definedName name="solver_rhs11" localSheetId="2" hidden="1">0</definedName>
    <definedName name="solver_rhs12" localSheetId="2" hidden="1">0</definedName>
    <definedName name="solver_rhs13" localSheetId="2" hidden="1">0</definedName>
    <definedName name="solver_rhs14" localSheetId="2" hidden="1">'Question 2'!#REF!</definedName>
    <definedName name="solver_rhs15" localSheetId="2" hidden="1">'Question 2'!#REF!</definedName>
    <definedName name="solver_rhs2" localSheetId="2" hidden="1">'Question 2'!#REF!</definedName>
    <definedName name="solver_rhs3" localSheetId="2" hidden="1">'Question 2'!#REF!</definedName>
    <definedName name="solver_rhs4" localSheetId="2" hidden="1">'Question 2'!#REF!</definedName>
    <definedName name="solver_rhs5" localSheetId="2" hidden="1">0</definedName>
    <definedName name="solver_rhs6" localSheetId="2" hidden="1">entier</definedName>
    <definedName name="solver_rhs7" localSheetId="2" hidden="1">'Question 2'!#REF!</definedName>
    <definedName name="solver_rhs8" localSheetId="2" hidden="1">0</definedName>
    <definedName name="solver_rhs9" localSheetId="2" hidden="1">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4" l="1"/>
  <c r="C9" i="21"/>
  <c r="D9" i="21"/>
  <c r="B11" i="21"/>
  <c r="C11" i="21"/>
  <c r="D11" i="21"/>
  <c r="B12" i="21"/>
  <c r="D13" i="21" s="1"/>
  <c r="C13" i="21" l="1"/>
  <c r="B13" i="21"/>
  <c r="B18" i="18" l="1"/>
  <c r="C7" i="18"/>
  <c r="C5" i="10"/>
  <c r="M10" i="14"/>
  <c r="M26" i="14" s="1"/>
  <c r="N10" i="14"/>
  <c r="N26" i="14" s="1"/>
  <c r="D10" i="14"/>
  <c r="D26" i="14" s="1"/>
  <c r="E10" i="14"/>
  <c r="E26" i="14" s="1"/>
  <c r="F10" i="14"/>
  <c r="F26" i="14" s="1"/>
  <c r="G10" i="14"/>
  <c r="G26" i="14" s="1"/>
  <c r="H10" i="14"/>
  <c r="H26" i="14" s="1"/>
  <c r="I10" i="14"/>
  <c r="I26" i="14" s="1"/>
  <c r="J10" i="14"/>
  <c r="J26" i="14" s="1"/>
  <c r="K10" i="14"/>
  <c r="K26" i="14" s="1"/>
  <c r="L10" i="14"/>
  <c r="L26" i="14" s="1"/>
  <c r="N9" i="14"/>
  <c r="N25" i="14" s="1"/>
  <c r="M9" i="14"/>
  <c r="M25" i="14" s="1"/>
  <c r="L9" i="14"/>
  <c r="L25" i="14" s="1"/>
  <c r="K9" i="14"/>
  <c r="J9" i="14"/>
  <c r="J25" i="14" s="1"/>
  <c r="I9" i="14"/>
  <c r="I25" i="14" s="1"/>
  <c r="H9" i="14"/>
  <c r="H25" i="14" s="1"/>
  <c r="G9" i="14"/>
  <c r="G25" i="14" s="1"/>
  <c r="F9" i="14"/>
  <c r="F25" i="14" s="1"/>
  <c r="E9" i="14"/>
  <c r="E25" i="14" s="1"/>
  <c r="D9" i="14"/>
  <c r="D25" i="14" s="1"/>
  <c r="K25" i="14"/>
  <c r="B8" i="14"/>
  <c r="C10" i="14" s="1"/>
  <c r="C26" i="14" s="1"/>
  <c r="O24" i="14"/>
  <c r="D27" i="14"/>
  <c r="E27" i="14"/>
  <c r="F27" i="14"/>
  <c r="G27" i="14"/>
  <c r="H27" i="14"/>
  <c r="I27" i="14"/>
  <c r="J27" i="14"/>
  <c r="K27" i="14"/>
  <c r="L27" i="14"/>
  <c r="M27" i="14"/>
  <c r="N27" i="14"/>
  <c r="C27" i="14"/>
  <c r="C6" i="18"/>
  <c r="C9" i="14" l="1"/>
  <c r="C25" i="14" s="1"/>
  <c r="C15" i="14"/>
  <c r="O27" i="14"/>
  <c r="O26" i="14"/>
  <c r="O25" i="14"/>
  <c r="D15" i="14" l="1"/>
  <c r="E15" i="14"/>
  <c r="F15" i="14"/>
  <c r="G15" i="14"/>
  <c r="H15" i="14"/>
  <c r="I15" i="14"/>
  <c r="J15" i="14"/>
  <c r="K15" i="14"/>
  <c r="L15" i="14"/>
  <c r="M15" i="14"/>
  <c r="N15" i="14"/>
  <c r="D16" i="14"/>
  <c r="E16" i="14"/>
  <c r="F16" i="14"/>
  <c r="G16" i="14"/>
  <c r="H16" i="14"/>
  <c r="I16" i="14"/>
  <c r="J16" i="14"/>
  <c r="K16" i="14"/>
  <c r="L16" i="14"/>
  <c r="M16" i="14"/>
  <c r="N16" i="14"/>
  <c r="C16" i="14"/>
  <c r="D24" i="10"/>
  <c r="E24" i="10"/>
  <c r="F24" i="10"/>
  <c r="G24" i="10"/>
  <c r="H24" i="10"/>
  <c r="I24" i="10"/>
  <c r="J24" i="10"/>
  <c r="K24" i="10"/>
  <c r="L24" i="10"/>
  <c r="M24" i="10"/>
  <c r="N24" i="10"/>
  <c r="C24" i="10"/>
  <c r="C5" i="18" l="1"/>
  <c r="C8" i="18" s="1"/>
  <c r="C9" i="18" s="1"/>
  <c r="D5" i="14"/>
  <c r="E5" i="14"/>
  <c r="F5" i="14"/>
  <c r="G5" i="14"/>
  <c r="H5" i="14"/>
  <c r="I5" i="14"/>
  <c r="J5" i="14"/>
  <c r="K5" i="14"/>
  <c r="L5" i="14"/>
  <c r="M5" i="14"/>
  <c r="N5" i="14"/>
  <c r="K17" i="18" l="1"/>
  <c r="D17" i="18"/>
  <c r="L17" i="18"/>
  <c r="E17" i="18"/>
  <c r="M17" i="18"/>
  <c r="F17" i="18"/>
  <c r="N17" i="18"/>
  <c r="G17" i="18"/>
  <c r="C17" i="18"/>
  <c r="C18" i="18" s="1"/>
  <c r="D18" i="18" s="1"/>
  <c r="E18" i="18" s="1"/>
  <c r="H17" i="18"/>
  <c r="I17" i="18"/>
  <c r="J17" i="18"/>
  <c r="G6" i="14"/>
  <c r="G14" i="14" s="1"/>
  <c r="L14" i="14"/>
  <c r="L6" i="14"/>
  <c r="D6" i="14"/>
  <c r="D14" i="14" s="1"/>
  <c r="K6" i="14"/>
  <c r="K14" i="14" s="1"/>
  <c r="M6" i="14"/>
  <c r="M14" i="14" s="1"/>
  <c r="N6" i="14"/>
  <c r="N14" i="14" s="1"/>
  <c r="F6" i="14"/>
  <c r="F14" i="14" s="1"/>
  <c r="E6" i="14"/>
  <c r="E14" i="14" s="1"/>
  <c r="J6" i="14"/>
  <c r="J14" i="14" s="1"/>
  <c r="I6" i="14"/>
  <c r="I14" i="14" s="1"/>
  <c r="H6" i="14"/>
  <c r="H14" i="14" s="1"/>
  <c r="C5" i="14"/>
  <c r="C6" i="14" s="1"/>
  <c r="C7" i="14" s="1"/>
  <c r="F18" i="18" l="1"/>
  <c r="G18" i="18" s="1"/>
  <c r="H18" i="18" s="1"/>
  <c r="I18" i="18" s="1"/>
  <c r="J18" i="18" s="1"/>
  <c r="K18" i="18" s="1"/>
  <c r="L18" i="18" s="1"/>
  <c r="M18" i="18" s="1"/>
  <c r="N18" i="18" s="1"/>
  <c r="K11" i="14"/>
  <c r="K12" i="14"/>
  <c r="K18" i="14" s="1"/>
  <c r="D11" i="14"/>
  <c r="D12" i="14"/>
  <c r="D18" i="14" s="1"/>
  <c r="G11" i="14"/>
  <c r="G12" i="14"/>
  <c r="G18" i="14" s="1"/>
  <c r="C23" i="14"/>
  <c r="D7" i="14"/>
  <c r="L11" i="14"/>
  <c r="L12" i="14"/>
  <c r="L18" i="14" s="1"/>
  <c r="M11" i="14"/>
  <c r="M12" i="14"/>
  <c r="M18" i="14" s="1"/>
  <c r="N11" i="14"/>
  <c r="N12" i="14"/>
  <c r="N18" i="14" s="1"/>
  <c r="F11" i="14"/>
  <c r="F12" i="14"/>
  <c r="F18" i="14" s="1"/>
  <c r="E12" i="14"/>
  <c r="E18" i="14" s="1"/>
  <c r="E11" i="14"/>
  <c r="J12" i="14"/>
  <c r="J18" i="14" s="1"/>
  <c r="J11" i="14"/>
  <c r="I12" i="14"/>
  <c r="I18" i="14" s="1"/>
  <c r="I11" i="14"/>
  <c r="H12" i="14"/>
  <c r="H18" i="14" s="1"/>
  <c r="H11" i="14"/>
  <c r="B7" i="14"/>
  <c r="C14" i="14" s="1"/>
  <c r="G28" i="14" l="1"/>
  <c r="G17" i="14"/>
  <c r="M17" i="14"/>
  <c r="M28" i="14"/>
  <c r="D28" i="14"/>
  <c r="D17" i="14"/>
  <c r="N17" i="14"/>
  <c r="N28" i="14"/>
  <c r="J17" i="14"/>
  <c r="J28" i="14"/>
  <c r="E17" i="14"/>
  <c r="E28" i="14"/>
  <c r="E7" i="14"/>
  <c r="D23" i="14"/>
  <c r="D29" i="14" s="1"/>
  <c r="C18" i="14"/>
  <c r="C11" i="14"/>
  <c r="L28" i="14"/>
  <c r="L17" i="14"/>
  <c r="K28" i="14"/>
  <c r="K17" i="14"/>
  <c r="I17" i="14"/>
  <c r="I28" i="14"/>
  <c r="H17" i="14"/>
  <c r="H28" i="14"/>
  <c r="F17" i="14"/>
  <c r="F28" i="14"/>
  <c r="F7" i="14" l="1"/>
  <c r="E23" i="14"/>
  <c r="E29" i="14" s="1"/>
  <c r="C28" i="14"/>
  <c r="C29" i="14" s="1"/>
  <c r="C17" i="14"/>
  <c r="G7" i="14" l="1"/>
  <c r="F23" i="14"/>
  <c r="F29" i="14" s="1"/>
  <c r="O28" i="14"/>
  <c r="G23" i="14" l="1"/>
  <c r="G29" i="14" s="1"/>
  <c r="H7" i="14"/>
  <c r="I7" i="14" l="1"/>
  <c r="H23" i="14"/>
  <c r="H29" i="14" l="1"/>
  <c r="I23" i="14"/>
  <c r="I29" i="14" s="1"/>
  <c r="J7" i="14"/>
  <c r="J23" i="14" l="1"/>
  <c r="J29" i="14" s="1"/>
  <c r="K7" i="14"/>
  <c r="L7" i="14" l="1"/>
  <c r="K23" i="14"/>
  <c r="K29" i="14" s="1"/>
  <c r="L23" i="14" l="1"/>
  <c r="L29" i="14" s="1"/>
  <c r="M7" i="14"/>
  <c r="M23" i="14" l="1"/>
  <c r="M29" i="14" s="1"/>
  <c r="N7" i="14"/>
  <c r="N23" i="14" s="1"/>
  <c r="N29" i="14" l="1"/>
  <c r="O23" i="14"/>
  <c r="O29" i="14" s="1"/>
</calcChain>
</file>

<file path=xl/sharedStrings.xml><?xml version="1.0" encoding="utf-8"?>
<sst xmlns="http://schemas.openxmlformats.org/spreadsheetml/2006/main" count="111" uniqueCount="92">
  <si>
    <t>Liste des coûts</t>
  </si>
  <si>
    <t>Liste des contraintes</t>
  </si>
  <si>
    <t>Salaire régulier</t>
  </si>
  <si>
    <t>par employé par période</t>
  </si>
  <si>
    <t>Temps supplémentaire</t>
  </si>
  <si>
    <t>Stockage</t>
  </si>
  <si>
    <t>par UE par période</t>
  </si>
  <si>
    <t>Temps mort</t>
  </si>
  <si>
    <t>Pénuries reportées</t>
  </si>
  <si>
    <t>Capacité d'entreposage</t>
  </si>
  <si>
    <t>UE</t>
  </si>
  <si>
    <t>Embauche</t>
  </si>
  <si>
    <t>par employé embauché</t>
  </si>
  <si>
    <t>Pénurie</t>
  </si>
  <si>
    <t>Mise à pied</t>
  </si>
  <si>
    <t>par employé licencié</t>
  </si>
  <si>
    <t>Nombre minimum d'employés</t>
  </si>
  <si>
    <t>employés</t>
  </si>
  <si>
    <t>Nombre maximum d'employés</t>
  </si>
  <si>
    <t>Autres données du problème</t>
  </si>
  <si>
    <t>Production par employé</t>
  </si>
  <si>
    <t>UE par période</t>
  </si>
  <si>
    <t>Nombre initial d'employés</t>
  </si>
  <si>
    <t>Stock initial</t>
  </si>
  <si>
    <t>Stock final</t>
  </si>
  <si>
    <t>Période</t>
  </si>
  <si>
    <t>Demande prévue (en UE)</t>
  </si>
  <si>
    <t>Plan global de production synchrone</t>
  </si>
  <si>
    <t>L'important est que votre solution respecte l'ensemble des contraintes.</t>
  </si>
  <si>
    <t>Initial</t>
  </si>
  <si>
    <t>Demande (en UE)</t>
  </si>
  <si>
    <t>Production (en UE)</t>
  </si>
  <si>
    <t>Stock (en UE)</t>
  </si>
  <si>
    <t>Nombre d'employés</t>
  </si>
  <si>
    <t>Embauches (en nombre d'employés)</t>
  </si>
  <si>
    <t>Mises à pied (en nombre d'employés)</t>
  </si>
  <si>
    <t>Temps supplémentaire (en nombre d'employés)</t>
  </si>
  <si>
    <t>Temps mort (en nombres d'employés)</t>
  </si>
  <si>
    <t>Nombre d'employés nécessaires</t>
  </si>
  <si>
    <t>Variation main d'œuvre (embauche)</t>
  </si>
  <si>
    <t>Variation main d'œuvre (mise à pied)</t>
  </si>
  <si>
    <t>Utilisation temps supplémentaire</t>
  </si>
  <si>
    <t>Utilisation temps mort</t>
  </si>
  <si>
    <t>Tableau des coûts associés</t>
  </si>
  <si>
    <t>Total</t>
  </si>
  <si>
    <t>Salaire - heures régulières</t>
  </si>
  <si>
    <t>Salaire - heures supplémentaires</t>
  </si>
  <si>
    <t>Plusieurs solutions possibles</t>
  </si>
  <si>
    <t>Variation de main d'œuvre*</t>
  </si>
  <si>
    <t xml:space="preserve">*Les variations de main-d'œuvre ne peuvent avoir lieu deux mois </t>
  </si>
  <si>
    <t>consécutifs.</t>
  </si>
  <si>
    <t>Demande totale</t>
  </si>
  <si>
    <t>Stock début</t>
  </si>
  <si>
    <t>Stock fin</t>
  </si>
  <si>
    <t>Production totale</t>
  </si>
  <si>
    <t xml:space="preserve">Production mensuelle </t>
  </si>
  <si>
    <t>À l’aide d’un calcul approprié, déterminez pour combien de mois il est économiquement préférable de payer du temps supplémentaire aux employés actuels</t>
  </si>
  <si>
    <t xml:space="preserve">plutôt que d’embaucher des employés et de les mettre à pied par la suite. </t>
  </si>
  <si>
    <t>Option 1 : Embauche suivie d'une mise à pied d'un employé</t>
  </si>
  <si>
    <t>Option 2 : Utilisation du temps supplémentaire pour l'équivalent d'un employé</t>
  </si>
  <si>
    <t>Durée</t>
  </si>
  <si>
    <t>1 mois</t>
  </si>
  <si>
    <t>2 mois</t>
  </si>
  <si>
    <t>3 mois</t>
  </si>
  <si>
    <t>OU</t>
  </si>
  <si>
    <t>Coût d’embauche</t>
  </si>
  <si>
    <t>Salaire</t>
  </si>
  <si>
    <t>Coût de mise à pied</t>
  </si>
  <si>
    <t>Total Option 1</t>
  </si>
  <si>
    <t>Salaire TS</t>
  </si>
  <si>
    <t>Total Option 2</t>
  </si>
  <si>
    <t>Si on veut augmenter la capacité pour deux mois ou moins, il sera plus économique d'utiliser le temps supplémentaire (option 2).</t>
  </si>
  <si>
    <t xml:space="preserve">Toutefois, si on veut augmenter la capacité pour trois mois consécutifs ou plus, il sera alors plus économique d’utiliser l'embauche suivie d'une mise à pied (option 1). </t>
  </si>
  <si>
    <t>Il faudre donc produire 12 450 unités équivalentes par mois.</t>
  </si>
  <si>
    <t>2 X 5 925 $</t>
  </si>
  <si>
    <t>3 X 5 925 $</t>
  </si>
  <si>
    <t>Prime de temps supplémentaire = 5 925 $ - 3 950 $ = 1 975 $ / mois</t>
  </si>
  <si>
    <t>1 975 $ / mois x = 3 100 $ + 2 300 $</t>
  </si>
  <si>
    <t>où x = 2,73 mois</t>
  </si>
  <si>
    <t xml:space="preserve">Le comité se demande s’il pourrait être souhaitable de hausser le plafond du nombre d’employés afin de diminuer l’utilisation du temps supplémentaire. </t>
  </si>
  <si>
    <t>a) Quelle sera la production mensuelle pour l'année 2027, si l'entreprise adopte une stratégie de nivellement?</t>
  </si>
  <si>
    <t>Présentez vos calculs.</t>
  </si>
  <si>
    <t>On remarque que le nombre d'unités en stock aux mois 4 et 5 dépasse la capacité de stockage de 12 000 unités équivalentes.</t>
  </si>
  <si>
    <t>De plus, les pénuries sont supérieures à 5 000 pour les mois 9 et 10.</t>
  </si>
  <si>
    <t>Le nombre d'employés nécessaire sera de 62,25.</t>
  </si>
  <si>
    <t xml:space="preserve">b) Si la stratégie de nivellement était choisie, est-ce que l’ensemble des contraintes du problème seraient respectées? </t>
  </si>
  <si>
    <t>Compact</t>
  </si>
  <si>
    <t>Confort</t>
  </si>
  <si>
    <t>Grand froid</t>
  </si>
  <si>
    <t>Si certaines d’entre elles ne sont pas respectées, mentionner lesquelles.</t>
  </si>
  <si>
    <t>La variation de main d'œuvre en début d'année sera de 24 % (12 / 50), ce qui est inférieur à 25%.</t>
  </si>
  <si>
    <t>Il n'y aura pas de temps mort et très peu de temps supplémentaire (0,25 / 62 = 0,4 %)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</si>
</sst>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* #,##0.00_)\ &quot;$&quot;_ ;_ * \(#,##0.00\)\ &quot;$&quot;_ ;_ * &quot;-&quot;??_)\ &quot;$&quot;_ ;_ @_ "/>
    <numFmt numFmtId="164" formatCode="#,##0.00\ &quot;$&quot;"/>
    <numFmt numFmtId="165" formatCode="_ * #,##0_)\ &quot;$&quot;_ ;_ * \(#,##0\)\ &quot;$&quot;_ ;_ * &quot;-&quot;??_)\ &quot;$&quot;_ ;_ @_ "/>
    <numFmt numFmtId="166" formatCode="0.000"/>
    <numFmt numFmtId="167" formatCode="#,##0\ &quot;$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i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44546A"/>
      <name val="Calibri"/>
      <family val="2"/>
      <scheme val="minor"/>
    </font>
    <font>
      <b/>
      <sz val="14"/>
      <color rgb="FF44546A"/>
      <name val="Calibri"/>
      <family val="2"/>
      <scheme val="minor"/>
    </font>
    <font>
      <b/>
      <sz val="14"/>
      <color rgb="FF548235"/>
      <name val="Calibri"/>
      <family val="2"/>
      <scheme val="minor"/>
    </font>
    <font>
      <b/>
      <sz val="16"/>
      <color rgb="FF44546A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4"/>
      <color rgb="FF0070C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8FFD1"/>
        <bgColor indexed="64"/>
      </patternFill>
    </fill>
    <fill>
      <patternFill patternType="solid">
        <fgColor rgb="FFE0D1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44" fontId="2" fillId="0" borderId="0" xfId="1" applyFont="1" applyFill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10" xfId="0" applyFont="1" applyBorder="1"/>
    <xf numFmtId="0" fontId="6" fillId="0" borderId="11" xfId="0" applyFont="1" applyBorder="1"/>
    <xf numFmtId="0" fontId="2" fillId="0" borderId="16" xfId="0" applyFont="1" applyBorder="1"/>
    <xf numFmtId="0" fontId="6" fillId="0" borderId="16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0" xfId="0" applyFont="1" applyBorder="1"/>
    <xf numFmtId="0" fontId="2" fillId="0" borderId="11" xfId="0" applyFont="1" applyBorder="1"/>
    <xf numFmtId="0" fontId="2" fillId="2" borderId="13" xfId="0" applyFont="1" applyFill="1" applyBorder="1"/>
    <xf numFmtId="164" fontId="2" fillId="0" borderId="0" xfId="0" applyNumberFormat="1" applyFont="1"/>
    <xf numFmtId="0" fontId="8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7" fillId="0" borderId="5" xfId="0" applyFont="1" applyBorder="1" applyAlignment="1">
      <alignment horizontal="center"/>
    </xf>
    <xf numFmtId="0" fontId="2" fillId="7" borderId="4" xfId="0" applyFont="1" applyFill="1" applyBorder="1"/>
    <xf numFmtId="0" fontId="2" fillId="6" borderId="4" xfId="0" applyFont="1" applyFill="1" applyBorder="1"/>
    <xf numFmtId="0" fontId="2" fillId="5" borderId="4" xfId="0" applyFont="1" applyFill="1" applyBorder="1"/>
    <xf numFmtId="0" fontId="2" fillId="4" borderId="4" xfId="0" applyFont="1" applyFill="1" applyBorder="1"/>
    <xf numFmtId="0" fontId="2" fillId="8" borderId="4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0" borderId="7" xfId="0" applyFont="1" applyBorder="1"/>
    <xf numFmtId="164" fontId="7" fillId="3" borderId="8" xfId="0" applyNumberFormat="1" applyFont="1" applyFill="1" applyBorder="1"/>
    <xf numFmtId="0" fontId="2" fillId="9" borderId="4" xfId="0" applyFont="1" applyFill="1" applyBorder="1"/>
    <xf numFmtId="164" fontId="7" fillId="9" borderId="5" xfId="0" applyNumberFormat="1" applyFont="1" applyFill="1" applyBorder="1"/>
    <xf numFmtId="165" fontId="2" fillId="2" borderId="10" xfId="1" applyNumberFormat="1" applyFont="1" applyFill="1" applyBorder="1"/>
    <xf numFmtId="165" fontId="2" fillId="2" borderId="0" xfId="1" applyNumberFormat="1" applyFont="1" applyFill="1" applyBorder="1"/>
    <xf numFmtId="165" fontId="2" fillId="2" borderId="13" xfId="1" applyNumberFormat="1" applyFont="1" applyFill="1" applyBorder="1"/>
    <xf numFmtId="0" fontId="6" fillId="0" borderId="12" xfId="0" applyFont="1" applyBorder="1"/>
    <xf numFmtId="0" fontId="6" fillId="0" borderId="13" xfId="0" applyFont="1" applyBorder="1"/>
    <xf numFmtId="165" fontId="2" fillId="2" borderId="0" xfId="0" applyNumberFormat="1" applyFont="1" applyFill="1"/>
    <xf numFmtId="0" fontId="3" fillId="0" borderId="15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3" fontId="2" fillId="6" borderId="5" xfId="0" applyNumberFormat="1" applyFont="1" applyFill="1" applyBorder="1" applyAlignment="1">
      <alignment horizontal="right"/>
    </xf>
    <xf numFmtId="3" fontId="2" fillId="7" borderId="5" xfId="0" applyNumberFormat="1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9" fontId="2" fillId="2" borderId="0" xfId="2" applyFont="1" applyFill="1" applyBorder="1"/>
    <xf numFmtId="9" fontId="2" fillId="2" borderId="10" xfId="2" applyFont="1" applyFill="1" applyBorder="1"/>
    <xf numFmtId="3" fontId="9" fillId="0" borderId="0" xfId="0" applyNumberFormat="1" applyFont="1" applyAlignment="1">
      <alignment horizontal="right" vertical="center" wrapText="1"/>
    </xf>
    <xf numFmtId="3" fontId="2" fillId="2" borderId="0" xfId="0" applyNumberFormat="1" applyFont="1" applyFill="1"/>
    <xf numFmtId="0" fontId="2" fillId="0" borderId="16" xfId="0" applyFont="1" applyBorder="1" applyAlignment="1">
      <alignment horizontal="left"/>
    </xf>
    <xf numFmtId="0" fontId="2" fillId="2" borderId="0" xfId="0" applyFont="1" applyFill="1"/>
    <xf numFmtId="0" fontId="2" fillId="0" borderId="14" xfId="0" applyFont="1" applyBorder="1" applyAlignment="1">
      <alignment horizontal="left"/>
    </xf>
    <xf numFmtId="166" fontId="2" fillId="8" borderId="7" xfId="0" applyNumberFormat="1" applyFont="1" applyFill="1" applyBorder="1" applyAlignment="1">
      <alignment horizontal="right"/>
    </xf>
    <xf numFmtId="166" fontId="6" fillId="0" borderId="0" xfId="0" applyNumberFormat="1" applyFont="1"/>
    <xf numFmtId="9" fontId="6" fillId="0" borderId="0" xfId="2" applyFont="1"/>
    <xf numFmtId="9" fontId="6" fillId="0" borderId="0" xfId="2" applyFont="1" applyFill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9" xfId="0" applyFont="1" applyBorder="1"/>
    <xf numFmtId="0" fontId="2" fillId="2" borderId="17" xfId="0" applyFont="1" applyFill="1" applyBorder="1" applyAlignment="1">
      <alignment horizontal="center"/>
    </xf>
    <xf numFmtId="0" fontId="2" fillId="0" borderId="15" xfId="0" applyFont="1" applyBorder="1"/>
    <xf numFmtId="0" fontId="2" fillId="2" borderId="21" xfId="0" applyFont="1" applyFill="1" applyBorder="1" applyAlignment="1">
      <alignment horizontal="center"/>
    </xf>
    <xf numFmtId="0" fontId="2" fillId="0" borderId="12" xfId="0" applyFont="1" applyBorder="1"/>
    <xf numFmtId="0" fontId="2" fillId="2" borderId="22" xfId="0" applyFont="1" applyFill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3" fontId="2" fillId="0" borderId="19" xfId="0" applyNumberFormat="1" applyFont="1" applyBorder="1" applyAlignment="1">
      <alignment horizontal="center"/>
    </xf>
    <xf numFmtId="3" fontId="2" fillId="2" borderId="10" xfId="0" applyNumberFormat="1" applyFont="1" applyFill="1" applyBorder="1"/>
    <xf numFmtId="3" fontId="2" fillId="0" borderId="0" xfId="0" applyNumberFormat="1" applyFont="1"/>
    <xf numFmtId="0" fontId="7" fillId="0" borderId="0" xfId="0" applyFont="1"/>
    <xf numFmtId="3" fontId="2" fillId="2" borderId="13" xfId="0" applyNumberFormat="1" applyFont="1" applyFill="1" applyBorder="1"/>
    <xf numFmtId="3" fontId="2" fillId="5" borderId="5" xfId="0" applyNumberFormat="1" applyFont="1" applyFill="1" applyBorder="1" applyAlignment="1">
      <alignment horizontal="right"/>
    </xf>
    <xf numFmtId="164" fontId="12" fillId="0" borderId="7" xfId="0" applyNumberFormat="1" applyFont="1" applyBorder="1"/>
    <xf numFmtId="0" fontId="13" fillId="0" borderId="0" xfId="0" applyFont="1"/>
    <xf numFmtId="3" fontId="2" fillId="0" borderId="18" xfId="0" applyNumberFormat="1" applyFont="1" applyBorder="1" applyAlignment="1">
      <alignment horizontal="center"/>
    </xf>
    <xf numFmtId="3" fontId="2" fillId="0" borderId="20" xfId="0" applyNumberFormat="1" applyFont="1" applyBorder="1" applyAlignment="1">
      <alignment horizontal="center"/>
    </xf>
    <xf numFmtId="166" fontId="2" fillId="8" borderId="5" xfId="0" applyNumberFormat="1" applyFont="1" applyFill="1" applyBorder="1" applyAlignment="1">
      <alignment horizontal="right"/>
    </xf>
    <xf numFmtId="166" fontId="2" fillId="8" borderId="8" xfId="0" applyNumberFormat="1" applyFont="1" applyFill="1" applyBorder="1" applyAlignment="1">
      <alignment horizontal="right"/>
    </xf>
    <xf numFmtId="0" fontId="14" fillId="0" borderId="23" xfId="0" applyFont="1" applyBorder="1" applyAlignment="1">
      <alignment horizontal="justify" vertical="center" wrapText="1"/>
    </xf>
    <xf numFmtId="0" fontId="14" fillId="0" borderId="24" xfId="0" applyFont="1" applyBorder="1" applyAlignment="1">
      <alignment horizontal="left" vertical="center" wrapText="1"/>
    </xf>
    <xf numFmtId="0" fontId="17" fillId="0" borderId="0" xfId="0" applyFont="1" applyAlignment="1">
      <alignment wrapText="1"/>
    </xf>
    <xf numFmtId="0" fontId="14" fillId="0" borderId="25" xfId="0" applyFont="1" applyBorder="1" applyAlignment="1">
      <alignment horizontal="justify" vertical="center" wrapText="1"/>
    </xf>
    <xf numFmtId="167" fontId="14" fillId="0" borderId="8" xfId="0" applyNumberFormat="1" applyFont="1" applyBorder="1" applyAlignment="1">
      <alignment horizontal="left" vertical="center" wrapText="1"/>
    </xf>
    <xf numFmtId="0" fontId="18" fillId="0" borderId="0" xfId="0" applyFont="1"/>
    <xf numFmtId="0" fontId="14" fillId="0" borderId="25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justify" vertical="center" wrapText="1"/>
    </xf>
    <xf numFmtId="167" fontId="13" fillId="0" borderId="8" xfId="0" applyNumberFormat="1" applyFont="1" applyBorder="1" applyAlignment="1">
      <alignment horizontal="left" vertical="center" wrapText="1"/>
    </xf>
    <xf numFmtId="167" fontId="16" fillId="0" borderId="8" xfId="0" applyNumberFormat="1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2" fillId="6" borderId="0" xfId="0" applyFont="1" applyFill="1"/>
    <xf numFmtId="3" fontId="2" fillId="6" borderId="0" xfId="0" applyNumberFormat="1" applyFont="1" applyFill="1" applyAlignment="1">
      <alignment horizontal="right"/>
    </xf>
    <xf numFmtId="0" fontId="2" fillId="7" borderId="0" xfId="0" applyFont="1" applyFill="1"/>
    <xf numFmtId="3" fontId="2" fillId="7" borderId="0" xfId="0" applyNumberFormat="1" applyFont="1" applyFill="1" applyAlignment="1">
      <alignment horizontal="right"/>
    </xf>
    <xf numFmtId="3" fontId="2" fillId="9" borderId="0" xfId="0" applyNumberFormat="1" applyFont="1" applyFill="1"/>
    <xf numFmtId="3" fontId="2" fillId="9" borderId="0" xfId="0" applyNumberFormat="1" applyFont="1" applyFill="1" applyAlignment="1">
      <alignment horizontal="right"/>
    </xf>
    <xf numFmtId="3" fontId="2" fillId="9" borderId="5" xfId="0" applyNumberFormat="1" applyFont="1" applyFill="1" applyBorder="1" applyAlignment="1">
      <alignment horizontal="right"/>
    </xf>
    <xf numFmtId="3" fontId="2" fillId="5" borderId="0" xfId="0" applyNumberFormat="1" applyFont="1" applyFill="1"/>
    <xf numFmtId="3" fontId="2" fillId="5" borderId="0" xfId="0" applyNumberFormat="1" applyFont="1" applyFill="1" applyAlignment="1">
      <alignment horizontal="right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8" borderId="0" xfId="0" applyFont="1" applyFill="1"/>
    <xf numFmtId="166" fontId="2" fillId="8" borderId="0" xfId="0" applyNumberFormat="1" applyFont="1" applyFill="1" applyAlignment="1">
      <alignment horizontal="right"/>
    </xf>
    <xf numFmtId="0" fontId="2" fillId="9" borderId="0" xfId="0" applyFont="1" applyFill="1"/>
    <xf numFmtId="164" fontId="10" fillId="9" borderId="0" xfId="0" applyNumberFormat="1" applyFont="1" applyFill="1"/>
    <xf numFmtId="164" fontId="10" fillId="4" borderId="0" xfId="0" applyNumberFormat="1" applyFont="1" applyFill="1"/>
    <xf numFmtId="164" fontId="7" fillId="4" borderId="5" xfId="0" applyNumberFormat="1" applyFont="1" applyFill="1" applyBorder="1"/>
    <xf numFmtId="0" fontId="2" fillId="5" borderId="0" xfId="0" applyFont="1" applyFill="1"/>
    <xf numFmtId="164" fontId="10" fillId="5" borderId="0" xfId="0" applyNumberFormat="1" applyFont="1" applyFill="1"/>
    <xf numFmtId="164" fontId="7" fillId="5" borderId="5" xfId="0" applyNumberFormat="1" applyFont="1" applyFill="1" applyBorder="1"/>
    <xf numFmtId="164" fontId="10" fillId="8" borderId="0" xfId="0" applyNumberFormat="1" applyFont="1" applyFill="1"/>
    <xf numFmtId="164" fontId="7" fillId="8" borderId="5" xfId="0" applyNumberFormat="1" applyFont="1" applyFill="1" applyBorder="1"/>
    <xf numFmtId="0" fontId="19" fillId="0" borderId="0" xfId="0" applyFont="1"/>
    <xf numFmtId="0" fontId="10" fillId="0" borderId="0" xfId="0" applyFont="1"/>
    <xf numFmtId="3" fontId="10" fillId="0" borderId="0" xfId="0" applyNumberFormat="1" applyFont="1"/>
    <xf numFmtId="3" fontId="10" fillId="10" borderId="0" xfId="0" applyNumberFormat="1" applyFont="1" applyFill="1"/>
    <xf numFmtId="0" fontId="19" fillId="11" borderId="0" xfId="0" applyFont="1" applyFill="1"/>
    <xf numFmtId="0" fontId="2" fillId="11" borderId="4" xfId="0" applyFont="1" applyFill="1" applyBorder="1"/>
    <xf numFmtId="0" fontId="0" fillId="11" borderId="0" xfId="0" applyFill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15" xfId="0" applyFont="1" applyBorder="1"/>
    <xf numFmtId="0" fontId="6" fillId="0" borderId="0" xfId="0" applyFont="1"/>
    <xf numFmtId="0" fontId="2" fillId="0" borderId="1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0" borderId="12" xfId="0" applyFont="1" applyBorder="1"/>
    <xf numFmtId="0" fontId="6" fillId="0" borderId="13" xfId="0" applyFont="1" applyBorder="1"/>
    <xf numFmtId="0" fontId="6" fillId="0" borderId="9" xfId="0" applyFont="1" applyBorder="1"/>
    <xf numFmtId="0" fontId="6" fillId="0" borderId="10" xfId="0" applyFont="1" applyBorder="1"/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</cellXfs>
  <cellStyles count="3">
    <cellStyle name="Monétaire" xfId="1" builtinId="4"/>
    <cellStyle name="Normal" xfId="0" builtinId="0"/>
    <cellStyle name="Pourcentage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FFD1"/>
      <color rgb="FFE0D1FF"/>
      <color rgb="FFDBC9FF"/>
      <color rgb="FFCCB3FF"/>
      <color rgb="FF9966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7"/>
  <sheetViews>
    <sheetView showGridLines="0" topLeftCell="A4" workbookViewId="0">
      <selection activeCell="C24" sqref="C24"/>
    </sheetView>
  </sheetViews>
  <sheetFormatPr baseColWidth="10" defaultColWidth="11.42578125" defaultRowHeight="18.75" x14ac:dyDescent="0.3"/>
  <cols>
    <col min="1" max="1" width="20.140625" style="1" customWidth="1"/>
    <col min="2" max="2" width="14.7109375" style="1" customWidth="1"/>
    <col min="3" max="3" width="16.28515625" style="1" bestFit="1" customWidth="1"/>
    <col min="4" max="5" width="12" style="1" bestFit="1" customWidth="1"/>
    <col min="6" max="6" width="11.5703125" style="1" customWidth="1"/>
    <col min="7" max="8" width="12" style="1" bestFit="1" customWidth="1"/>
    <col min="9" max="9" width="14.28515625" style="1" customWidth="1"/>
    <col min="10" max="12" width="13.7109375" style="1" customWidth="1"/>
    <col min="13" max="13" width="16.5703125" style="1" customWidth="1"/>
    <col min="14" max="14" width="12" style="1" bestFit="1" customWidth="1"/>
    <col min="15" max="16384" width="11.42578125" style="1"/>
  </cols>
  <sheetData>
    <row r="2" spans="1:14" x14ac:dyDescent="0.3">
      <c r="A2" s="4" t="s">
        <v>0</v>
      </c>
      <c r="B2" s="4"/>
      <c r="I2" s="4" t="s">
        <v>1</v>
      </c>
    </row>
    <row r="3" spans="1:14" x14ac:dyDescent="0.3">
      <c r="A3" s="5"/>
      <c r="B3" s="5"/>
    </row>
    <row r="4" spans="1:14" x14ac:dyDescent="0.3">
      <c r="A4" s="134" t="s">
        <v>2</v>
      </c>
      <c r="B4" s="135"/>
      <c r="C4" s="35">
        <v>3950</v>
      </c>
      <c r="D4" s="7" t="s">
        <v>3</v>
      </c>
      <c r="E4" s="7"/>
      <c r="F4" s="8"/>
      <c r="I4" s="138" t="s">
        <v>48</v>
      </c>
      <c r="J4" s="139"/>
      <c r="K4" s="139"/>
      <c r="L4" s="48">
        <v>0.25</v>
      </c>
      <c r="M4" s="14"/>
    </row>
    <row r="5" spans="1:14" x14ac:dyDescent="0.3">
      <c r="A5" s="128" t="s">
        <v>4</v>
      </c>
      <c r="B5" s="129"/>
      <c r="C5" s="40">
        <f>C4*1.5</f>
        <v>5925</v>
      </c>
      <c r="D5" s="6" t="s">
        <v>3</v>
      </c>
      <c r="F5" s="9"/>
      <c r="I5" s="130" t="s">
        <v>4</v>
      </c>
      <c r="J5" s="131"/>
      <c r="K5" s="131"/>
      <c r="L5" s="47">
        <v>0.2</v>
      </c>
      <c r="M5" s="9"/>
      <c r="N5" s="49"/>
    </row>
    <row r="6" spans="1:14" x14ac:dyDescent="0.3">
      <c r="A6" s="128" t="s">
        <v>5</v>
      </c>
      <c r="B6" s="129"/>
      <c r="C6" s="36">
        <v>26</v>
      </c>
      <c r="D6" s="6" t="s">
        <v>6</v>
      </c>
      <c r="E6" s="6"/>
      <c r="F6" s="10"/>
      <c r="I6" s="130" t="s">
        <v>7</v>
      </c>
      <c r="J6" s="131"/>
      <c r="K6" s="131"/>
      <c r="L6" s="47">
        <v>0.3</v>
      </c>
      <c r="M6" s="9"/>
      <c r="N6" s="49"/>
    </row>
    <row r="7" spans="1:14" x14ac:dyDescent="0.3">
      <c r="A7" s="128" t="s">
        <v>8</v>
      </c>
      <c r="B7" s="129"/>
      <c r="C7" s="36">
        <v>58</v>
      </c>
      <c r="D7" s="1" t="s">
        <v>6</v>
      </c>
      <c r="F7" s="9"/>
      <c r="I7" s="130" t="s">
        <v>9</v>
      </c>
      <c r="J7" s="131"/>
      <c r="K7" s="131"/>
      <c r="L7" s="50">
        <v>12000</v>
      </c>
      <c r="M7" s="51" t="s">
        <v>10</v>
      </c>
      <c r="N7" s="49"/>
    </row>
    <row r="8" spans="1:14" x14ac:dyDescent="0.3">
      <c r="A8" s="128" t="s">
        <v>11</v>
      </c>
      <c r="B8" s="129"/>
      <c r="C8" s="36">
        <v>3100</v>
      </c>
      <c r="D8" s="1" t="s">
        <v>12</v>
      </c>
      <c r="F8" s="9"/>
      <c r="I8" s="130" t="s">
        <v>13</v>
      </c>
      <c r="J8" s="131"/>
      <c r="K8" s="131"/>
      <c r="L8" s="50">
        <v>5000</v>
      </c>
      <c r="M8" s="51" t="s">
        <v>10</v>
      </c>
      <c r="N8" s="49"/>
    </row>
    <row r="9" spans="1:14" x14ac:dyDescent="0.3">
      <c r="A9" s="132" t="s">
        <v>14</v>
      </c>
      <c r="B9" s="133"/>
      <c r="C9" s="37">
        <v>2300</v>
      </c>
      <c r="D9" s="11" t="s">
        <v>15</v>
      </c>
      <c r="E9" s="11"/>
      <c r="F9" s="12"/>
      <c r="I9" s="130" t="s">
        <v>16</v>
      </c>
      <c r="J9" s="131"/>
      <c r="K9" s="131"/>
      <c r="L9" s="52">
        <v>50</v>
      </c>
      <c r="M9" s="51" t="s">
        <v>17</v>
      </c>
      <c r="N9" s="49"/>
    </row>
    <row r="10" spans="1:14" x14ac:dyDescent="0.3">
      <c r="A10" s="6"/>
      <c r="B10" s="6"/>
      <c r="C10" s="2"/>
      <c r="I10" s="136" t="s">
        <v>18</v>
      </c>
      <c r="J10" s="137"/>
      <c r="K10" s="137"/>
      <c r="L10" s="15">
        <v>90</v>
      </c>
      <c r="M10" s="53" t="s">
        <v>17</v>
      </c>
      <c r="N10" s="49"/>
    </row>
    <row r="11" spans="1:14" x14ac:dyDescent="0.3">
      <c r="A11" s="6"/>
      <c r="B11" s="6"/>
      <c r="C11" s="2"/>
    </row>
    <row r="12" spans="1:14" x14ac:dyDescent="0.3">
      <c r="A12" s="4" t="s">
        <v>19</v>
      </c>
      <c r="B12" s="4"/>
      <c r="I12" s="4" t="s">
        <v>49</v>
      </c>
    </row>
    <row r="13" spans="1:14" x14ac:dyDescent="0.3">
      <c r="A13" s="5"/>
      <c r="B13" s="5"/>
      <c r="I13" s="4" t="s">
        <v>50</v>
      </c>
    </row>
    <row r="14" spans="1:14" x14ac:dyDescent="0.3">
      <c r="A14" s="134" t="s">
        <v>20</v>
      </c>
      <c r="B14" s="135"/>
      <c r="C14" s="71">
        <v>200</v>
      </c>
      <c r="D14" s="13" t="s">
        <v>21</v>
      </c>
      <c r="E14" s="13"/>
      <c r="F14" s="14"/>
    </row>
    <row r="15" spans="1:14" x14ac:dyDescent="0.3">
      <c r="A15" s="128" t="s">
        <v>22</v>
      </c>
      <c r="B15" s="129"/>
      <c r="C15" s="50">
        <v>50</v>
      </c>
      <c r="D15" s="1" t="s">
        <v>17</v>
      </c>
      <c r="F15" s="9"/>
    </row>
    <row r="16" spans="1:14" x14ac:dyDescent="0.3">
      <c r="A16" s="128" t="s">
        <v>23</v>
      </c>
      <c r="B16" s="129"/>
      <c r="C16" s="50">
        <v>1250</v>
      </c>
      <c r="D16" s="1" t="s">
        <v>10</v>
      </c>
      <c r="F16" s="9"/>
      <c r="G16" s="41"/>
      <c r="H16" s="42"/>
      <c r="I16" s="42"/>
    </row>
    <row r="17" spans="1:14" x14ac:dyDescent="0.3">
      <c r="A17" s="38" t="s">
        <v>24</v>
      </c>
      <c r="B17" s="39"/>
      <c r="C17" s="74">
        <v>1550</v>
      </c>
      <c r="D17" s="11" t="s">
        <v>10</v>
      </c>
      <c r="E17" s="11"/>
      <c r="F17" s="12"/>
      <c r="G17" s="41"/>
      <c r="H17" s="42"/>
      <c r="I17" s="42"/>
    </row>
    <row r="18" spans="1:14" x14ac:dyDescent="0.3">
      <c r="A18" s="6"/>
      <c r="B18" s="6"/>
      <c r="G18" s="3"/>
      <c r="H18" s="3"/>
    </row>
    <row r="19" spans="1:14" x14ac:dyDescent="0.3">
      <c r="C19" s="125" t="s">
        <v>25</v>
      </c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7"/>
    </row>
    <row r="20" spans="1:14" x14ac:dyDescent="0.3">
      <c r="B20" s="58" t="s">
        <v>10</v>
      </c>
      <c r="C20" s="59">
        <v>1</v>
      </c>
      <c r="D20" s="60">
        <v>2</v>
      </c>
      <c r="E20" s="60">
        <v>3</v>
      </c>
      <c r="F20" s="60">
        <v>4</v>
      </c>
      <c r="G20" s="60">
        <v>5</v>
      </c>
      <c r="H20" s="60">
        <v>6</v>
      </c>
      <c r="I20" s="60">
        <v>7</v>
      </c>
      <c r="J20" s="60">
        <v>8</v>
      </c>
      <c r="K20" s="60">
        <v>9</v>
      </c>
      <c r="L20" s="60">
        <v>10</v>
      </c>
      <c r="M20" s="60">
        <v>11</v>
      </c>
      <c r="N20" s="61">
        <v>12</v>
      </c>
    </row>
    <row r="21" spans="1:14" x14ac:dyDescent="0.3">
      <c r="A21" s="62" t="s">
        <v>86</v>
      </c>
      <c r="B21" s="63">
        <v>1</v>
      </c>
      <c r="C21" s="65">
        <v>2600</v>
      </c>
      <c r="D21" s="65">
        <v>2400</v>
      </c>
      <c r="E21" s="65">
        <v>2100</v>
      </c>
      <c r="F21" s="65">
        <v>2800</v>
      </c>
      <c r="G21" s="65">
        <v>3300</v>
      </c>
      <c r="H21" s="65">
        <v>3600</v>
      </c>
      <c r="I21" s="65">
        <v>3900</v>
      </c>
      <c r="J21" s="65">
        <v>4500</v>
      </c>
      <c r="K21" s="65">
        <v>3100</v>
      </c>
      <c r="L21" s="65">
        <v>2500</v>
      </c>
      <c r="M21" s="65">
        <v>2000</v>
      </c>
      <c r="N21" s="65">
        <v>1700</v>
      </c>
    </row>
    <row r="22" spans="1:14" x14ac:dyDescent="0.3">
      <c r="A22" s="64" t="s">
        <v>87</v>
      </c>
      <c r="B22" s="65">
        <v>2</v>
      </c>
      <c r="C22" s="65">
        <v>1800</v>
      </c>
      <c r="D22" s="65">
        <v>1600</v>
      </c>
      <c r="E22" s="65">
        <v>1500</v>
      </c>
      <c r="F22" s="65">
        <v>2200</v>
      </c>
      <c r="G22" s="65">
        <v>2600</v>
      </c>
      <c r="H22" s="65">
        <v>3100</v>
      </c>
      <c r="I22" s="65">
        <v>3400</v>
      </c>
      <c r="J22" s="65">
        <v>3700</v>
      </c>
      <c r="K22" s="65">
        <v>2900</v>
      </c>
      <c r="L22" s="65">
        <v>2100</v>
      </c>
      <c r="M22" s="65">
        <v>1700</v>
      </c>
      <c r="N22" s="65">
        <v>1200</v>
      </c>
    </row>
    <row r="23" spans="1:14" x14ac:dyDescent="0.3">
      <c r="A23" s="66" t="s">
        <v>88</v>
      </c>
      <c r="B23" s="67">
        <v>4</v>
      </c>
      <c r="C23" s="65">
        <v>900</v>
      </c>
      <c r="D23" s="65">
        <v>850</v>
      </c>
      <c r="E23" s="65">
        <v>800</v>
      </c>
      <c r="F23" s="65">
        <v>950</v>
      </c>
      <c r="G23" s="65">
        <v>1200</v>
      </c>
      <c r="H23" s="65">
        <v>1500</v>
      </c>
      <c r="I23" s="65">
        <v>1700</v>
      </c>
      <c r="J23" s="65">
        <v>1900</v>
      </c>
      <c r="K23" s="65">
        <v>1600</v>
      </c>
      <c r="L23" s="65">
        <v>1300</v>
      </c>
      <c r="M23" s="65">
        <v>1100</v>
      </c>
      <c r="N23" s="65">
        <v>950</v>
      </c>
    </row>
    <row r="24" spans="1:14" x14ac:dyDescent="0.3">
      <c r="A24" s="68" t="s">
        <v>26</v>
      </c>
      <c r="B24" s="69"/>
      <c r="C24" s="78">
        <f>SUMPRODUCT($B21:$B23,C21:C23)</f>
        <v>9800</v>
      </c>
      <c r="D24" s="70">
        <f t="shared" ref="D24:N24" si="0">SUMPRODUCT($B21:$B23,D21:D23)</f>
        <v>9000</v>
      </c>
      <c r="E24" s="70">
        <f t="shared" si="0"/>
        <v>8300</v>
      </c>
      <c r="F24" s="70">
        <f t="shared" si="0"/>
        <v>11000</v>
      </c>
      <c r="G24" s="70">
        <f t="shared" si="0"/>
        <v>13300</v>
      </c>
      <c r="H24" s="70">
        <f t="shared" si="0"/>
        <v>15800</v>
      </c>
      <c r="I24" s="70">
        <f t="shared" si="0"/>
        <v>17500</v>
      </c>
      <c r="J24" s="70">
        <f t="shared" si="0"/>
        <v>19500</v>
      </c>
      <c r="K24" s="70">
        <f t="shared" si="0"/>
        <v>15300</v>
      </c>
      <c r="L24" s="70">
        <f t="shared" si="0"/>
        <v>11900</v>
      </c>
      <c r="M24" s="70">
        <f t="shared" si="0"/>
        <v>9800</v>
      </c>
      <c r="N24" s="79">
        <f t="shared" si="0"/>
        <v>7900</v>
      </c>
    </row>
    <row r="26" spans="1:14" x14ac:dyDescent="0.3">
      <c r="C26" s="72"/>
    </row>
    <row r="27" spans="1:14" x14ac:dyDescent="0.3">
      <c r="C27" s="72"/>
    </row>
  </sheetData>
  <mergeCells count="17">
    <mergeCell ref="I4:K4"/>
    <mergeCell ref="I5:K5"/>
    <mergeCell ref="I6:K6"/>
    <mergeCell ref="A4:B4"/>
    <mergeCell ref="A5:B5"/>
    <mergeCell ref="A6:B6"/>
    <mergeCell ref="C19:N19"/>
    <mergeCell ref="A7:B7"/>
    <mergeCell ref="A8:B8"/>
    <mergeCell ref="I7:K7"/>
    <mergeCell ref="I8:K8"/>
    <mergeCell ref="I9:K9"/>
    <mergeCell ref="A9:B9"/>
    <mergeCell ref="A14:B14"/>
    <mergeCell ref="A15:B15"/>
    <mergeCell ref="A16:B16"/>
    <mergeCell ref="I10:K10"/>
  </mergeCells>
  <phoneticPr fontId="11" type="noConversion"/>
  <conditionalFormatting sqref="G16:G17 G18:H18">
    <cfRule type="containsText" dxfId="5" priority="1" operator="containsText" text="Attention">
      <formula>NOT(ISERROR(SEARCH("Attention",G16)))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43225-32C5-4549-8D36-AAE9C1E1174D}">
  <dimension ref="A1:N26"/>
  <sheetViews>
    <sheetView showGridLines="0" tabSelected="1" workbookViewId="0">
      <selection activeCell="B30" sqref="B30"/>
    </sheetView>
  </sheetViews>
  <sheetFormatPr baseColWidth="10" defaultColWidth="11.42578125" defaultRowHeight="15" x14ac:dyDescent="0.25"/>
  <cols>
    <col min="1" max="1" width="24.28515625" customWidth="1"/>
    <col min="2" max="2" width="14.7109375" customWidth="1"/>
  </cols>
  <sheetData>
    <row r="1" spans="1:14" ht="18.75" x14ac:dyDescent="0.3">
      <c r="A1" s="4" t="s">
        <v>80</v>
      </c>
    </row>
    <row r="2" spans="1:14" ht="18.75" x14ac:dyDescent="0.3">
      <c r="A2" s="4" t="s">
        <v>81</v>
      </c>
    </row>
    <row r="4" spans="1:14" ht="18.75" x14ac:dyDescent="0.3">
      <c r="A4" s="1"/>
      <c r="C4" s="72"/>
    </row>
    <row r="5" spans="1:14" ht="15.75" x14ac:dyDescent="0.25">
      <c r="A5" s="117" t="s">
        <v>51</v>
      </c>
      <c r="B5" s="117"/>
      <c r="C5" s="118">
        <f>SUM('Données du problème'!C24:N24)</f>
        <v>149100</v>
      </c>
    </row>
    <row r="6" spans="1:14" ht="15.75" x14ac:dyDescent="0.25">
      <c r="A6" s="117" t="s">
        <v>52</v>
      </c>
      <c r="B6" s="117"/>
      <c r="C6" s="118">
        <f>'Données du problème'!C16</f>
        <v>1250</v>
      </c>
    </row>
    <row r="7" spans="1:14" ht="15.75" x14ac:dyDescent="0.25">
      <c r="A7" s="117" t="s">
        <v>53</v>
      </c>
      <c r="B7" s="117"/>
      <c r="C7" s="118">
        <f>'Données du problème'!C17</f>
        <v>1550</v>
      </c>
    </row>
    <row r="8" spans="1:14" ht="15.75" x14ac:dyDescent="0.25">
      <c r="A8" s="117" t="s">
        <v>54</v>
      </c>
      <c r="B8" s="117"/>
      <c r="C8" s="118">
        <f>C5-C6+C7</f>
        <v>149400</v>
      </c>
    </row>
    <row r="9" spans="1:14" ht="15.75" x14ac:dyDescent="0.25">
      <c r="A9" s="117" t="s">
        <v>55</v>
      </c>
      <c r="B9" s="117"/>
      <c r="C9" s="118">
        <f>C8/12</f>
        <v>12450</v>
      </c>
    </row>
    <row r="11" spans="1:14" ht="18.75" x14ac:dyDescent="0.3">
      <c r="A11" s="73" t="s">
        <v>73</v>
      </c>
    </row>
    <row r="13" spans="1:14" ht="18.75" x14ac:dyDescent="0.3">
      <c r="A13" s="4" t="s">
        <v>85</v>
      </c>
    </row>
    <row r="14" spans="1:14" ht="18.75" x14ac:dyDescent="0.3">
      <c r="A14" s="116" t="s">
        <v>89</v>
      </c>
    </row>
    <row r="15" spans="1:14" ht="18.75" x14ac:dyDescent="0.3">
      <c r="A15" s="120"/>
    </row>
    <row r="16" spans="1:14" ht="18.75" x14ac:dyDescent="0.3">
      <c r="A16" s="121" t="s">
        <v>30</v>
      </c>
      <c r="B16" s="117"/>
      <c r="C16" s="118">
        <v>9800</v>
      </c>
      <c r="D16" s="118">
        <v>9000</v>
      </c>
      <c r="E16" s="118">
        <v>8300</v>
      </c>
      <c r="F16" s="118">
        <v>11000</v>
      </c>
      <c r="G16" s="118">
        <v>13300</v>
      </c>
      <c r="H16" s="118">
        <v>15800</v>
      </c>
      <c r="I16" s="118">
        <v>17500</v>
      </c>
      <c r="J16" s="118">
        <v>19500</v>
      </c>
      <c r="K16" s="118">
        <v>15300</v>
      </c>
      <c r="L16" s="118">
        <v>11900</v>
      </c>
      <c r="M16" s="118">
        <v>9800</v>
      </c>
      <c r="N16" s="118">
        <v>7900</v>
      </c>
    </row>
    <row r="17" spans="1:14" ht="18.75" x14ac:dyDescent="0.3">
      <c r="A17" s="121" t="s">
        <v>31</v>
      </c>
      <c r="B17" s="117"/>
      <c r="C17" s="118">
        <f>$C9</f>
        <v>12450</v>
      </c>
      <c r="D17" s="118">
        <f t="shared" ref="D17:N17" si="0">$C9</f>
        <v>12450</v>
      </c>
      <c r="E17" s="118">
        <f t="shared" si="0"/>
        <v>12450</v>
      </c>
      <c r="F17" s="118">
        <f t="shared" si="0"/>
        <v>12450</v>
      </c>
      <c r="G17" s="118">
        <f t="shared" si="0"/>
        <v>12450</v>
      </c>
      <c r="H17" s="118">
        <f t="shared" si="0"/>
        <v>12450</v>
      </c>
      <c r="I17" s="118">
        <f t="shared" si="0"/>
        <v>12450</v>
      </c>
      <c r="J17" s="118">
        <f t="shared" si="0"/>
        <v>12450</v>
      </c>
      <c r="K17" s="118">
        <f t="shared" si="0"/>
        <v>12450</v>
      </c>
      <c r="L17" s="118">
        <f t="shared" si="0"/>
        <v>12450</v>
      </c>
      <c r="M17" s="118">
        <f t="shared" si="0"/>
        <v>12450</v>
      </c>
      <c r="N17" s="118">
        <f t="shared" si="0"/>
        <v>12450</v>
      </c>
    </row>
    <row r="18" spans="1:14" ht="18.75" x14ac:dyDescent="0.3">
      <c r="A18" s="121" t="s">
        <v>32</v>
      </c>
      <c r="B18" s="118">
        <f>'Données du problème'!C16</f>
        <v>1250</v>
      </c>
      <c r="C18" s="118">
        <f>B18+C17-C16</f>
        <v>3900</v>
      </c>
      <c r="D18" s="118">
        <f t="shared" ref="D18:N18" si="1">C18+D17-D16</f>
        <v>7350</v>
      </c>
      <c r="E18" s="118">
        <f t="shared" si="1"/>
        <v>11500</v>
      </c>
      <c r="F18" s="119">
        <f t="shared" si="1"/>
        <v>12950</v>
      </c>
      <c r="G18" s="119">
        <f t="shared" si="1"/>
        <v>12100</v>
      </c>
      <c r="H18" s="118">
        <f t="shared" si="1"/>
        <v>8750</v>
      </c>
      <c r="I18" s="118">
        <f t="shared" si="1"/>
        <v>3700</v>
      </c>
      <c r="J18" s="118">
        <f t="shared" si="1"/>
        <v>-3350</v>
      </c>
      <c r="K18" s="119">
        <f t="shared" si="1"/>
        <v>-6200</v>
      </c>
      <c r="L18" s="119">
        <f t="shared" si="1"/>
        <v>-5650</v>
      </c>
      <c r="M18" s="118">
        <f t="shared" si="1"/>
        <v>-3000</v>
      </c>
      <c r="N18" s="118">
        <f t="shared" si="1"/>
        <v>1550</v>
      </c>
    </row>
    <row r="19" spans="1:14" x14ac:dyDescent="0.25">
      <c r="A19" s="122"/>
    </row>
    <row r="21" spans="1:14" ht="15.75" x14ac:dyDescent="0.25">
      <c r="A21" s="117" t="s">
        <v>82</v>
      </c>
    </row>
    <row r="22" spans="1:14" ht="15.75" x14ac:dyDescent="0.25">
      <c r="A22" s="117" t="s">
        <v>83</v>
      </c>
    </row>
    <row r="23" spans="1:14" ht="15.75" x14ac:dyDescent="0.25">
      <c r="A23" s="117"/>
    </row>
    <row r="24" spans="1:14" ht="15.75" x14ac:dyDescent="0.25">
      <c r="A24" s="117" t="s">
        <v>84</v>
      </c>
    </row>
    <row r="25" spans="1:14" ht="15.75" x14ac:dyDescent="0.25">
      <c r="A25" s="117" t="s">
        <v>90</v>
      </c>
    </row>
    <row r="26" spans="1:14" ht="15.75" x14ac:dyDescent="0.25">
      <c r="A26" s="117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0"/>
  <sheetViews>
    <sheetView zoomScale="90" zoomScaleNormal="90" workbookViewId="0">
      <pane xSplit="1" topLeftCell="B1" activePane="topRight" state="frozen"/>
      <selection pane="topRight" activeCell="C12" sqref="C12"/>
    </sheetView>
  </sheetViews>
  <sheetFormatPr baseColWidth="10" defaultColWidth="11.42578125" defaultRowHeight="18.75" x14ac:dyDescent="0.3"/>
  <cols>
    <col min="1" max="1" width="67.85546875" style="1" customWidth="1"/>
    <col min="2" max="2" width="11.42578125" style="1"/>
    <col min="3" max="3" width="17.85546875" style="1" bestFit="1" customWidth="1"/>
    <col min="4" max="14" width="16" style="1" bestFit="1" customWidth="1"/>
    <col min="15" max="15" width="22.7109375" style="1" customWidth="1"/>
    <col min="16" max="16384" width="11.42578125" style="1"/>
  </cols>
  <sheetData>
    <row r="1" spans="1:14" x14ac:dyDescent="0.3">
      <c r="A1" s="4" t="s">
        <v>27</v>
      </c>
    </row>
    <row r="2" spans="1:14" ht="19.5" thickBot="1" x14ac:dyDescent="0.35">
      <c r="A2" s="77" t="s">
        <v>47</v>
      </c>
      <c r="B2" s="77" t="s">
        <v>28</v>
      </c>
    </row>
    <row r="3" spans="1:14" x14ac:dyDescent="0.3">
      <c r="A3" s="18"/>
      <c r="B3" s="19"/>
      <c r="C3" s="123" t="s">
        <v>25</v>
      </c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4"/>
    </row>
    <row r="4" spans="1:14" x14ac:dyDescent="0.3">
      <c r="A4" s="20"/>
      <c r="B4" s="93" t="s">
        <v>29</v>
      </c>
      <c r="C4" s="93">
        <v>1</v>
      </c>
      <c r="D4" s="93">
        <v>2</v>
      </c>
      <c r="E4" s="93">
        <v>3</v>
      </c>
      <c r="F4" s="93">
        <v>4</v>
      </c>
      <c r="G4" s="93">
        <v>5</v>
      </c>
      <c r="H4" s="93">
        <v>6</v>
      </c>
      <c r="I4" s="93">
        <v>7</v>
      </c>
      <c r="J4" s="93">
        <v>8</v>
      </c>
      <c r="K4" s="93">
        <v>9</v>
      </c>
      <c r="L4" s="93">
        <v>10</v>
      </c>
      <c r="M4" s="93">
        <v>11</v>
      </c>
      <c r="N4" s="21">
        <v>12</v>
      </c>
    </row>
    <row r="5" spans="1:14" x14ac:dyDescent="0.3">
      <c r="A5" s="23" t="s">
        <v>30</v>
      </c>
      <c r="B5" s="94"/>
      <c r="C5" s="95">
        <f>'Données du problème'!C24</f>
        <v>9800</v>
      </c>
      <c r="D5" s="95">
        <f>'Données du problème'!D24</f>
        <v>9000</v>
      </c>
      <c r="E5" s="95">
        <f>'Données du problème'!E24</f>
        <v>8300</v>
      </c>
      <c r="F5" s="95">
        <f>'Données du problème'!F24</f>
        <v>11000</v>
      </c>
      <c r="G5" s="95">
        <f>'Données du problème'!G24</f>
        <v>13300</v>
      </c>
      <c r="H5" s="95">
        <f>'Données du problème'!H24</f>
        <v>15800</v>
      </c>
      <c r="I5" s="95">
        <f>'Données du problème'!I24</f>
        <v>17500</v>
      </c>
      <c r="J5" s="95">
        <f>'Données du problème'!J24</f>
        <v>19500</v>
      </c>
      <c r="K5" s="95">
        <f>'Données du problème'!K24</f>
        <v>15300</v>
      </c>
      <c r="L5" s="95">
        <f>'Données du problème'!L24</f>
        <v>11900</v>
      </c>
      <c r="M5" s="95">
        <f>'Données du problème'!M24</f>
        <v>9800</v>
      </c>
      <c r="N5" s="44">
        <f>'Données du problème'!N24</f>
        <v>7900</v>
      </c>
    </row>
    <row r="6" spans="1:14" x14ac:dyDescent="0.3">
      <c r="A6" s="22" t="s">
        <v>31</v>
      </c>
      <c r="B6" s="96"/>
      <c r="C6" s="97">
        <f>C5-B7</f>
        <v>8550</v>
      </c>
      <c r="D6" s="97">
        <f>D5</f>
        <v>9000</v>
      </c>
      <c r="E6" s="97">
        <f t="shared" ref="E6:M6" si="0">E5</f>
        <v>8300</v>
      </c>
      <c r="F6" s="97">
        <f t="shared" si="0"/>
        <v>11000</v>
      </c>
      <c r="G6" s="97">
        <f t="shared" si="0"/>
        <v>13300</v>
      </c>
      <c r="H6" s="97">
        <f t="shared" si="0"/>
        <v>15800</v>
      </c>
      <c r="I6" s="97">
        <f t="shared" si="0"/>
        <v>17500</v>
      </c>
      <c r="J6" s="97">
        <f t="shared" si="0"/>
        <v>19500</v>
      </c>
      <c r="K6" s="97">
        <f t="shared" si="0"/>
        <v>15300</v>
      </c>
      <c r="L6" s="97">
        <f t="shared" si="0"/>
        <v>11900</v>
      </c>
      <c r="M6" s="97">
        <f t="shared" si="0"/>
        <v>9800</v>
      </c>
      <c r="N6" s="45">
        <f>N5+'Données du problème'!C17</f>
        <v>9450</v>
      </c>
    </row>
    <row r="7" spans="1:14" x14ac:dyDescent="0.3">
      <c r="A7" s="33" t="s">
        <v>32</v>
      </c>
      <c r="B7" s="98">
        <f>'Données du problème'!C16</f>
        <v>1250</v>
      </c>
      <c r="C7" s="99">
        <f>B7+C6-C5</f>
        <v>0</v>
      </c>
      <c r="D7" s="99">
        <f t="shared" ref="D7:N7" si="1">C7+D6-D5</f>
        <v>0</v>
      </c>
      <c r="E7" s="99">
        <f t="shared" si="1"/>
        <v>0</v>
      </c>
      <c r="F7" s="99">
        <f t="shared" si="1"/>
        <v>0</v>
      </c>
      <c r="G7" s="99">
        <f t="shared" si="1"/>
        <v>0</v>
      </c>
      <c r="H7" s="99">
        <f t="shared" si="1"/>
        <v>0</v>
      </c>
      <c r="I7" s="99">
        <f t="shared" si="1"/>
        <v>0</v>
      </c>
      <c r="J7" s="99">
        <f t="shared" si="1"/>
        <v>0</v>
      </c>
      <c r="K7" s="99">
        <f t="shared" si="1"/>
        <v>0</v>
      </c>
      <c r="L7" s="99">
        <f t="shared" si="1"/>
        <v>0</v>
      </c>
      <c r="M7" s="99">
        <f t="shared" si="1"/>
        <v>0</v>
      </c>
      <c r="N7" s="100">
        <f t="shared" si="1"/>
        <v>1550</v>
      </c>
    </row>
    <row r="8" spans="1:14" x14ac:dyDescent="0.3">
      <c r="A8" s="24" t="s">
        <v>33</v>
      </c>
      <c r="B8" s="101">
        <f>'Données du problème'!C15</f>
        <v>50</v>
      </c>
      <c r="C8" s="102">
        <v>50</v>
      </c>
      <c r="D8" s="102">
        <v>50</v>
      </c>
      <c r="E8" s="102">
        <v>50</v>
      </c>
      <c r="F8" s="102">
        <v>60</v>
      </c>
      <c r="G8" s="102">
        <v>60</v>
      </c>
      <c r="H8" s="102">
        <v>75</v>
      </c>
      <c r="I8" s="102">
        <v>75</v>
      </c>
      <c r="J8" s="102">
        <v>90</v>
      </c>
      <c r="K8" s="102">
        <v>90</v>
      </c>
      <c r="L8" s="102">
        <v>70</v>
      </c>
      <c r="M8" s="102">
        <v>70</v>
      </c>
      <c r="N8" s="75">
        <v>55</v>
      </c>
    </row>
    <row r="9" spans="1:14" x14ac:dyDescent="0.3">
      <c r="A9" s="25" t="s">
        <v>34</v>
      </c>
      <c r="B9" s="103"/>
      <c r="C9" s="104">
        <f>IF(C8&gt;B8,C8-B8,0)</f>
        <v>0</v>
      </c>
      <c r="D9" s="104">
        <f t="shared" ref="D9:N9" si="2">IF(D8&gt;C8,D8-C8,0)</f>
        <v>0</v>
      </c>
      <c r="E9" s="104">
        <f t="shared" si="2"/>
        <v>0</v>
      </c>
      <c r="F9" s="104">
        <f t="shared" si="2"/>
        <v>10</v>
      </c>
      <c r="G9" s="104">
        <f t="shared" si="2"/>
        <v>0</v>
      </c>
      <c r="H9" s="104">
        <f t="shared" si="2"/>
        <v>15</v>
      </c>
      <c r="I9" s="104">
        <f t="shared" si="2"/>
        <v>0</v>
      </c>
      <c r="J9" s="104">
        <f t="shared" si="2"/>
        <v>15</v>
      </c>
      <c r="K9" s="104">
        <f t="shared" si="2"/>
        <v>0</v>
      </c>
      <c r="L9" s="104">
        <f t="shared" si="2"/>
        <v>0</v>
      </c>
      <c r="M9" s="104">
        <f t="shared" si="2"/>
        <v>0</v>
      </c>
      <c r="N9" s="46">
        <f t="shared" si="2"/>
        <v>0</v>
      </c>
    </row>
    <row r="10" spans="1:14" x14ac:dyDescent="0.3">
      <c r="A10" s="25" t="s">
        <v>35</v>
      </c>
      <c r="B10" s="103"/>
      <c r="C10" s="104">
        <f t="shared" ref="C10:N10" si="3">IF(B8&gt;C8,B8-C8,0)</f>
        <v>0</v>
      </c>
      <c r="D10" s="104">
        <f t="shared" si="3"/>
        <v>0</v>
      </c>
      <c r="E10" s="104">
        <f t="shared" si="3"/>
        <v>0</v>
      </c>
      <c r="F10" s="104">
        <f t="shared" si="3"/>
        <v>0</v>
      </c>
      <c r="G10" s="104">
        <f t="shared" si="3"/>
        <v>0</v>
      </c>
      <c r="H10" s="104">
        <f t="shared" si="3"/>
        <v>0</v>
      </c>
      <c r="I10" s="104">
        <f t="shared" si="3"/>
        <v>0</v>
      </c>
      <c r="J10" s="104">
        <f t="shared" si="3"/>
        <v>0</v>
      </c>
      <c r="K10" s="104">
        <f t="shared" si="3"/>
        <v>0</v>
      </c>
      <c r="L10" s="104">
        <f>IF(K8&gt;L8,K8-L8,0)</f>
        <v>20</v>
      </c>
      <c r="M10" s="104">
        <f t="shared" si="3"/>
        <v>0</v>
      </c>
      <c r="N10" s="46">
        <f t="shared" si="3"/>
        <v>15</v>
      </c>
    </row>
    <row r="11" spans="1:14" x14ac:dyDescent="0.3">
      <c r="A11" s="26" t="s">
        <v>36</v>
      </c>
      <c r="B11" s="105"/>
      <c r="C11" s="106">
        <f>IF(C14&gt;C8,C14-C8,0)</f>
        <v>0</v>
      </c>
      <c r="D11" s="106">
        <f t="shared" ref="D11:N11" si="4">IF(D14&gt;D8,D14-D8,0)</f>
        <v>0</v>
      </c>
      <c r="E11" s="106">
        <f t="shared" si="4"/>
        <v>0</v>
      </c>
      <c r="F11" s="106">
        <f t="shared" si="4"/>
        <v>0</v>
      </c>
      <c r="G11" s="106">
        <f t="shared" si="4"/>
        <v>6.5</v>
      </c>
      <c r="H11" s="106">
        <f t="shared" si="4"/>
        <v>4</v>
      </c>
      <c r="I11" s="106">
        <f t="shared" si="4"/>
        <v>12.5</v>
      </c>
      <c r="J11" s="106">
        <f t="shared" si="4"/>
        <v>7.5</v>
      </c>
      <c r="K11" s="106">
        <f t="shared" si="4"/>
        <v>0</v>
      </c>
      <c r="L11" s="106">
        <f t="shared" si="4"/>
        <v>0</v>
      </c>
      <c r="M11" s="106">
        <f t="shared" si="4"/>
        <v>0</v>
      </c>
      <c r="N11" s="80">
        <f t="shared" si="4"/>
        <v>0</v>
      </c>
    </row>
    <row r="12" spans="1:14" ht="19.5" thickBot="1" x14ac:dyDescent="0.35">
      <c r="A12" s="27" t="s">
        <v>37</v>
      </c>
      <c r="B12" s="28"/>
      <c r="C12" s="54">
        <f>IF(C8&gt;C14,C8-C14,0)</f>
        <v>7.25</v>
      </c>
      <c r="D12" s="54">
        <f t="shared" ref="D12:N12" si="5">IF(D8&gt;D14,D8-D14,0)</f>
        <v>5</v>
      </c>
      <c r="E12" s="54">
        <f t="shared" si="5"/>
        <v>8.5</v>
      </c>
      <c r="F12" s="54">
        <f t="shared" si="5"/>
        <v>5</v>
      </c>
      <c r="G12" s="54">
        <f t="shared" si="5"/>
        <v>0</v>
      </c>
      <c r="H12" s="54">
        <f t="shared" si="5"/>
        <v>0</v>
      </c>
      <c r="I12" s="54">
        <f t="shared" si="5"/>
        <v>0</v>
      </c>
      <c r="J12" s="54">
        <f t="shared" si="5"/>
        <v>0</v>
      </c>
      <c r="K12" s="54">
        <f t="shared" si="5"/>
        <v>13.5</v>
      </c>
      <c r="L12" s="54">
        <f t="shared" si="5"/>
        <v>10.5</v>
      </c>
      <c r="M12" s="54">
        <f t="shared" si="5"/>
        <v>21</v>
      </c>
      <c r="N12" s="81">
        <f t="shared" si="5"/>
        <v>7.75</v>
      </c>
    </row>
    <row r="13" spans="1:14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x14ac:dyDescent="0.3">
      <c r="A14" s="43" t="s">
        <v>38</v>
      </c>
      <c r="B14" s="55"/>
      <c r="C14" s="55">
        <f>C6/'Données du problème'!$C14</f>
        <v>42.75</v>
      </c>
      <c r="D14" s="55">
        <f>D6/'Données du problème'!$C14</f>
        <v>45</v>
      </c>
      <c r="E14" s="55">
        <f>E6/'Données du problème'!$C14</f>
        <v>41.5</v>
      </c>
      <c r="F14" s="55">
        <f>F6/'Données du problème'!$C14</f>
        <v>55</v>
      </c>
      <c r="G14" s="55">
        <f>G6/'Données du problème'!$C14</f>
        <v>66.5</v>
      </c>
      <c r="H14" s="55">
        <f>H6/'Données du problème'!$C14</f>
        <v>79</v>
      </c>
      <c r="I14" s="55">
        <f>I6/'Données du problème'!$C14</f>
        <v>87.5</v>
      </c>
      <c r="J14" s="55">
        <f>J6/'Données du problème'!$C14</f>
        <v>97.5</v>
      </c>
      <c r="K14" s="55">
        <f>K6/'Données du problème'!$C14</f>
        <v>76.5</v>
      </c>
      <c r="L14" s="55">
        <f>L6/'Données du problème'!$C14</f>
        <v>59.5</v>
      </c>
      <c r="M14" s="55">
        <f>M6/'Données du problème'!$C14</f>
        <v>49</v>
      </c>
      <c r="N14" s="55">
        <f>N6/'Données du problème'!$C14</f>
        <v>47.25</v>
      </c>
    </row>
    <row r="15" spans="1:14" x14ac:dyDescent="0.3">
      <c r="A15" s="43" t="s">
        <v>39</v>
      </c>
      <c r="B15" s="56"/>
      <c r="C15" s="56">
        <f>C9/B8</f>
        <v>0</v>
      </c>
      <c r="D15" s="56">
        <f t="shared" ref="D15:N15" si="6">D9/C8</f>
        <v>0</v>
      </c>
      <c r="E15" s="56">
        <f t="shared" si="6"/>
        <v>0</v>
      </c>
      <c r="F15" s="56">
        <f t="shared" si="6"/>
        <v>0.2</v>
      </c>
      <c r="G15" s="56">
        <f t="shared" si="6"/>
        <v>0</v>
      </c>
      <c r="H15" s="56">
        <f t="shared" si="6"/>
        <v>0.25</v>
      </c>
      <c r="I15" s="56">
        <f t="shared" si="6"/>
        <v>0</v>
      </c>
      <c r="J15" s="56">
        <f t="shared" si="6"/>
        <v>0.2</v>
      </c>
      <c r="K15" s="56">
        <f t="shared" si="6"/>
        <v>0</v>
      </c>
      <c r="L15" s="56">
        <f t="shared" si="6"/>
        <v>0</v>
      </c>
      <c r="M15" s="56">
        <f t="shared" si="6"/>
        <v>0</v>
      </c>
      <c r="N15" s="56">
        <f t="shared" si="6"/>
        <v>0</v>
      </c>
    </row>
    <row r="16" spans="1:14" x14ac:dyDescent="0.3">
      <c r="A16" s="43" t="s">
        <v>40</v>
      </c>
      <c r="B16" s="56"/>
      <c r="C16" s="57">
        <f>C10/B8</f>
        <v>0</v>
      </c>
      <c r="D16" s="57">
        <f t="shared" ref="D16:N16" si="7">D10/C8</f>
        <v>0</v>
      </c>
      <c r="E16" s="57">
        <f t="shared" si="7"/>
        <v>0</v>
      </c>
      <c r="F16" s="57">
        <f t="shared" si="7"/>
        <v>0</v>
      </c>
      <c r="G16" s="57">
        <f t="shared" si="7"/>
        <v>0</v>
      </c>
      <c r="H16" s="57">
        <f t="shared" si="7"/>
        <v>0</v>
      </c>
      <c r="I16" s="57">
        <f t="shared" si="7"/>
        <v>0</v>
      </c>
      <c r="J16" s="57">
        <f t="shared" si="7"/>
        <v>0</v>
      </c>
      <c r="K16" s="57">
        <f t="shared" si="7"/>
        <v>0</v>
      </c>
      <c r="L16" s="57">
        <f t="shared" si="7"/>
        <v>0.22222222222222221</v>
      </c>
      <c r="M16" s="57">
        <f t="shared" si="7"/>
        <v>0</v>
      </c>
      <c r="N16" s="57">
        <f t="shared" si="7"/>
        <v>0.21428571428571427</v>
      </c>
    </row>
    <row r="17" spans="1:15" x14ac:dyDescent="0.3">
      <c r="A17" s="43" t="s">
        <v>41</v>
      </c>
      <c r="B17" s="56"/>
      <c r="C17" s="56">
        <f>C11/C8</f>
        <v>0</v>
      </c>
      <c r="D17" s="56">
        <f t="shared" ref="D17:N17" si="8">D11/D8</f>
        <v>0</v>
      </c>
      <c r="E17" s="56">
        <f t="shared" si="8"/>
        <v>0</v>
      </c>
      <c r="F17" s="56">
        <f t="shared" si="8"/>
        <v>0</v>
      </c>
      <c r="G17" s="56">
        <f t="shared" si="8"/>
        <v>0.10833333333333334</v>
      </c>
      <c r="H17" s="56">
        <f t="shared" si="8"/>
        <v>5.3333333333333337E-2</v>
      </c>
      <c r="I17" s="56">
        <f t="shared" si="8"/>
        <v>0.16666666666666666</v>
      </c>
      <c r="J17" s="56">
        <f t="shared" si="8"/>
        <v>8.3333333333333329E-2</v>
      </c>
      <c r="K17" s="56">
        <f t="shared" si="8"/>
        <v>0</v>
      </c>
      <c r="L17" s="56">
        <f t="shared" si="8"/>
        <v>0</v>
      </c>
      <c r="M17" s="56">
        <f t="shared" si="8"/>
        <v>0</v>
      </c>
      <c r="N17" s="56">
        <f t="shared" si="8"/>
        <v>0</v>
      </c>
    </row>
    <row r="18" spans="1:15" x14ac:dyDescent="0.3">
      <c r="A18" s="43" t="s">
        <v>42</v>
      </c>
      <c r="B18" s="56"/>
      <c r="C18" s="56">
        <f>C12/C8</f>
        <v>0.14499999999999999</v>
      </c>
      <c r="D18" s="56">
        <f t="shared" ref="D18:N18" si="9">D12/D8</f>
        <v>0.1</v>
      </c>
      <c r="E18" s="56">
        <f t="shared" si="9"/>
        <v>0.17</v>
      </c>
      <c r="F18" s="56">
        <f t="shared" si="9"/>
        <v>8.3333333333333329E-2</v>
      </c>
      <c r="G18" s="56">
        <f t="shared" si="9"/>
        <v>0</v>
      </c>
      <c r="H18" s="56">
        <f t="shared" si="9"/>
        <v>0</v>
      </c>
      <c r="I18" s="56">
        <f t="shared" si="9"/>
        <v>0</v>
      </c>
      <c r="J18" s="56">
        <f t="shared" si="9"/>
        <v>0</v>
      </c>
      <c r="K18" s="56">
        <f t="shared" si="9"/>
        <v>0.15</v>
      </c>
      <c r="L18" s="56">
        <f t="shared" si="9"/>
        <v>0.15</v>
      </c>
      <c r="M18" s="56">
        <f t="shared" si="9"/>
        <v>0.3</v>
      </c>
      <c r="N18" s="56">
        <f t="shared" si="9"/>
        <v>0.1409090909090909</v>
      </c>
    </row>
    <row r="19" spans="1:15" x14ac:dyDescent="0.3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5" ht="19.5" thickBot="1" x14ac:dyDescent="0.35">
      <c r="A20" s="4" t="s">
        <v>43</v>
      </c>
    </row>
    <row r="21" spans="1:15" x14ac:dyDescent="0.3">
      <c r="A21" s="18"/>
      <c r="B21" s="19"/>
      <c r="C21" s="123" t="s">
        <v>25</v>
      </c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29"/>
    </row>
    <row r="22" spans="1:15" x14ac:dyDescent="0.3">
      <c r="A22" s="20"/>
      <c r="C22" s="93">
        <v>1</v>
      </c>
      <c r="D22" s="93">
        <v>2</v>
      </c>
      <c r="E22" s="93">
        <v>3</v>
      </c>
      <c r="F22" s="93">
        <v>4</v>
      </c>
      <c r="G22" s="93">
        <v>5</v>
      </c>
      <c r="H22" s="93">
        <v>6</v>
      </c>
      <c r="I22" s="93">
        <v>7</v>
      </c>
      <c r="J22" s="93">
        <v>8</v>
      </c>
      <c r="K22" s="93">
        <v>9</v>
      </c>
      <c r="L22" s="93">
        <v>10</v>
      </c>
      <c r="M22" s="93">
        <v>11</v>
      </c>
      <c r="N22" s="93">
        <v>12</v>
      </c>
      <c r="O22" s="21" t="s">
        <v>44</v>
      </c>
    </row>
    <row r="23" spans="1:15" x14ac:dyDescent="0.3">
      <c r="A23" s="33" t="s">
        <v>5</v>
      </c>
      <c r="B23" s="107"/>
      <c r="C23" s="108">
        <f>C7*'Données du problème'!$C$6</f>
        <v>0</v>
      </c>
      <c r="D23" s="108">
        <f>D7*'Données du problème'!$C$6</f>
        <v>0</v>
      </c>
      <c r="E23" s="108">
        <f>E7*'Données du problème'!$C$6</f>
        <v>0</v>
      </c>
      <c r="F23" s="108">
        <f>F7*'Données du problème'!$C$6</f>
        <v>0</v>
      </c>
      <c r="G23" s="108">
        <f>G7*'Données du problème'!$C$6</f>
        <v>0</v>
      </c>
      <c r="H23" s="108">
        <f>H7*'Données du problème'!$C$6</f>
        <v>0</v>
      </c>
      <c r="I23" s="108">
        <f>I7*'Données du problème'!$C$6</f>
        <v>0</v>
      </c>
      <c r="J23" s="108">
        <f>J7*'Données du problème'!$C$6</f>
        <v>0</v>
      </c>
      <c r="K23" s="108">
        <f>K7*'Données du problème'!$C$6</f>
        <v>0</v>
      </c>
      <c r="L23" s="108">
        <f>L7*'Données du problème'!$C$6</f>
        <v>0</v>
      </c>
      <c r="M23" s="108">
        <f>M7*'Données du problème'!$C$6</f>
        <v>0</v>
      </c>
      <c r="N23" s="108">
        <f>N7*'Données du problème'!$C$6</f>
        <v>40300</v>
      </c>
      <c r="O23" s="34">
        <f>SUM(C23:N23)</f>
        <v>40300</v>
      </c>
    </row>
    <row r="24" spans="1:15" x14ac:dyDescent="0.3">
      <c r="A24" s="33" t="s">
        <v>13</v>
      </c>
      <c r="B24" s="107"/>
      <c r="C24" s="108">
        <v>0</v>
      </c>
      <c r="D24" s="108">
        <v>0</v>
      </c>
      <c r="E24" s="108">
        <v>0</v>
      </c>
      <c r="F24" s="108">
        <v>0</v>
      </c>
      <c r="G24" s="108">
        <v>0</v>
      </c>
      <c r="H24" s="108">
        <v>0</v>
      </c>
      <c r="I24" s="108">
        <v>0</v>
      </c>
      <c r="J24" s="108">
        <v>0</v>
      </c>
      <c r="K24" s="108">
        <v>0</v>
      </c>
      <c r="L24" s="108">
        <v>0</v>
      </c>
      <c r="M24" s="108">
        <v>0</v>
      </c>
      <c r="N24" s="108">
        <v>0</v>
      </c>
      <c r="O24" s="34">
        <f t="shared" ref="O24:O28" si="10">SUM(C24:N24)</f>
        <v>0</v>
      </c>
    </row>
    <row r="25" spans="1:15" x14ac:dyDescent="0.3">
      <c r="A25" s="25" t="s">
        <v>11</v>
      </c>
      <c r="B25" s="103"/>
      <c r="C25" s="109">
        <f>C9*'Données du problème'!$C$8</f>
        <v>0</v>
      </c>
      <c r="D25" s="109">
        <f>D9*'Données du problème'!$C$8</f>
        <v>0</v>
      </c>
      <c r="E25" s="109">
        <f>E9*'Données du problème'!$C$8</f>
        <v>0</v>
      </c>
      <c r="F25" s="109">
        <f>F9*'Données du problème'!$C$8</f>
        <v>31000</v>
      </c>
      <c r="G25" s="109">
        <f>G9*'Données du problème'!$C$8</f>
        <v>0</v>
      </c>
      <c r="H25" s="109">
        <f>H9*'Données du problème'!$C$8</f>
        <v>46500</v>
      </c>
      <c r="I25" s="109">
        <f>I9*'Données du problème'!$C$8</f>
        <v>0</v>
      </c>
      <c r="J25" s="109">
        <f>J9*'Données du problème'!$C$8</f>
        <v>46500</v>
      </c>
      <c r="K25" s="109">
        <f>K9*'Données du problème'!$C$8</f>
        <v>0</v>
      </c>
      <c r="L25" s="109">
        <f>L9*'Données du problème'!$C$8</f>
        <v>0</v>
      </c>
      <c r="M25" s="109">
        <f>M9*'Données du problème'!$C$8</f>
        <v>0</v>
      </c>
      <c r="N25" s="109">
        <f>N9*'Données du problème'!$C$8</f>
        <v>0</v>
      </c>
      <c r="O25" s="110">
        <f t="shared" si="10"/>
        <v>124000</v>
      </c>
    </row>
    <row r="26" spans="1:15" x14ac:dyDescent="0.3">
      <c r="A26" s="25" t="s">
        <v>14</v>
      </c>
      <c r="B26" s="103"/>
      <c r="C26" s="109">
        <f>C10*'Données du problème'!$C$9</f>
        <v>0</v>
      </c>
      <c r="D26" s="109">
        <f>D10*'Données du problème'!$C$9</f>
        <v>0</v>
      </c>
      <c r="E26" s="109">
        <f>E10*'Données du problème'!$C$9</f>
        <v>0</v>
      </c>
      <c r="F26" s="109">
        <f>F10*'Données du problème'!$C$9</f>
        <v>0</v>
      </c>
      <c r="G26" s="109">
        <f>G10*'Données du problème'!$C$9</f>
        <v>0</v>
      </c>
      <c r="H26" s="109">
        <f>H10*'Données du problème'!$C$9</f>
        <v>0</v>
      </c>
      <c r="I26" s="109">
        <f>I10*'Données du problème'!$C$9</f>
        <v>0</v>
      </c>
      <c r="J26" s="109">
        <f>J10*'Données du problème'!$C$9</f>
        <v>0</v>
      </c>
      <c r="K26" s="109">
        <f>K10*'Données du problème'!$C$9</f>
        <v>0</v>
      </c>
      <c r="L26" s="109">
        <f>L10*'Données du problème'!$C$9</f>
        <v>46000</v>
      </c>
      <c r="M26" s="109">
        <f>M10*'Données du problème'!$C$9</f>
        <v>0</v>
      </c>
      <c r="N26" s="109">
        <f>N10*'Données du problème'!$C$9</f>
        <v>34500</v>
      </c>
      <c r="O26" s="110">
        <f t="shared" si="10"/>
        <v>80500</v>
      </c>
    </row>
    <row r="27" spans="1:15" x14ac:dyDescent="0.3">
      <c r="A27" s="24" t="s">
        <v>45</v>
      </c>
      <c r="B27" s="111"/>
      <c r="C27" s="112">
        <f>C8*'Données du problème'!$C$4</f>
        <v>197500</v>
      </c>
      <c r="D27" s="112">
        <f>D8*'Données du problème'!$C$4</f>
        <v>197500</v>
      </c>
      <c r="E27" s="112">
        <f>E8*'Données du problème'!$C$4</f>
        <v>197500</v>
      </c>
      <c r="F27" s="112">
        <f>F8*'Données du problème'!$C$4</f>
        <v>237000</v>
      </c>
      <c r="G27" s="112">
        <f>G8*'Données du problème'!$C$4</f>
        <v>237000</v>
      </c>
      <c r="H27" s="112">
        <f>H8*'Données du problème'!$C$4</f>
        <v>296250</v>
      </c>
      <c r="I27" s="112">
        <f>I8*'Données du problème'!$C$4</f>
        <v>296250</v>
      </c>
      <c r="J27" s="112">
        <f>J8*'Données du problème'!$C$4</f>
        <v>355500</v>
      </c>
      <c r="K27" s="112">
        <f>K8*'Données du problème'!$C$4</f>
        <v>355500</v>
      </c>
      <c r="L27" s="112">
        <f>L8*'Données du problème'!$C$4</f>
        <v>276500</v>
      </c>
      <c r="M27" s="112">
        <f>M8*'Données du problème'!$C$4</f>
        <v>276500</v>
      </c>
      <c r="N27" s="112">
        <f>N8*'Données du problème'!$C$4</f>
        <v>217250</v>
      </c>
      <c r="O27" s="113">
        <f t="shared" si="10"/>
        <v>3140250</v>
      </c>
    </row>
    <row r="28" spans="1:15" x14ac:dyDescent="0.3">
      <c r="A28" s="26" t="s">
        <v>46</v>
      </c>
      <c r="B28" s="105"/>
      <c r="C28" s="114">
        <f>C11*'Données du problème'!$C$5</f>
        <v>0</v>
      </c>
      <c r="D28" s="114">
        <f>D11*'Données du problème'!$C$5</f>
        <v>0</v>
      </c>
      <c r="E28" s="114">
        <f>E11*'Données du problème'!$C$5</f>
        <v>0</v>
      </c>
      <c r="F28" s="114">
        <f>F11*'Données du problème'!$C$5</f>
        <v>0</v>
      </c>
      <c r="G28" s="114">
        <f>G11*'Données du problème'!$C$5</f>
        <v>38512.5</v>
      </c>
      <c r="H28" s="114">
        <f>H11*'Données du problème'!$C$5</f>
        <v>23700</v>
      </c>
      <c r="I28" s="114">
        <f>I11*'Données du problème'!$C$5</f>
        <v>74062.5</v>
      </c>
      <c r="J28" s="114">
        <f>J11*'Données du problème'!$C$5</f>
        <v>44437.5</v>
      </c>
      <c r="K28" s="114">
        <f>K11*'Données du problème'!$C$5</f>
        <v>0</v>
      </c>
      <c r="L28" s="114">
        <f>L11*'Données du problème'!$C$5</f>
        <v>0</v>
      </c>
      <c r="M28" s="114">
        <f>M11*'Données du problème'!$C$5</f>
        <v>0</v>
      </c>
      <c r="N28" s="114">
        <f>N11*'Données du problème'!$C$5</f>
        <v>0</v>
      </c>
      <c r="O28" s="115">
        <f t="shared" si="10"/>
        <v>180712.5</v>
      </c>
    </row>
    <row r="29" spans="1:15" ht="19.5" thickBot="1" x14ac:dyDescent="0.35">
      <c r="A29" s="30" t="s">
        <v>44</v>
      </c>
      <c r="B29" s="31"/>
      <c r="C29" s="76">
        <f>SUM(C23:C28)</f>
        <v>197500</v>
      </c>
      <c r="D29" s="76">
        <f>SUM(D23:D28)</f>
        <v>197500</v>
      </c>
      <c r="E29" s="76">
        <f t="shared" ref="E29:N29" si="11">SUM(E23:E28)</f>
        <v>197500</v>
      </c>
      <c r="F29" s="76">
        <f t="shared" si="11"/>
        <v>268000</v>
      </c>
      <c r="G29" s="76">
        <f t="shared" si="11"/>
        <v>275512.5</v>
      </c>
      <c r="H29" s="76">
        <f t="shared" si="11"/>
        <v>366450</v>
      </c>
      <c r="I29" s="76">
        <f t="shared" si="11"/>
        <v>370312.5</v>
      </c>
      <c r="J29" s="76">
        <f t="shared" si="11"/>
        <v>446437.5</v>
      </c>
      <c r="K29" s="76">
        <f t="shared" si="11"/>
        <v>355500</v>
      </c>
      <c r="L29" s="76">
        <f t="shared" si="11"/>
        <v>322500</v>
      </c>
      <c r="M29" s="76">
        <f t="shared" si="11"/>
        <v>276500</v>
      </c>
      <c r="N29" s="76">
        <f t="shared" si="11"/>
        <v>292050</v>
      </c>
      <c r="O29" s="32">
        <f>SUM(O23:O28)</f>
        <v>3565762.5</v>
      </c>
    </row>
    <row r="30" spans="1:15" x14ac:dyDescent="0.3">
      <c r="O30" s="16"/>
    </row>
  </sheetData>
  <mergeCells count="2">
    <mergeCell ref="C3:N3"/>
    <mergeCell ref="C21:N21"/>
  </mergeCells>
  <conditionalFormatting sqref="C15:N16">
    <cfRule type="cellIs" dxfId="3" priority="6" operator="greaterThan">
      <formula>0.25</formula>
    </cfRule>
  </conditionalFormatting>
  <conditionalFormatting sqref="C17:N18">
    <cfRule type="cellIs" dxfId="1" priority="5" operator="greaterThan">
      <formula>0.3</formula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DCDF3901-506D-4307-BDAA-F51F3E12BCDE}">
            <xm:f>'Données du problème'!$L$4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C15:N16</xm:sqref>
        </x14:conditionalFormatting>
        <x14:conditionalFormatting xmlns:xm="http://schemas.microsoft.com/office/excel/2006/main">
          <x14:cfRule type="cellIs" priority="4" operator="greaterThan" id="{F3AD3BE6-6C7C-471C-945C-4FD49FE3FF36}">
            <xm:f>'Données du problème'!$L$5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C17:N17</xm:sqref>
        </x14:conditionalFormatting>
        <x14:conditionalFormatting xmlns:xm="http://schemas.microsoft.com/office/excel/2006/main">
          <x14:cfRule type="cellIs" priority="1" operator="greaterThan" id="{507614C8-07B4-48A2-A0A3-8A7385135531}">
            <xm:f>'Données du problème'!$L$6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C18:N18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D9F2-6BFF-4AE6-96A2-9ECA6DB7BC62}">
  <dimension ref="A1:F16"/>
  <sheetViews>
    <sheetView showGridLines="0" topLeftCell="A6" workbookViewId="0">
      <selection activeCell="B8" sqref="B8:D13"/>
    </sheetView>
  </sheetViews>
  <sheetFormatPr baseColWidth="10" defaultColWidth="11.42578125" defaultRowHeight="15" x14ac:dyDescent="0.25"/>
  <cols>
    <col min="1" max="1" width="21" customWidth="1"/>
    <col min="2" max="8" width="15.28515625" customWidth="1"/>
  </cols>
  <sheetData>
    <row r="1" spans="1:6" ht="18.75" x14ac:dyDescent="0.3">
      <c r="A1" s="4" t="s">
        <v>79</v>
      </c>
    </row>
    <row r="2" spans="1:6" ht="18.75" x14ac:dyDescent="0.3">
      <c r="A2" s="4" t="s">
        <v>56</v>
      </c>
    </row>
    <row r="3" spans="1:6" ht="18.75" x14ac:dyDescent="0.3">
      <c r="A3" s="4" t="s">
        <v>57</v>
      </c>
    </row>
    <row r="5" spans="1:6" ht="18.75" x14ac:dyDescent="0.3">
      <c r="A5" s="1" t="s">
        <v>58</v>
      </c>
    </row>
    <row r="6" spans="1:6" ht="19.5" thickBot="1" x14ac:dyDescent="0.35">
      <c r="A6" s="1" t="s">
        <v>59</v>
      </c>
    </row>
    <row r="7" spans="1:6" ht="21.75" thickBot="1" x14ac:dyDescent="0.4">
      <c r="A7" s="82" t="s">
        <v>60</v>
      </c>
      <c r="B7" s="83" t="s">
        <v>61</v>
      </c>
      <c r="C7" s="83" t="s">
        <v>62</v>
      </c>
      <c r="D7" s="83" t="s">
        <v>63</v>
      </c>
      <c r="F7" s="84" t="s">
        <v>64</v>
      </c>
    </row>
    <row r="8" spans="1:6" ht="36.6" customHeight="1" thickBot="1" x14ac:dyDescent="0.4">
      <c r="A8" s="85" t="s">
        <v>65</v>
      </c>
      <c r="B8" s="86">
        <v>3100</v>
      </c>
      <c r="C8" s="86">
        <v>3100</v>
      </c>
      <c r="D8" s="86">
        <v>3100</v>
      </c>
      <c r="F8" s="87" t="s">
        <v>76</v>
      </c>
    </row>
    <row r="9" spans="1:6" ht="36.6" customHeight="1" thickBot="1" x14ac:dyDescent="0.4">
      <c r="A9" s="85" t="s">
        <v>66</v>
      </c>
      <c r="B9" s="86">
        <v>3950</v>
      </c>
      <c r="C9" s="86">
        <f>B9*2</f>
        <v>7900</v>
      </c>
      <c r="D9" s="86">
        <f>B9*3</f>
        <v>11850</v>
      </c>
      <c r="F9" s="87" t="s">
        <v>77</v>
      </c>
    </row>
    <row r="10" spans="1:6" ht="36.6" customHeight="1" thickBot="1" x14ac:dyDescent="0.4">
      <c r="A10" s="88" t="s">
        <v>67</v>
      </c>
      <c r="B10" s="86">
        <v>2300</v>
      </c>
      <c r="C10" s="86">
        <v>2300</v>
      </c>
      <c r="D10" s="86">
        <v>2300</v>
      </c>
      <c r="F10" s="87" t="s">
        <v>78</v>
      </c>
    </row>
    <row r="11" spans="1:6" ht="36.6" customHeight="1" thickBot="1" x14ac:dyDescent="0.3">
      <c r="A11" s="89" t="s">
        <v>68</v>
      </c>
      <c r="B11" s="90">
        <f>SUM(B8:B10)</f>
        <v>9350</v>
      </c>
      <c r="C11" s="90">
        <f t="shared" ref="C11:D11" si="0">SUM(C8:C10)</f>
        <v>13300</v>
      </c>
      <c r="D11" s="91">
        <f t="shared" si="0"/>
        <v>17250</v>
      </c>
    </row>
    <row r="12" spans="1:6" ht="36.6" customHeight="1" thickBot="1" x14ac:dyDescent="0.3">
      <c r="A12" s="88" t="s">
        <v>69</v>
      </c>
      <c r="B12" s="86">
        <f>B9*1.5</f>
        <v>5925</v>
      </c>
      <c r="C12" s="92" t="s">
        <v>74</v>
      </c>
      <c r="D12" s="92" t="s">
        <v>75</v>
      </c>
    </row>
    <row r="13" spans="1:6" ht="36.6" customHeight="1" thickBot="1" x14ac:dyDescent="0.3">
      <c r="A13" s="89" t="s">
        <v>70</v>
      </c>
      <c r="B13" s="91">
        <f>B12</f>
        <v>5925</v>
      </c>
      <c r="C13" s="91">
        <f>2*B12</f>
        <v>11850</v>
      </c>
      <c r="D13" s="90">
        <f>3*B12</f>
        <v>17775</v>
      </c>
    </row>
    <row r="15" spans="1:6" ht="18.75" x14ac:dyDescent="0.3">
      <c r="A15" s="1" t="s">
        <v>71</v>
      </c>
    </row>
    <row r="16" spans="1:6" ht="18.75" x14ac:dyDescent="0.3">
      <c r="A16" s="1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BA47EBC066B745A5CD7C315910EB78" ma:contentTypeVersion="3" ma:contentTypeDescription="Create a new document." ma:contentTypeScope="" ma:versionID="3c475ebf5c37c9908ef278591141ee10">
  <xsd:schema xmlns:xsd="http://www.w3.org/2001/XMLSchema" xmlns:xs="http://www.w3.org/2001/XMLSchema" xmlns:p="http://schemas.microsoft.com/office/2006/metadata/properties" xmlns:ns2="abcda3d6-2d03-49e1-9293-8daf0cc773fd" targetNamespace="http://schemas.microsoft.com/office/2006/metadata/properties" ma:root="true" ma:fieldsID="f940d8203d3249c8262e44e123d73b5d" ns2:_="">
    <xsd:import namespace="abcda3d6-2d03-49e1-9293-8daf0cc773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cda3d6-2d03-49e1-9293-8daf0cc773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3ABE9E-88CB-4D43-BDF8-9438F3B556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cda3d6-2d03-49e1-9293-8daf0cc773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6DD182-3D46-45AA-AB3D-643D347886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7E73CE-724D-4389-B29B-13D3973A3137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abcda3d6-2d03-49e1-9293-8daf0cc773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Données du problème</vt:lpstr>
      <vt:lpstr>Question 1</vt:lpstr>
      <vt:lpstr>Question 2</vt:lpstr>
      <vt:lpstr>Question 3</vt:lpstr>
      <vt:lpstr>'Question 3'!_Hlk532205760</vt:lpstr>
    </vt:vector>
  </TitlesOfParts>
  <Manager/>
  <Company>HEC Montréal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Chantal</dc:creator>
  <cp:keywords/>
  <dc:description/>
  <cp:lastModifiedBy>Véronique Poirier</cp:lastModifiedBy>
  <cp:revision/>
  <dcterms:created xsi:type="dcterms:W3CDTF">2018-02-14T14:06:25Z</dcterms:created>
  <dcterms:modified xsi:type="dcterms:W3CDTF">2026-09-24T11:50:28Z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0x0101001CBA47EBC066B745A5CD7C315910EB78</vt:lpwstr>
  </property>
</Properties>
</file>