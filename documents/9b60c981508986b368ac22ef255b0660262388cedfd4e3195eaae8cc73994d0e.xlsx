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00012161\Documents\2-500\Exercices IAG\04 - Gestion des stocks\Inspiration A2024 pour A2026\"/>
    </mc:Choice>
  </mc:AlternateContent>
  <xr:revisionPtr revIDLastSave="10" documentId="13_ncr:1_{1ECE4DE7-E65B-4BB3-8617-5B8BAC9112A2}" xr6:coauthVersionLast="47" xr6:coauthVersionMax="47" xr10:uidLastSave="{8EF064DB-F3CC-4C2C-8E4E-4B315337E0A2}"/>
  <bookViews>
    <workbookView xWindow="-120" yWindow="-120" windowWidth="29040" windowHeight="15720" xr2:uid="{00000000-000D-0000-FFFF-FFFF00000000}"/>
  </bookViews>
  <sheets>
    <sheet name="Question 1" sheetId="1" r:id="rId1"/>
    <sheet name="Question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1" i="2"/>
  <c r="B20" i="2"/>
  <c r="B22" i="2" s="1"/>
  <c r="B24" i="2" s="1"/>
  <c r="B19" i="2"/>
  <c r="B18" i="2"/>
  <c r="B14" i="2"/>
  <c r="B7" i="2"/>
  <c r="B6" i="2"/>
  <c r="B5" i="2"/>
  <c r="B19" i="1"/>
  <c r="D19" i="1"/>
  <c r="C19" i="1"/>
  <c r="C17" i="1"/>
  <c r="D17" i="1"/>
  <c r="B17" i="1"/>
  <c r="C14" i="1"/>
  <c r="D14" i="1"/>
  <c r="B14" i="1"/>
  <c r="C16" i="1"/>
  <c r="C18" i="1" s="1"/>
  <c r="C20" i="1" s="1"/>
  <c r="D16" i="1"/>
  <c r="D18" i="1" s="1"/>
  <c r="B16" i="1"/>
  <c r="B18" i="1" s="1"/>
  <c r="C10" i="1"/>
  <c r="D10" i="1"/>
  <c r="B10" i="1"/>
  <c r="D20" i="1" l="1"/>
  <c r="B20" i="1"/>
</calcChain>
</file>

<file path=xl/sharedStrings.xml><?xml version="1.0" encoding="utf-8"?>
<sst xmlns="http://schemas.openxmlformats.org/spreadsheetml/2006/main" count="62" uniqueCount="47">
  <si>
    <t>Question 1 – Solution</t>
  </si>
  <si>
    <t>Fournisseur 1</t>
  </si>
  <si>
    <t>Fournisseur 2</t>
  </si>
  <si>
    <t>Nouveau-Brunswick</t>
  </si>
  <si>
    <t>Québec</t>
  </si>
  <si>
    <t>Q = 500</t>
  </si>
  <si>
    <t>Q = 240</t>
  </si>
  <si>
    <t>Q = 320</t>
  </si>
  <si>
    <t>Demande totale</t>
  </si>
  <si>
    <t>Coût unitaire de commande externe</t>
  </si>
  <si>
    <t>Coût unitaire de commande interne</t>
  </si>
  <si>
    <t>Coût unitaire d'acquisition</t>
  </si>
  <si>
    <t>Coût unitaire d'entreposage</t>
  </si>
  <si>
    <t>Écart type quotidien</t>
  </si>
  <si>
    <t>Délai (en jour ouvrable)</t>
  </si>
  <si>
    <t>Z (pour un niveau de service de 97 %)</t>
  </si>
  <si>
    <t>QEC</t>
  </si>
  <si>
    <t>Quantité commandée</t>
  </si>
  <si>
    <t>SS</t>
  </si>
  <si>
    <t>Coût total d'entreposage</t>
  </si>
  <si>
    <t>Coût total d'entreposage SS</t>
  </si>
  <si>
    <t>Coût total de commande</t>
  </si>
  <si>
    <t>Coût total</t>
  </si>
  <si>
    <t>Interprétation / recommandation</t>
  </si>
  <si>
    <t>• Le fournisseur du Québec avec un lot de 320 unités est l’option la plus économique : coût total annuel ≈ 4 922,62 $, contre 6 478,72 $ pour le fournisseur du Nouveau-Brunswick et 5 053,05 $ pour un lot de 240 unités.</t>
  </si>
  <si>
    <t>• Recommandation : retenir le nouveau fournisseur du Québec, car il minimise le coût total annuel et l’énoncé mentionne aussi un niveau de service et de qualité supérieur.</t>
  </si>
  <si>
    <t>• Avantage du fournisseur actuel (Nouveau-Brunswick) : délai de livraison plus court (8 jours), donc moins de stock de sécurité requis pour un même niveau de service.</t>
  </si>
  <si>
    <t>• Inconvénient du fournisseur actuel : coût de commande plus élevé, donc coût total plus élevé. Quantité minimale à commander, donc stock moyen plus élevé.</t>
  </si>
  <si>
    <t>• Avantage du fournisseur du Québec : coût de commande plus faible et proximité géographique / approvisionnement local.</t>
  </si>
  <si>
    <t>• Inconvénient du fournisseur du Québec : délai de livraison plus long (12 jours) et contrainte de lot de 80 unités.</t>
  </si>
  <si>
    <t>Hypothèses retenues</t>
  </si>
  <si>
    <t>•  Z pris à 1.88 pour un niveau de service de 97 %.</t>
  </si>
  <si>
    <t>•  Pour le fournisseur 1, la quantité minimale de 500 a été considérée.</t>
  </si>
  <si>
    <t>•  Pour le fournisseur 2, le lot imposé est de 80 unités; on compare les multiples voisins du QEC ≈ 306, soit 240 et 320.</t>
  </si>
  <si>
    <t>•  Les coûts d'entreposage du stock de sécurité sont calculés à partir du stock de sécurité arrondi à l’unité supérieure, afin d'assurer le niveau de service souhaité de 97 %.</t>
  </si>
  <si>
    <t>Question 2 – Solution</t>
  </si>
  <si>
    <t>a) Intervalle optimal de commande</t>
  </si>
  <si>
    <t>u</t>
  </si>
  <si>
    <t>i optimal (en jours)</t>
  </si>
  <si>
    <t>b) Coût total annuel</t>
  </si>
  <si>
    <t>Z</t>
  </si>
  <si>
    <t>Nombre annuel de commande</t>
  </si>
  <si>
    <t>Quantité moyenne commandée</t>
  </si>
  <si>
    <t>Réponse qualitative</t>
  </si>
  <si>
    <t>• Intervalle recommandé : 19 jours ouvrables.</t>
  </si>
  <si>
    <t>• Coût total annuel estimé : 5 139,76 $. Ce coût est plus élevé que celui calculé à la question précédente, puisque le stock de sécurité doit être plus élevé pour une période de risque plus longue (délai total de 19 + 12 jours).</t>
  </si>
  <si>
    <t>• Un avantage du modèle de réapprovisionnement périodique est la simplicité de gestion : les commandes sont passées à intervalles réguliers, ce qui facilite la planification et la coordination des approvisionnements.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</si>
</sst>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0.0"/>
  </numFmts>
  <fonts count="6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EF5FB"/>
      </patternFill>
    </fill>
    <fill>
      <patternFill patternType="solid">
        <fgColor rgb="FFF8F8F8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44" fontId="0" fillId="0" borderId="1" xfId="1" applyFont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/>
    <xf numFmtId="0" fontId="4" fillId="0" borderId="0" xfId="0" applyFont="1" applyAlignment="1"/>
    <xf numFmtId="0" fontId="0" fillId="0" borderId="0" xfId="0" applyAlignmen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B16" sqref="B16"/>
    </sheetView>
  </sheetViews>
  <sheetFormatPr defaultColWidth="8.7109375" defaultRowHeight="14.45"/>
  <cols>
    <col min="1" max="1" width="34" customWidth="1"/>
    <col min="2" max="4" width="18" customWidth="1"/>
  </cols>
  <sheetData>
    <row r="1" spans="1:4" ht="17.100000000000001">
      <c r="A1" s="1" t="s">
        <v>0</v>
      </c>
    </row>
    <row r="3" spans="1:4">
      <c r="A3" s="11"/>
      <c r="B3" s="2" t="s">
        <v>1</v>
      </c>
      <c r="C3" s="2" t="s">
        <v>2</v>
      </c>
      <c r="D3" s="2" t="s">
        <v>2</v>
      </c>
    </row>
    <row r="4" spans="1:4">
      <c r="A4" s="11"/>
      <c r="B4" s="2" t="s">
        <v>3</v>
      </c>
      <c r="C4" s="2" t="s">
        <v>4</v>
      </c>
      <c r="D4" s="2" t="s">
        <v>4</v>
      </c>
    </row>
    <row r="5" spans="1:4">
      <c r="A5" s="11"/>
      <c r="B5" s="2" t="s">
        <v>5</v>
      </c>
      <c r="C5" s="2" t="s">
        <v>6</v>
      </c>
      <c r="D5" s="2" t="s">
        <v>7</v>
      </c>
    </row>
    <row r="6" spans="1:4">
      <c r="A6" s="3" t="s">
        <v>8</v>
      </c>
      <c r="B6" s="4">
        <v>4000</v>
      </c>
      <c r="C6" s="4">
        <v>4000</v>
      </c>
      <c r="D6" s="4">
        <v>4000</v>
      </c>
    </row>
    <row r="7" spans="1:4">
      <c r="A7" s="3" t="s">
        <v>9</v>
      </c>
      <c r="B7" s="8">
        <v>280</v>
      </c>
      <c r="C7" s="8">
        <v>145</v>
      </c>
      <c r="D7" s="8">
        <v>145</v>
      </c>
    </row>
    <row r="8" spans="1:4">
      <c r="A8" s="3" t="s">
        <v>10</v>
      </c>
      <c r="B8" s="8">
        <v>28</v>
      </c>
      <c r="C8" s="8">
        <v>28</v>
      </c>
      <c r="D8" s="8">
        <v>28</v>
      </c>
    </row>
    <row r="9" spans="1:4">
      <c r="A9" s="3" t="s">
        <v>11</v>
      </c>
      <c r="B9" s="8">
        <v>82</v>
      </c>
      <c r="C9" s="8">
        <v>82</v>
      </c>
      <c r="D9" s="8">
        <v>82</v>
      </c>
    </row>
    <row r="10" spans="1:4">
      <c r="A10" s="3" t="s">
        <v>12</v>
      </c>
      <c r="B10" s="8">
        <f>0.18*B9</f>
        <v>14.76</v>
      </c>
      <c r="C10" s="8">
        <f t="shared" ref="C10:D10" si="0">0.18*C9</f>
        <v>14.76</v>
      </c>
      <c r="D10" s="8">
        <f t="shared" si="0"/>
        <v>14.76</v>
      </c>
    </row>
    <row r="11" spans="1:4">
      <c r="A11" s="3" t="s">
        <v>13</v>
      </c>
      <c r="B11" s="4">
        <v>4</v>
      </c>
      <c r="C11" s="4">
        <v>4</v>
      </c>
      <c r="D11" s="4">
        <v>4</v>
      </c>
    </row>
    <row r="12" spans="1:4">
      <c r="A12" s="3" t="s">
        <v>14</v>
      </c>
      <c r="B12" s="4">
        <v>8</v>
      </c>
      <c r="C12" s="4">
        <v>12</v>
      </c>
      <c r="D12" s="4">
        <v>12</v>
      </c>
    </row>
    <row r="13" spans="1:4">
      <c r="A13" s="3" t="s">
        <v>15</v>
      </c>
      <c r="B13" s="5">
        <v>1.88</v>
      </c>
      <c r="C13" s="5">
        <v>1.88</v>
      </c>
      <c r="D13" s="5">
        <v>1.88</v>
      </c>
    </row>
    <row r="14" spans="1:4">
      <c r="A14" s="3" t="s">
        <v>16</v>
      </c>
      <c r="B14" s="4">
        <f>ROUND(SQRT((2*B6*(B7+B8))/B10),0)</f>
        <v>409</v>
      </c>
      <c r="C14" s="4">
        <f t="shared" ref="C14:D14" si="1">ROUND(SQRT((2*C6*(C7+C8))/C10),0)</f>
        <v>306</v>
      </c>
      <c r="D14" s="4">
        <f t="shared" si="1"/>
        <v>306</v>
      </c>
    </row>
    <row r="15" spans="1:4">
      <c r="A15" s="3" t="s">
        <v>17</v>
      </c>
      <c r="B15" s="4">
        <v>500</v>
      </c>
      <c r="C15" s="4">
        <v>240</v>
      </c>
      <c r="D15" s="4">
        <v>320</v>
      </c>
    </row>
    <row r="16" spans="1:4">
      <c r="A16" s="3" t="s">
        <v>18</v>
      </c>
      <c r="B16" s="4">
        <f>ROUNDUP(B13*B11*SQRT(B12),0)</f>
        <v>22</v>
      </c>
      <c r="C16" s="4">
        <f t="shared" ref="C16:D16" si="2">ROUNDUP(C13*C11*SQRT(C12),0)</f>
        <v>27</v>
      </c>
      <c r="D16" s="4">
        <f t="shared" si="2"/>
        <v>27</v>
      </c>
    </row>
    <row r="17" spans="1:16">
      <c r="A17" s="3" t="s">
        <v>19</v>
      </c>
      <c r="B17" s="8">
        <f>B15/2*B10</f>
        <v>3690</v>
      </c>
      <c r="C17" s="8">
        <f>C15/2*C10</f>
        <v>1771.2</v>
      </c>
      <c r="D17" s="8">
        <f>D15/2*D10</f>
        <v>2361.6</v>
      </c>
    </row>
    <row r="18" spans="1:16">
      <c r="A18" s="3" t="s">
        <v>20</v>
      </c>
      <c r="B18" s="8">
        <f>B16*B10</f>
        <v>324.71999999999997</v>
      </c>
      <c r="C18" s="8">
        <f t="shared" ref="C18:D18" si="3">C16*C10</f>
        <v>398.52</v>
      </c>
      <c r="D18" s="8">
        <f t="shared" si="3"/>
        <v>398.52</v>
      </c>
    </row>
    <row r="19" spans="1:16">
      <c r="A19" s="3" t="s">
        <v>21</v>
      </c>
      <c r="B19" s="8">
        <f>B6/B15*(B7+B8)</f>
        <v>2464</v>
      </c>
      <c r="C19" s="8">
        <f>C6/C15*(C7+C8)</f>
        <v>2883.3333333333335</v>
      </c>
      <c r="D19" s="8">
        <f>D6/D15*(D7+D8)</f>
        <v>2162.5</v>
      </c>
    </row>
    <row r="20" spans="1:16">
      <c r="A20" s="3" t="s">
        <v>22</v>
      </c>
      <c r="B20" s="8">
        <f>SUM(B17:B19)</f>
        <v>6478.7199999999993</v>
      </c>
      <c r="C20" s="10">
        <f t="shared" ref="C20:D20" si="4">SUM(C17:C19)</f>
        <v>5053.0533333333333</v>
      </c>
      <c r="D20" s="9">
        <f t="shared" si="4"/>
        <v>4922.62</v>
      </c>
    </row>
    <row r="23" spans="1:16" ht="17.100000000000001">
      <c r="A23" s="17" t="s">
        <v>23</v>
      </c>
      <c r="B23" s="18"/>
      <c r="C23" s="18"/>
      <c r="D23" s="18"/>
    </row>
    <row r="24" spans="1:16" ht="14.45" customHeight="1">
      <c r="A24" s="13" t="s">
        <v>24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4.45" customHeight="1">
      <c r="A25" s="13" t="s">
        <v>25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4.45" customHeight="1">
      <c r="A26" s="13" t="s">
        <v>26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4.45" customHeight="1">
      <c r="A27" s="13" t="s">
        <v>27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14.45" customHeight="1">
      <c r="A28" s="13" t="s">
        <v>28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14.45" customHeight="1">
      <c r="A29" s="13" t="s">
        <v>29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1" spans="1:16" ht="17.100000000000001">
      <c r="A31" s="17" t="s">
        <v>30</v>
      </c>
      <c r="B31" s="18"/>
      <c r="C31" s="18"/>
      <c r="D31" s="18"/>
    </row>
    <row r="32" spans="1:16">
      <c r="A32" s="16" t="s">
        <v>31</v>
      </c>
      <c r="B32" s="19"/>
      <c r="C32" s="19"/>
      <c r="D32" s="19"/>
    </row>
    <row r="33" spans="1:11">
      <c r="A33" s="16" t="s">
        <v>32</v>
      </c>
      <c r="B33" s="19"/>
      <c r="C33" s="19"/>
      <c r="D33" s="19"/>
    </row>
    <row r="34" spans="1:11" ht="14.45" customHeight="1">
      <c r="A34" s="15" t="s">
        <v>33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1" ht="14.45" customHeight="1">
      <c r="A35" s="15" t="s">
        <v>34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5"/>
  </sheetData>
  <mergeCells count="12">
    <mergeCell ref="A35:K35"/>
    <mergeCell ref="A23:D23"/>
    <mergeCell ref="A33:D33"/>
    <mergeCell ref="A32:D32"/>
    <mergeCell ref="A24:P24"/>
    <mergeCell ref="A25:P25"/>
    <mergeCell ref="A31:D31"/>
    <mergeCell ref="A26:P26"/>
    <mergeCell ref="A27:P27"/>
    <mergeCell ref="A28:P28"/>
    <mergeCell ref="A29:P29"/>
    <mergeCell ref="A34:J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"/>
  <sheetViews>
    <sheetView workbookViewId="0">
      <selection activeCell="A30" sqref="A30:S30"/>
    </sheetView>
  </sheetViews>
  <sheetFormatPr defaultColWidth="8.7109375" defaultRowHeight="14.45"/>
  <cols>
    <col min="1" max="1" width="34" customWidth="1"/>
    <col min="2" max="4" width="18" customWidth="1"/>
  </cols>
  <sheetData>
    <row r="1" spans="1:2" ht="17.100000000000001">
      <c r="A1" s="1" t="s">
        <v>35</v>
      </c>
    </row>
    <row r="3" spans="1:2">
      <c r="A3" s="6" t="s">
        <v>36</v>
      </c>
    </row>
    <row r="4" spans="1:2">
      <c r="A4" s="7" t="s">
        <v>8</v>
      </c>
      <c r="B4" s="4">
        <v>4000</v>
      </c>
    </row>
    <row r="5" spans="1:2">
      <c r="A5" s="7" t="s">
        <v>16</v>
      </c>
      <c r="B5" s="4">
        <f>'Question 1'!C14</f>
        <v>306</v>
      </c>
    </row>
    <row r="6" spans="1:2">
      <c r="A6" s="7" t="s">
        <v>37</v>
      </c>
      <c r="B6" s="12">
        <f>B4/250</f>
        <v>16</v>
      </c>
    </row>
    <row r="7" spans="1:2">
      <c r="A7" s="7" t="s">
        <v>38</v>
      </c>
      <c r="B7" s="12">
        <f>ROUND(B5/B6,0)</f>
        <v>19</v>
      </c>
    </row>
    <row r="10" spans="1:2">
      <c r="A10" s="6" t="s">
        <v>39</v>
      </c>
    </row>
    <row r="11" spans="1:2">
      <c r="A11" s="7" t="s">
        <v>9</v>
      </c>
      <c r="B11" s="8">
        <v>145</v>
      </c>
    </row>
    <row r="12" spans="1:2">
      <c r="A12" s="7" t="s">
        <v>10</v>
      </c>
      <c r="B12" s="8">
        <v>28</v>
      </c>
    </row>
    <row r="13" spans="1:2">
      <c r="A13" s="7" t="s">
        <v>11</v>
      </c>
      <c r="B13" s="8">
        <v>82</v>
      </c>
    </row>
    <row r="14" spans="1:2">
      <c r="A14" s="7" t="s">
        <v>12</v>
      </c>
      <c r="B14" s="8">
        <f>0.18*B13</f>
        <v>14.76</v>
      </c>
    </row>
    <row r="15" spans="1:2">
      <c r="A15" s="7" t="s">
        <v>13</v>
      </c>
      <c r="B15" s="4">
        <v>4</v>
      </c>
    </row>
    <row r="16" spans="1:2">
      <c r="A16" s="7" t="s">
        <v>14</v>
      </c>
      <c r="B16" s="4">
        <v>12</v>
      </c>
    </row>
    <row r="17" spans="1:19">
      <c r="A17" s="7" t="s">
        <v>40</v>
      </c>
      <c r="B17" s="5">
        <v>1.88</v>
      </c>
    </row>
    <row r="18" spans="1:19">
      <c r="A18" s="7" t="s">
        <v>41</v>
      </c>
      <c r="B18" s="5">
        <f>250/B7</f>
        <v>13.157894736842104</v>
      </c>
    </row>
    <row r="19" spans="1:19">
      <c r="A19" s="7" t="s">
        <v>42</v>
      </c>
      <c r="B19" s="4">
        <f>B4/B18</f>
        <v>304</v>
      </c>
    </row>
    <row r="20" spans="1:19">
      <c r="A20" s="7" t="s">
        <v>18</v>
      </c>
      <c r="B20" s="4">
        <f>ROUNDUP(B17*B15*SQRT(B7+B16),0)</f>
        <v>42</v>
      </c>
    </row>
    <row r="21" spans="1:19">
      <c r="A21" s="7" t="s">
        <v>19</v>
      </c>
      <c r="B21" s="8">
        <f>B19/2*B14</f>
        <v>2243.52</v>
      </c>
    </row>
    <row r="22" spans="1:19">
      <c r="A22" s="7" t="s">
        <v>20</v>
      </c>
      <c r="B22" s="8">
        <f>B20*B14</f>
        <v>619.91999999999996</v>
      </c>
    </row>
    <row r="23" spans="1:19">
      <c r="A23" s="7" t="s">
        <v>21</v>
      </c>
      <c r="B23" s="8">
        <f>B4/B19*(B11+B12)</f>
        <v>2276.3157894736842</v>
      </c>
    </row>
    <row r="24" spans="1:19">
      <c r="A24" s="7" t="s">
        <v>22</v>
      </c>
      <c r="B24" s="8">
        <f>SUM(B21:B23)</f>
        <v>5139.7557894736838</v>
      </c>
    </row>
    <row r="27" spans="1:19" ht="17.100000000000001">
      <c r="A27" s="1" t="s">
        <v>43</v>
      </c>
    </row>
    <row r="28" spans="1:19" ht="14.45" customHeight="1">
      <c r="A28" s="13" t="s">
        <v>44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ht="15">
      <c r="A29" s="13" t="s">
        <v>45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14.45" customHeight="1">
      <c r="A30" s="13" t="s">
        <v>46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</sheetData>
  <mergeCells count="3">
    <mergeCell ref="A30:S30"/>
    <mergeCell ref="A28:S28"/>
    <mergeCell ref="A29:S2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eate a new document." ma:contentTypeScope="" ma:versionID="3c475ebf5c37c9908ef278591141ee10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f940d8203d3249c8262e44e123d73b5d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CECA0E-B9E2-405E-8B7F-5ECDCC6EFEDD}"/>
</file>

<file path=customXml/itemProps2.xml><?xml version="1.0" encoding="utf-8"?>
<ds:datastoreItem xmlns:ds="http://schemas.openxmlformats.org/officeDocument/2006/customXml" ds:itemID="{5AE2EAEB-15B2-42B9-95C4-99B0BCB2307E}"/>
</file>

<file path=customXml/itemProps3.xml><?xml version="1.0" encoding="utf-8"?>
<ds:datastoreItem xmlns:ds="http://schemas.openxmlformats.org/officeDocument/2006/customXml" ds:itemID="{437D585D-F934-4CB7-A930-AA2C3F07A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Claire Poitras</cp:lastModifiedBy>
  <cp:revision/>
  <dcterms:created xsi:type="dcterms:W3CDTF">2026-06-07T15:23:40Z</dcterms:created>
  <dcterms:modified xsi:type="dcterms:W3CDTF">2026-06-16T13:09:23Z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