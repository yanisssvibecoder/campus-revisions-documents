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hecmtl-my.sharepoint.com/personal/marie-christine_albert_hec_ca/Documents/Documents à tranférer/Boulot/Auxiliaire d_enseignement/Boîte à outil/Outil par chapitre/Thème B- Personnalité/Expérimentation des concepts/"/>
    </mc:Choice>
  </mc:AlternateContent>
  <xr:revisionPtr revIDLastSave="1" documentId="8_{2452D164-DADB-4329-8001-7713A8844E56}" xr6:coauthVersionLast="47" xr6:coauthVersionMax="47" xr10:uidLastSave="{ADDAD528-A636-4EFE-97BB-A270D24B5A53}"/>
  <bookViews>
    <workbookView xWindow="-110" yWindow="-110" windowWidth="19420" windowHeight="10420" tabRatio="500" xr2:uid="{00000000-000D-0000-FFFF-FFFF00000000}"/>
  </bookViews>
  <sheets>
    <sheet name="Instructions" sheetId="6" r:id="rId1"/>
    <sheet name="Questionnaire de personnalité" sheetId="4" r:id="rId2"/>
    <sheet name="Profil graphique" sheetId="7" r:id="rId3"/>
    <sheet name="Comparatif 18-29 ans" sheetId="5" r:id="rId4"/>
    <sheet name="Comparatif 30-39 ans" sheetId="10" r:id="rId5"/>
    <sheet name="Comparatif 40-49 ans" sheetId="11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4" l="1"/>
  <c r="F21" i="4"/>
  <c r="F26" i="4"/>
  <c r="F31" i="4"/>
  <c r="F36" i="4"/>
  <c r="F41" i="4"/>
  <c r="F46" i="4"/>
  <c r="F51" i="4"/>
  <c r="F56" i="4"/>
  <c r="F61" i="4"/>
  <c r="C7" i="7"/>
  <c r="F15" i="4"/>
  <c r="F20" i="4"/>
  <c r="F25" i="4"/>
  <c r="F30" i="4"/>
  <c r="F35" i="4"/>
  <c r="F40" i="4"/>
  <c r="F45" i="4"/>
  <c r="F50" i="4"/>
  <c r="F55" i="4"/>
  <c r="F60" i="4"/>
  <c r="C6" i="7"/>
  <c r="F14" i="4"/>
  <c r="F19" i="4"/>
  <c r="F24" i="4"/>
  <c r="F29" i="4"/>
  <c r="F34" i="4"/>
  <c r="F39" i="4"/>
  <c r="F44" i="4"/>
  <c r="F49" i="4"/>
  <c r="F54" i="4"/>
  <c r="F59" i="4"/>
  <c r="C5" i="7"/>
  <c r="F13" i="4"/>
  <c r="F18" i="4"/>
  <c r="F23" i="4"/>
  <c r="F28" i="4"/>
  <c r="F33" i="4"/>
  <c r="F38" i="4"/>
  <c r="F43" i="4"/>
  <c r="F48" i="4"/>
  <c r="F53" i="4"/>
  <c r="F58" i="4"/>
  <c r="C4" i="7"/>
  <c r="F12" i="4"/>
  <c r="F17" i="4"/>
  <c r="F22" i="4"/>
  <c r="F27" i="4"/>
  <c r="F32" i="4"/>
  <c r="F37" i="4"/>
  <c r="F42" i="4"/>
  <c r="F47" i="4"/>
  <c r="F52" i="4"/>
  <c r="F57" i="4"/>
  <c r="C3" i="7"/>
  <c r="C5" i="11"/>
  <c r="C6" i="10"/>
  <c r="C6" i="11"/>
  <c r="C4" i="11"/>
  <c r="C3" i="5"/>
  <c r="D4" i="11"/>
  <c r="E4" i="11"/>
  <c r="D3" i="5"/>
  <c r="E3" i="5"/>
  <c r="D6" i="11"/>
  <c r="E6" i="11"/>
  <c r="D6" i="10"/>
  <c r="E6" i="10"/>
  <c r="D5" i="11"/>
  <c r="E5" i="11"/>
  <c r="C3" i="10"/>
  <c r="C3" i="11"/>
  <c r="C5" i="5"/>
  <c r="C5" i="10"/>
  <c r="C7" i="5"/>
  <c r="C7" i="10"/>
  <c r="C4" i="5"/>
  <c r="C7" i="11"/>
  <c r="C4" i="10"/>
  <c r="C6" i="5"/>
  <c r="E6" i="5"/>
  <c r="D6" i="5"/>
  <c r="D7" i="11"/>
  <c r="E7" i="11"/>
  <c r="D4" i="10"/>
  <c r="E4" i="10"/>
  <c r="D3" i="10"/>
  <c r="E3" i="10"/>
  <c r="D3" i="11"/>
  <c r="E3" i="11"/>
  <c r="D7" i="10"/>
  <c r="E7" i="10"/>
  <c r="D7" i="5"/>
  <c r="E7" i="5"/>
  <c r="E5" i="5"/>
  <c r="D5" i="5"/>
  <c r="E4" i="5"/>
  <c r="D4" i="5"/>
  <c r="E5" i="10"/>
  <c r="D5" i="10"/>
</calcChain>
</file>

<file path=xl/sharedStrings.xml><?xml version="1.0" encoding="utf-8"?>
<sst xmlns="http://schemas.openxmlformats.org/spreadsheetml/2006/main" count="141" uniqueCount="102">
  <si>
    <t xml:space="preserve">50. a tendance à être facilement irritable. </t>
    <phoneticPr fontId="6" type="noConversion"/>
  </si>
  <si>
    <t xml:space="preserve">Afin de répondre aux questions, vous devez d'abord cliquer sur la  </t>
    <phoneticPr fontId="6" type="noConversion"/>
  </si>
  <si>
    <t xml:space="preserve">cellule "Choix de réponse" faisant face à chaque question. </t>
    <phoneticPr fontId="6" type="noConversion"/>
  </si>
  <si>
    <t>36. aime réfléchir, essayer de comprendre des choses complexes.</t>
    <phoneticPr fontId="6" type="noConversion"/>
  </si>
  <si>
    <t>37. est extraverti(e), sociable.</t>
    <phoneticPr fontId="6" type="noConversion"/>
  </si>
  <si>
    <t>39. planifie les choses à faire et suit ses plans jusqu’au bout.</t>
    <phoneticPr fontId="6" type="noConversion"/>
  </si>
  <si>
    <r>
      <t xml:space="preserve">"Questionnaire de personnalité" </t>
    </r>
    <r>
      <rPr>
        <sz val="10"/>
        <rFont val="Verdana"/>
      </rPr>
      <t xml:space="preserve">de ce document. Vous y trouverez   </t>
    </r>
    <phoneticPr fontId="6" type="noConversion"/>
  </si>
  <si>
    <t>Étapes</t>
    <phoneticPr fontId="6" type="noConversion"/>
  </si>
  <si>
    <t>être en mesure de voir votre score global pour chacun des traits du Big Five</t>
    <phoneticPr fontId="6" type="noConversion"/>
  </si>
  <si>
    <t xml:space="preserve">Vous verrez alors un petit bouton gris présentant deux flèches, tel que </t>
    <phoneticPr fontId="6" type="noConversion"/>
  </si>
  <si>
    <t>inventaire de personnalité court en 50 items et faisant usage d'une</t>
    <phoneticPr fontId="6" type="noConversion"/>
  </si>
  <si>
    <t>échelle de Likert à 5 ancrages.</t>
    <phoneticPr fontId="6" type="noConversion"/>
  </si>
  <si>
    <t xml:space="preserve">13. provoque des chicanes ou des disputes avec les autres. </t>
    <phoneticPr fontId="6" type="noConversion"/>
  </si>
  <si>
    <t xml:space="preserve">15. peut être tendu(e), stressé(e). </t>
    <phoneticPr fontId="6" type="noConversion"/>
  </si>
  <si>
    <t xml:space="preserve">19. a tendance à être désorganisé(e), en désordre. </t>
    <phoneticPr fontId="6" type="noConversion"/>
  </si>
  <si>
    <t xml:space="preserve">20. s’inquiète beaucoup à propos de plusieurs choses. </t>
    <phoneticPr fontId="6" type="noConversion"/>
  </si>
  <si>
    <t xml:space="preserve">22. est plutôt tranquille, ne parle pas beaucoup. </t>
    <phoneticPr fontId="6" type="noConversion"/>
  </si>
  <si>
    <t xml:space="preserve">24. a tendance à être paresseux(se). </t>
    <phoneticPr fontId="6" type="noConversion"/>
  </si>
  <si>
    <t xml:space="preserve">28. peut être distant(e) et froid(e) avec les autres. </t>
    <phoneticPr fontId="6" type="noConversion"/>
  </si>
  <si>
    <t>8. est serviable et généreux(se) avec les autres.</t>
    <phoneticPr fontId="6" type="noConversion"/>
  </si>
  <si>
    <t>Instructions</t>
    <phoneticPr fontId="6" type="noConversion"/>
  </si>
  <si>
    <t>Items</t>
    <phoneticPr fontId="6" type="noConversion"/>
  </si>
  <si>
    <t>Extraversion</t>
    <phoneticPr fontId="6" type="noConversion"/>
  </si>
  <si>
    <t>Ouverture</t>
    <phoneticPr fontId="6" type="noConversion"/>
  </si>
  <si>
    <t>Amabilité</t>
    <phoneticPr fontId="6" type="noConversion"/>
  </si>
  <si>
    <t>Contrôle</t>
    <phoneticPr fontId="6" type="noConversion"/>
  </si>
  <si>
    <t>Stabilité émotive</t>
    <phoneticPr fontId="6" type="noConversion"/>
  </si>
  <si>
    <t>Profil de personnalité</t>
    <phoneticPr fontId="6" type="noConversion"/>
  </si>
  <si>
    <t>42. aime les activités excitantes, qui procurent des sensations fortes.</t>
    <phoneticPr fontId="6" type="noConversion"/>
  </si>
  <si>
    <t xml:space="preserve">un tableau semblable à celui ci-dessous, mais plus complet. </t>
  </si>
  <si>
    <t xml:space="preserve">31. n’est pas vraiment intéressé(e) par les différentes cultures, leurs coutumes et valeurs. </t>
    <phoneticPr fontId="6" type="noConversion"/>
  </si>
  <si>
    <t xml:space="preserve">32. est timide, gêné(e). </t>
    <phoneticPr fontId="6" type="noConversion"/>
  </si>
  <si>
    <t xml:space="preserve">38. peut parfois être impoli(e) ou méchant(e) avec les autres. </t>
    <phoneticPr fontId="6" type="noConversion"/>
  </si>
  <si>
    <t xml:space="preserve">40. peut facilement devenir nerveux(se). </t>
    <phoneticPr fontId="6" type="noConversion"/>
  </si>
  <si>
    <t xml:space="preserve">41. a peu d’intérêts artistiques. </t>
    <phoneticPr fontId="6" type="noConversion"/>
  </si>
  <si>
    <t xml:space="preserve">44. est facilement distrait(e), a de la difficulté à rester attentif(ive). </t>
    <phoneticPr fontId="6" type="noConversion"/>
  </si>
  <si>
    <t xml:space="preserve">45. a tendance à se sentir inférieur(e) aux autres. </t>
    <phoneticPr fontId="6" type="noConversion"/>
  </si>
  <si>
    <t xml:space="preserve">48. peut tromper et manipuler les gens pour obtenir ce qu’il/elle veut. </t>
    <phoneticPr fontId="6" type="noConversion"/>
  </si>
  <si>
    <t xml:space="preserve">49. peut faire des choses impulsivement sans penser aux conséquences. </t>
    <phoneticPr fontId="6" type="noConversion"/>
  </si>
  <si>
    <t>29. persévère jusqu’à ce que la tâche à accomplir soit terminée.</t>
    <phoneticPr fontId="6" type="noConversion"/>
  </si>
  <si>
    <t>33. est attentionné(e) et aimable avec presque tout le monde.</t>
    <phoneticPr fontId="6" type="noConversion"/>
  </si>
  <si>
    <t xml:space="preserve">dans le tableau «Profil de personnalité», tel qu'illustré par l'exemple </t>
    <phoneticPr fontId="6" type="noConversion"/>
  </si>
  <si>
    <t>ci-dessous.</t>
  </si>
  <si>
    <t xml:space="preserve">Vous devriez aussi être en mesure de voir une représentation graphique de </t>
    <phoneticPr fontId="6" type="noConversion"/>
  </si>
  <si>
    <t>vous verrez apparaître un menu déroulant qui vous permettra</t>
    <phoneticPr fontId="6" type="noConversion"/>
  </si>
  <si>
    <t>d'effectuer votre choix de réponse</t>
    <phoneticPr fontId="6" type="noConversion"/>
  </si>
  <si>
    <t>1.</t>
    <phoneticPr fontId="6" type="noConversion"/>
  </si>
  <si>
    <t>2.</t>
    <phoneticPr fontId="6" type="noConversion"/>
  </si>
  <si>
    <t>3.</t>
    <phoneticPr fontId="6" type="noConversion"/>
  </si>
  <si>
    <t>16. a beaucoup d’imagination.</t>
    <phoneticPr fontId="6" type="noConversion"/>
  </si>
  <si>
    <t xml:space="preserve">Après avoir sélectionné correctement toutes vos réponses, vous devrez  </t>
    <phoneticPr fontId="6" type="noConversion"/>
  </si>
  <si>
    <t>ouvrir la feuille de calcul "Profil graphique". Sur cette feuille, vous devriez</t>
    <phoneticPr fontId="6" type="noConversion"/>
  </si>
  <si>
    <t>R</t>
    <phoneticPr fontId="6" type="noConversion"/>
  </si>
  <si>
    <t xml:space="preserve">3. a tendance à critiquer les autres. </t>
    <phoneticPr fontId="6" type="noConversion"/>
  </si>
  <si>
    <t xml:space="preserve">5. a tendance à être facilement déprimé(e), triste. </t>
    <phoneticPr fontId="6" type="noConversion"/>
  </si>
  <si>
    <t xml:space="preserve">7. est réservé(e) ou timide, a de la difficulté à aller vers les autres. </t>
    <phoneticPr fontId="6" type="noConversion"/>
  </si>
  <si>
    <t xml:space="preserve">9. peut être un peu négligent(e) et insouciant(e). </t>
    <phoneticPr fontId="6" type="noConversion"/>
  </si>
  <si>
    <t xml:space="preserve">Voici une liste de caractéristiques que les personnes peuvent manifester dans leur vie de tous les jours. Nous voudrions que vous indiquiez à quel </t>
    <phoneticPr fontId="6" type="noConversion"/>
  </si>
  <si>
    <t xml:space="preserve">point chacune de ces caractéristiques s’applique à vous. Ne pensez pas à des situations ou des personnes particulières, mais indiquez simplement     </t>
    <phoneticPr fontId="6" type="noConversion"/>
  </si>
  <si>
    <t>10. est généralement relaxe, gère bien le stress.</t>
    <phoneticPr fontId="6" type="noConversion"/>
  </si>
  <si>
    <t>11. est ingénieux(se), qui réfléchit beaucoup.</t>
    <phoneticPr fontId="6" type="noConversion"/>
  </si>
  <si>
    <t xml:space="preserve">30. peut être d’humeur changeante. </t>
    <phoneticPr fontId="6" type="noConversion"/>
  </si>
  <si>
    <t>Choix de réponse</t>
    <phoneticPr fontId="6" type="noConversion"/>
  </si>
  <si>
    <t>1. est original(e), a souvent de nouvelles idées.</t>
    <phoneticPr fontId="6" type="noConversion"/>
  </si>
  <si>
    <t>2. aime parler, exprime son opinion.</t>
    <phoneticPr fontId="6" type="noConversion"/>
  </si>
  <si>
    <t xml:space="preserve">à quel point ces caractéristiques s’appliquent à vous habituellement. Tout le monde peut être différents(es) pour toutes ces caractéristiques, il n’y </t>
    <phoneticPr fontId="6" type="noConversion"/>
  </si>
  <si>
    <t>Un peu d'accord</t>
    <phoneticPr fontId="6" type="noConversion"/>
  </si>
  <si>
    <r>
      <t>Pour répondre au questionnaire, vous devez ouvrir la feuille de calcul</t>
    </r>
    <r>
      <rPr>
        <sz val="10"/>
        <rFont val="Verdana"/>
      </rPr>
      <t xml:space="preserve"> </t>
    </r>
    <phoneticPr fontId="6" type="noConversion"/>
  </si>
  <si>
    <t>17. est un(une) leader, capable de convaincre les autres.</t>
    <phoneticPr fontId="6" type="noConversion"/>
  </si>
  <si>
    <t>18. est indulgent(e), pardonne facilement.</t>
    <phoneticPr fontId="6" type="noConversion"/>
  </si>
  <si>
    <t>43. aime coopérer avec les autres.</t>
    <phoneticPr fontId="6" type="noConversion"/>
  </si>
  <si>
    <t>21. est inventif(ive), créatif(ive).</t>
    <phoneticPr fontId="6" type="noConversion"/>
  </si>
  <si>
    <t>23. fait généralement confiance aux autres.</t>
    <phoneticPr fontId="6" type="noConversion"/>
  </si>
  <si>
    <t>25. est stable émotivement, n’est pas facilement bouleversé(e).</t>
    <phoneticPr fontId="6" type="noConversion"/>
  </si>
  <si>
    <t>a donc pas de bonnes ou de mauvaises réponses. S’il vous plaît sélectionnez un des choix de réponse afin d’indiquer à quel point vous êtes en accord ou</t>
    <phoneticPr fontId="6" type="noConversion"/>
  </si>
  <si>
    <t xml:space="preserve"> </t>
    <phoneticPr fontId="6" type="noConversion"/>
  </si>
  <si>
    <t xml:space="preserve">en désaccord avec chacun des énoncés.  Si vous n’êtes pas certain(e) d’une réponse et que vous hésitez, choisissez quand-même celle qui  </t>
    <phoneticPr fontId="6" type="noConversion"/>
  </si>
  <si>
    <t>vous représente le mieux.</t>
    <phoneticPr fontId="6" type="noConversion"/>
  </si>
  <si>
    <r>
      <t xml:space="preserve">Big-Five Personality Trait Short Questionnaire (BFPTSQ) - </t>
    </r>
    <r>
      <rPr>
        <b/>
        <i/>
        <sz val="10"/>
        <rFont val="Verdana"/>
      </rPr>
      <t>version française</t>
    </r>
    <phoneticPr fontId="6" type="noConversion"/>
  </si>
  <si>
    <t>Je me perçois comme quelqu’un qui  …</t>
    <phoneticPr fontId="6" type="noConversion"/>
  </si>
  <si>
    <t xml:space="preserve"> </t>
  </si>
  <si>
    <t>34. fait les choses efficacement, travaille bien et rapidement.</t>
    <phoneticPr fontId="6" type="noConversion"/>
  </si>
  <si>
    <t>35. reste calme dans les situations tendues ou stressantes.</t>
    <phoneticPr fontId="6" type="noConversion"/>
  </si>
  <si>
    <t>6. est curieux(se) à propos de plusieurs choses différentes.</t>
    <phoneticPr fontId="6" type="noConversion"/>
  </si>
  <si>
    <t>12. est plein(e) d’énergie, aime être toujours actif(ive).</t>
    <phoneticPr fontId="6" type="noConversion"/>
  </si>
  <si>
    <t>14. est un(une) étudiant(e) / travailleur(euse) fiable, sur qui on peut compter.</t>
    <phoneticPr fontId="6" type="noConversion"/>
  </si>
  <si>
    <t>46. est sophistiqué(e) en ce qui a trait aux arts, la musique, ou la littérature.</t>
    <phoneticPr fontId="6" type="noConversion"/>
  </si>
  <si>
    <t>47. a tendance à rire et s’amuser facilement.</t>
    <phoneticPr fontId="6" type="noConversion"/>
  </si>
  <si>
    <t>4. travaille consciencieusement, fait bien les choses qu’il/elle a à faire.</t>
    <phoneticPr fontId="6" type="noConversion"/>
  </si>
  <si>
    <t>montré par le cercle rouge ci-dessous. Si vous cliquez sur ce bouton</t>
  </si>
  <si>
    <t>votre profil de personnalité, tel qu'illustré par l'exemple ci-dessous.</t>
  </si>
  <si>
    <t>4.</t>
    <phoneticPr fontId="6" type="noConversion"/>
  </si>
  <si>
    <t>Voilà! Bon cours à tous.</t>
    <phoneticPr fontId="6" type="noConversion"/>
  </si>
  <si>
    <t>Fortement en désaccord</t>
    <phoneticPr fontId="6" type="noConversion"/>
  </si>
  <si>
    <t>Un peu en désaccord</t>
    <phoneticPr fontId="6" type="noConversion"/>
  </si>
  <si>
    <t>Opinion neutre</t>
    <phoneticPr fontId="6" type="noConversion"/>
  </si>
  <si>
    <t>Fortement d'accord</t>
    <phoneticPr fontId="6" type="noConversion"/>
  </si>
  <si>
    <t>26. aime les expériences artistiques ou esthétiques.</t>
    <phoneticPr fontId="6" type="noConversion"/>
  </si>
  <si>
    <t>27. montre de l’assurance, est capable de s’affirmer.</t>
    <phoneticPr fontId="6" type="noConversion"/>
  </si>
  <si>
    <t xml:space="preserve">Le Big-Five Personality Trait Short Questionnaire (BFPTSQ; Morizot, 2014) est un </t>
  </si>
  <si>
    <r>
      <t xml:space="preserve">Morizot, J. (2014). Construct Validity of Adolescents’ Self-Reported Big Five Personality Traits Importance of Conceptual Breadth and Initial Validation of a Short Measure. </t>
    </r>
    <r>
      <rPr>
        <i/>
        <sz val="10"/>
        <rFont val="Verdana"/>
        <family val="2"/>
      </rPr>
      <t>Assessment, 21</t>
    </r>
    <r>
      <rPr>
        <sz val="10"/>
        <rFont val="Verdana"/>
      </rPr>
      <t>(5), 580-606.</t>
    </r>
  </si>
  <si>
    <t>Fortement en désaccord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</si>
</sst>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Verdana"/>
    </font>
    <font>
      <b/>
      <i/>
      <sz val="10"/>
      <name val="Verdana"/>
    </font>
    <font>
      <b/>
      <sz val="10"/>
      <name val="Verdana"/>
    </font>
    <font>
      <b/>
      <i/>
      <sz val="10"/>
      <name val="Verdana"/>
    </font>
    <font>
      <sz val="10"/>
      <name val="Verdana"/>
    </font>
    <font>
      <b/>
      <sz val="10"/>
      <name val="Verdana"/>
    </font>
    <font>
      <sz val="8"/>
      <name val="Verdana"/>
    </font>
    <font>
      <sz val="12"/>
      <name val="Times New Roman"/>
    </font>
    <font>
      <sz val="20"/>
      <name val="Times New Roman"/>
    </font>
    <font>
      <sz val="10"/>
      <color indexed="9"/>
      <name val="Verdana"/>
    </font>
    <font>
      <i/>
      <sz val="10"/>
      <name val="Verdana"/>
      <family val="2"/>
    </font>
    <font>
      <sz val="10"/>
      <name val="Verdana"/>
      <family val="2"/>
    </font>
    <font>
      <u/>
      <sz val="10"/>
      <color theme="10"/>
      <name val="Verdana"/>
    </font>
    <font>
      <u/>
      <sz val="10"/>
      <color theme="11"/>
      <name val="Verdana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5" fillId="0" borderId="0" xfId="0" applyFont="1"/>
    <xf numFmtId="0" fontId="5" fillId="0" borderId="1" xfId="0" applyFont="1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5" xfId="0" applyBorder="1"/>
    <xf numFmtId="0" fontId="0" fillId="0" borderId="8" xfId="0" applyBorder="1"/>
    <xf numFmtId="0" fontId="0" fillId="0" borderId="11" xfId="0" applyBorder="1"/>
    <xf numFmtId="0" fontId="2" fillId="0" borderId="0" xfId="0" applyFont="1"/>
    <xf numFmtId="0" fontId="0" fillId="0" borderId="18" xfId="0" applyBorder="1"/>
    <xf numFmtId="0" fontId="0" fillId="0" borderId="20" xfId="0" applyBorder="1"/>
    <xf numFmtId="0" fontId="0" fillId="2" borderId="2" xfId="0" applyFill="1" applyBorder="1"/>
    <xf numFmtId="0" fontId="0" fillId="3" borderId="9" xfId="0" applyFill="1" applyBorder="1"/>
    <xf numFmtId="0" fontId="7" fillId="0" borderId="0" xfId="0" applyFont="1"/>
    <xf numFmtId="0" fontId="0" fillId="0" borderId="17" xfId="0" applyBorder="1"/>
    <xf numFmtId="0" fontId="2" fillId="0" borderId="7" xfId="0" applyFont="1" applyBorder="1"/>
    <xf numFmtId="0" fontId="0" fillId="0" borderId="22" xfId="0" applyBorder="1"/>
    <xf numFmtId="0" fontId="0" fillId="3" borderId="14" xfId="0" applyFill="1" applyBorder="1"/>
    <xf numFmtId="0" fontId="0" fillId="3" borderId="16" xfId="0" applyFill="1" applyBorder="1"/>
    <xf numFmtId="0" fontId="3" fillId="0" borderId="13" xfId="0" applyFont="1" applyBorder="1"/>
    <xf numFmtId="0" fontId="4" fillId="0" borderId="0" xfId="0" applyFont="1"/>
    <xf numFmtId="0" fontId="8" fillId="0" borderId="0" xfId="0" applyFont="1"/>
    <xf numFmtId="0" fontId="0" fillId="2" borderId="1" xfId="0" applyFill="1" applyBorder="1"/>
    <xf numFmtId="0" fontId="0" fillId="2" borderId="12" xfId="0" applyFill="1" applyBorder="1"/>
    <xf numFmtId="0" fontId="2" fillId="2" borderId="12" xfId="0" applyFont="1" applyFill="1" applyBorder="1"/>
    <xf numFmtId="0" fontId="4" fillId="0" borderId="20" xfId="0" applyFont="1" applyBorder="1"/>
    <xf numFmtId="0" fontId="0" fillId="5" borderId="0" xfId="0" applyFill="1"/>
    <xf numFmtId="0" fontId="2" fillId="5" borderId="0" xfId="0" applyFont="1" applyFill="1" applyAlignment="1">
      <alignment horizontal="center"/>
    </xf>
    <xf numFmtId="0" fontId="2" fillId="3" borderId="6" xfId="0" applyFont="1" applyFill="1" applyBorder="1"/>
    <xf numFmtId="0" fontId="0" fillId="3" borderId="6" xfId="0" applyFill="1" applyBorder="1"/>
    <xf numFmtId="0" fontId="4" fillId="0" borderId="18" xfId="0" applyFont="1" applyBorder="1"/>
    <xf numFmtId="0" fontId="0" fillId="3" borderId="3" xfId="0" applyFill="1" applyBorder="1"/>
    <xf numFmtId="0" fontId="2" fillId="3" borderId="3" xfId="0" applyFont="1" applyFill="1" applyBorder="1"/>
    <xf numFmtId="0" fontId="2" fillId="4" borderId="7" xfId="0" applyFont="1" applyFill="1" applyBorder="1"/>
    <xf numFmtId="0" fontId="0" fillId="5" borderId="8" xfId="0" applyFill="1" applyBorder="1"/>
    <xf numFmtId="0" fontId="0" fillId="0" borderId="19" xfId="0" applyBorder="1"/>
    <xf numFmtId="0" fontId="0" fillId="0" borderId="21" xfId="0" applyBorder="1"/>
    <xf numFmtId="0" fontId="7" fillId="0" borderId="22" xfId="0" applyFont="1" applyBorder="1"/>
    <xf numFmtId="0" fontId="0" fillId="0" borderId="13" xfId="0" applyBorder="1"/>
    <xf numFmtId="0" fontId="5" fillId="2" borderId="7" xfId="0" applyFont="1" applyFill="1" applyBorder="1"/>
    <xf numFmtId="0" fontId="5" fillId="2" borderId="13" xfId="0" applyFont="1" applyFill="1" applyBorder="1"/>
    <xf numFmtId="0" fontId="9" fillId="0" borderId="0" xfId="0" applyFont="1"/>
    <xf numFmtId="0" fontId="0" fillId="0" borderId="23" xfId="0" applyBorder="1"/>
    <xf numFmtId="0" fontId="0" fillId="0" borderId="14" xfId="0" applyBorder="1"/>
    <xf numFmtId="0" fontId="0" fillId="0" borderId="15" xfId="0" applyBorder="1"/>
    <xf numFmtId="0" fontId="5" fillId="0" borderId="4" xfId="0" applyFont="1" applyBorder="1"/>
    <xf numFmtId="0" fontId="5" fillId="0" borderId="7" xfId="0" applyFont="1" applyBorder="1"/>
    <xf numFmtId="0" fontId="5" fillId="0" borderId="10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1" xfId="0" applyFont="1" applyBorder="1"/>
    <xf numFmtId="0" fontId="0" fillId="4" borderId="23" xfId="0" applyFill="1" applyBorder="1"/>
    <xf numFmtId="0" fontId="11" fillId="0" borderId="0" xfId="0" applyFont="1"/>
  </cellXfs>
  <cellStyles count="7">
    <cellStyle name="Lien hypertexte" xfId="1" builtinId="8" hidden="1"/>
    <cellStyle name="Lien hypertexte" xfId="3" builtinId="8" hidden="1"/>
    <cellStyle name="Lien hypertexte" xfId="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'Profil graphique'!$C$2</c:f>
              <c:strCache>
                <c:ptCount val="1"/>
                <c:pt idx="0">
                  <c:v>Profil de personnalité</c:v>
                </c:pt>
              </c:strCache>
            </c:strRef>
          </c:tx>
          <c:cat>
            <c:strRef>
              <c:f>'Profil graphique'!$B$3:$B$7</c:f>
              <c:strCache>
                <c:ptCount val="5"/>
                <c:pt idx="0">
                  <c:v>Ouverture</c:v>
                </c:pt>
                <c:pt idx="1">
                  <c:v>Extraversion</c:v>
                </c:pt>
                <c:pt idx="2">
                  <c:v>Amabilité</c:v>
                </c:pt>
                <c:pt idx="3">
                  <c:v>Contrôle</c:v>
                </c:pt>
                <c:pt idx="4">
                  <c:v>Stabilité émotive</c:v>
                </c:pt>
              </c:strCache>
            </c:strRef>
          </c:cat>
          <c:val>
            <c:numRef>
              <c:f>'Profil graphique'!$C$3:$C$7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2-41F9-A7D1-E5585A774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277488"/>
        <c:axId val="267270432"/>
      </c:lineChart>
      <c:catAx>
        <c:axId val="267277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7270432"/>
        <c:crosses val="autoZero"/>
        <c:auto val="1"/>
        <c:lblAlgn val="ctr"/>
        <c:lblOffset val="100"/>
        <c:noMultiLvlLbl val="0"/>
      </c:catAx>
      <c:valAx>
        <c:axId val="267270432"/>
        <c:scaling>
          <c:orientation val="minMax"/>
          <c:max val="4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727748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fr-CA"/>
            </a:pPr>
            <a:r>
              <a:rPr lang="fr-CA"/>
              <a:t>Profil de personnalité - Hommes 18-29</a:t>
            </a:r>
            <a:r>
              <a:rPr lang="fr-CA" baseline="0"/>
              <a:t> ans score z</a:t>
            </a:r>
            <a:endParaRPr lang="fr-CA"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'Comparatif 18-29 ans'!$D$2</c:f>
              <c:strCache>
                <c:ptCount val="1"/>
              </c:strCache>
            </c:strRef>
          </c:tx>
          <c:cat>
            <c:strRef>
              <c:f>'Comparatif 18-29 ans'!$B$3:$B$7</c:f>
              <c:strCache>
                <c:ptCount val="5"/>
                <c:pt idx="0">
                  <c:v>Ouverture</c:v>
                </c:pt>
                <c:pt idx="1">
                  <c:v>Extraversion</c:v>
                </c:pt>
                <c:pt idx="2">
                  <c:v>Amabilité</c:v>
                </c:pt>
                <c:pt idx="3">
                  <c:v>Contrôle</c:v>
                </c:pt>
                <c:pt idx="4">
                  <c:v>Stabilité émotive</c:v>
                </c:pt>
              </c:strCache>
            </c:strRef>
          </c:cat>
          <c:val>
            <c:numRef>
              <c:f>'Comparatif 18-29 ans'!$D$3:$D$7</c:f>
              <c:numCache>
                <c:formatCode>General</c:formatCode>
                <c:ptCount val="5"/>
                <c:pt idx="0">
                  <c:v>-4.9599023709902372</c:v>
                </c:pt>
                <c:pt idx="1">
                  <c:v>-4.2365494439434928</c:v>
                </c:pt>
                <c:pt idx="2">
                  <c:v>-4.7551705851157857</c:v>
                </c:pt>
                <c:pt idx="3">
                  <c:v>-4.6059291395516997</c:v>
                </c:pt>
                <c:pt idx="4">
                  <c:v>-3.1466527741599375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B-42AC-8342-F3FCAC669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276704"/>
        <c:axId val="267273568"/>
      </c:lineChart>
      <c:catAx>
        <c:axId val="267276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="b" anchorCtr="0"/>
          <a:lstStyle/>
          <a:p>
            <a:pPr>
              <a:defRPr lang="fr-CA"/>
            </a:pPr>
            <a:endParaRPr lang="fr-FR"/>
          </a:p>
        </c:txPr>
        <c:crossAx val="267273568"/>
        <c:crosses val="autoZero"/>
        <c:auto val="1"/>
        <c:lblAlgn val="ctr"/>
        <c:lblOffset val="100"/>
        <c:noMultiLvlLbl val="0"/>
      </c:catAx>
      <c:valAx>
        <c:axId val="267273568"/>
        <c:scaling>
          <c:orientation val="minMax"/>
          <c:max val="3"/>
          <c:min val="-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fr-CA"/>
            </a:pPr>
            <a:endParaRPr lang="fr-FR"/>
          </a:p>
        </c:txPr>
        <c:crossAx val="267276704"/>
        <c:crosses val="autoZero"/>
        <c:crossBetween val="between"/>
        <c:minorUnit val="0.1"/>
      </c:valAx>
    </c:plotArea>
    <c:legend>
      <c:legendPos val="r"/>
      <c:overlay val="0"/>
      <c:txPr>
        <a:bodyPr/>
        <a:lstStyle/>
        <a:p>
          <a:pPr>
            <a:defRPr lang="fr-CA"/>
          </a:pPr>
          <a:endParaRPr lang="fr-FR"/>
        </a:p>
      </c:txPr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fr-CA"/>
            </a:pPr>
            <a:r>
              <a:rPr lang="fr-CA"/>
              <a:t>Profil de personnalité - Femmes 18-29</a:t>
            </a:r>
            <a:r>
              <a:rPr lang="fr-CA" baseline="0"/>
              <a:t> ans score z</a:t>
            </a:r>
            <a:endParaRPr lang="fr-CA"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'Comparatif 18-29 ans'!$E$2</c:f>
              <c:strCache>
                <c:ptCount val="1"/>
              </c:strCache>
            </c:strRef>
          </c:tx>
          <c:cat>
            <c:strRef>
              <c:f>'Comparatif 18-29 ans'!$B$3:$B$7</c:f>
              <c:strCache>
                <c:ptCount val="5"/>
                <c:pt idx="0">
                  <c:v>Ouverture</c:v>
                </c:pt>
                <c:pt idx="1">
                  <c:v>Extraversion</c:v>
                </c:pt>
                <c:pt idx="2">
                  <c:v>Amabilité</c:v>
                </c:pt>
                <c:pt idx="3">
                  <c:v>Contrôle</c:v>
                </c:pt>
                <c:pt idx="4">
                  <c:v>Stabilité émotive</c:v>
                </c:pt>
              </c:strCache>
            </c:strRef>
          </c:cat>
          <c:val>
            <c:numRef>
              <c:f>'Comparatif 18-29 ans'!$E$3:$E$7</c:f>
              <c:numCache>
                <c:formatCode>General</c:formatCode>
                <c:ptCount val="5"/>
                <c:pt idx="0">
                  <c:v>-4.9174343820615327</c:v>
                </c:pt>
                <c:pt idx="1">
                  <c:v>-4.1268175685804227</c:v>
                </c:pt>
                <c:pt idx="2">
                  <c:v>-5.6726500675545264</c:v>
                </c:pt>
                <c:pt idx="3">
                  <c:v>-4.6255077173030053</c:v>
                </c:pt>
                <c:pt idx="4">
                  <c:v>-2.5146656237778644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0-4BEB-A087-94D5CBC25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270040"/>
        <c:axId val="267275136"/>
      </c:lineChart>
      <c:catAx>
        <c:axId val="267270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="b" anchorCtr="0"/>
          <a:lstStyle/>
          <a:p>
            <a:pPr>
              <a:defRPr lang="fr-CA"/>
            </a:pPr>
            <a:endParaRPr lang="fr-FR"/>
          </a:p>
        </c:txPr>
        <c:crossAx val="267275136"/>
        <c:crosses val="autoZero"/>
        <c:auto val="1"/>
        <c:lblAlgn val="ctr"/>
        <c:lblOffset val="100"/>
        <c:noMultiLvlLbl val="0"/>
      </c:catAx>
      <c:valAx>
        <c:axId val="267275136"/>
        <c:scaling>
          <c:orientation val="minMax"/>
          <c:max val="3"/>
          <c:min val="-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fr-CA"/>
            </a:pPr>
            <a:endParaRPr lang="fr-FR"/>
          </a:p>
        </c:txPr>
        <c:crossAx val="267270040"/>
        <c:crosses val="autoZero"/>
        <c:crossBetween val="between"/>
        <c:minorUnit val="0.1"/>
      </c:valAx>
    </c:plotArea>
    <c:legend>
      <c:legendPos val="r"/>
      <c:overlay val="0"/>
      <c:txPr>
        <a:bodyPr/>
        <a:lstStyle/>
        <a:p>
          <a:pPr>
            <a:defRPr lang="fr-CA"/>
          </a:pPr>
          <a:endParaRPr lang="fr-FR"/>
        </a:p>
      </c:txPr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fr-CA"/>
            </a:pPr>
            <a:r>
              <a:rPr lang="fr-CA"/>
              <a:t>Profil de personnalité - Hommes 30-39</a:t>
            </a:r>
            <a:r>
              <a:rPr lang="fr-CA" baseline="0"/>
              <a:t> ans score z</a:t>
            </a:r>
            <a:endParaRPr lang="fr-CA"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'Comparatif 30-39 ans'!$D$2</c:f>
              <c:strCache>
                <c:ptCount val="1"/>
              </c:strCache>
            </c:strRef>
          </c:tx>
          <c:cat>
            <c:strRef>
              <c:f>'Comparatif 30-39 ans'!$B$3:$B$7</c:f>
              <c:strCache>
                <c:ptCount val="5"/>
                <c:pt idx="0">
                  <c:v>Ouverture</c:v>
                </c:pt>
                <c:pt idx="1">
                  <c:v>Extraversion</c:v>
                </c:pt>
                <c:pt idx="2">
                  <c:v>Amabilité</c:v>
                </c:pt>
                <c:pt idx="3">
                  <c:v>Contrôle</c:v>
                </c:pt>
                <c:pt idx="4">
                  <c:v>Stabilité émotive</c:v>
                </c:pt>
              </c:strCache>
            </c:strRef>
          </c:cat>
          <c:val>
            <c:numRef>
              <c:f>'Comparatif 30-39 ans'!$D$3:$D$7</c:f>
              <c:numCache>
                <c:formatCode>General</c:formatCode>
                <c:ptCount val="5"/>
                <c:pt idx="0">
                  <c:v>-4.342065184282669</c:v>
                </c:pt>
                <c:pt idx="1">
                  <c:v>-4.0060940220545556</c:v>
                </c:pt>
                <c:pt idx="2">
                  <c:v>-4.5531141582686265</c:v>
                </c:pt>
                <c:pt idx="3">
                  <c:v>-4.7931914893617025</c:v>
                </c:pt>
                <c:pt idx="4">
                  <c:v>-3.2613745047137588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7-409E-8868-B78D6D86C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271216"/>
        <c:axId val="267271608"/>
      </c:lineChart>
      <c:catAx>
        <c:axId val="267271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="b" anchorCtr="0"/>
          <a:lstStyle/>
          <a:p>
            <a:pPr>
              <a:defRPr lang="fr-CA"/>
            </a:pPr>
            <a:endParaRPr lang="fr-FR"/>
          </a:p>
        </c:txPr>
        <c:crossAx val="267271608"/>
        <c:crosses val="autoZero"/>
        <c:auto val="1"/>
        <c:lblAlgn val="ctr"/>
        <c:lblOffset val="100"/>
        <c:noMultiLvlLbl val="0"/>
      </c:catAx>
      <c:valAx>
        <c:axId val="267271608"/>
        <c:scaling>
          <c:orientation val="minMax"/>
          <c:max val="3"/>
          <c:min val="-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fr-CA"/>
            </a:pPr>
            <a:endParaRPr lang="fr-FR"/>
          </a:p>
        </c:txPr>
        <c:crossAx val="2672712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fr-CA"/>
          </a:pPr>
          <a:endParaRPr lang="fr-FR"/>
        </a:p>
      </c:txPr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fr-CA"/>
            </a:pPr>
            <a:r>
              <a:rPr lang="fr-CA"/>
              <a:t>Profil de personnalité - Femmes 30-39</a:t>
            </a:r>
            <a:r>
              <a:rPr lang="fr-CA" baseline="0"/>
              <a:t> ans score z</a:t>
            </a:r>
            <a:endParaRPr lang="fr-CA"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'Comparatif 30-39 ans'!$E$2</c:f>
              <c:strCache>
                <c:ptCount val="1"/>
              </c:strCache>
            </c:strRef>
          </c:tx>
          <c:cat>
            <c:strRef>
              <c:f>'Comparatif 30-39 ans'!$B$3:$B$7</c:f>
              <c:strCache>
                <c:ptCount val="5"/>
                <c:pt idx="0">
                  <c:v>Ouverture</c:v>
                </c:pt>
                <c:pt idx="1">
                  <c:v>Extraversion</c:v>
                </c:pt>
                <c:pt idx="2">
                  <c:v>Amabilité</c:v>
                </c:pt>
                <c:pt idx="3">
                  <c:v>Contrôle</c:v>
                </c:pt>
                <c:pt idx="4">
                  <c:v>Stabilité émotive</c:v>
                </c:pt>
              </c:strCache>
            </c:strRef>
          </c:cat>
          <c:val>
            <c:numRef>
              <c:f>'Comparatif 30-39 ans'!$E$3:$E$7</c:f>
              <c:numCache>
                <c:formatCode>General</c:formatCode>
                <c:ptCount val="5"/>
                <c:pt idx="0">
                  <c:v>-4.6096774193548384</c:v>
                </c:pt>
                <c:pt idx="1">
                  <c:v>-4.3210438476710662</c:v>
                </c:pt>
                <c:pt idx="2">
                  <c:v>-5.1073035652474914</c:v>
                </c:pt>
                <c:pt idx="3">
                  <c:v>-5.5930339138405136</c:v>
                </c:pt>
                <c:pt idx="4">
                  <c:v>-2.6470955652717052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4-4686-833D-9DED45C2A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274352"/>
        <c:axId val="267274744"/>
      </c:lineChart>
      <c:catAx>
        <c:axId val="267274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="b" anchorCtr="0"/>
          <a:lstStyle/>
          <a:p>
            <a:pPr>
              <a:defRPr lang="fr-CA"/>
            </a:pPr>
            <a:endParaRPr lang="fr-FR"/>
          </a:p>
        </c:txPr>
        <c:crossAx val="267274744"/>
        <c:crosses val="autoZero"/>
        <c:auto val="1"/>
        <c:lblAlgn val="ctr"/>
        <c:lblOffset val="100"/>
        <c:noMultiLvlLbl val="0"/>
      </c:catAx>
      <c:valAx>
        <c:axId val="267274744"/>
        <c:scaling>
          <c:orientation val="minMax"/>
          <c:max val="3"/>
          <c:min val="-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fr-CA"/>
            </a:pPr>
            <a:endParaRPr lang="fr-FR"/>
          </a:p>
        </c:txPr>
        <c:crossAx val="2672743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fr-CA"/>
          </a:pPr>
          <a:endParaRPr lang="fr-FR"/>
        </a:p>
      </c:txPr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fr-CA"/>
            </a:pPr>
            <a:r>
              <a:t>Profil de personnalité</a:t>
            </a:r>
            <a:r>
              <a:rPr lang="fr-CA"/>
              <a:t> - Hommes 40-49</a:t>
            </a:r>
            <a:r>
              <a:rPr lang="fr-CA" baseline="0"/>
              <a:t> ans score z</a:t>
            </a:r>
            <a:endParaRPr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'Comparatif 40-49 ans'!$D$2</c:f>
              <c:strCache>
                <c:ptCount val="1"/>
              </c:strCache>
            </c:strRef>
          </c:tx>
          <c:cat>
            <c:strRef>
              <c:f>'Comparatif 40-49 ans'!$B$3:$B$7</c:f>
              <c:strCache>
                <c:ptCount val="5"/>
                <c:pt idx="0">
                  <c:v>Ouverture</c:v>
                </c:pt>
                <c:pt idx="1">
                  <c:v>Extraversion</c:v>
                </c:pt>
                <c:pt idx="2">
                  <c:v>Amabilité</c:v>
                </c:pt>
                <c:pt idx="3">
                  <c:v>Contrôle</c:v>
                </c:pt>
                <c:pt idx="4">
                  <c:v>Stabilité émotive</c:v>
                </c:pt>
              </c:strCache>
            </c:strRef>
          </c:cat>
          <c:val>
            <c:numRef>
              <c:f>'Comparatif 40-49 ans'!$D$3:$D$7</c:f>
              <c:numCache>
                <c:formatCode>General</c:formatCode>
                <c:ptCount val="5"/>
                <c:pt idx="0">
                  <c:v>-4.939587775408671</c:v>
                </c:pt>
                <c:pt idx="1">
                  <c:v>-4.0568551969203437</c:v>
                </c:pt>
                <c:pt idx="2">
                  <c:v>-5.5459104938271606</c:v>
                </c:pt>
                <c:pt idx="3">
                  <c:v>-5.4456874774449657</c:v>
                </c:pt>
                <c:pt idx="4">
                  <c:v>-3.7366025546909412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8-418D-B432-F1DE4F82F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128760"/>
        <c:axId val="268125232"/>
      </c:lineChart>
      <c:catAx>
        <c:axId val="268128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="b" anchorCtr="0"/>
          <a:lstStyle/>
          <a:p>
            <a:pPr>
              <a:defRPr lang="fr-CA"/>
            </a:pPr>
            <a:endParaRPr lang="fr-FR"/>
          </a:p>
        </c:txPr>
        <c:crossAx val="268125232"/>
        <c:crosses val="autoZero"/>
        <c:auto val="1"/>
        <c:lblAlgn val="ctr"/>
        <c:lblOffset val="100"/>
        <c:noMultiLvlLbl val="0"/>
      </c:catAx>
      <c:valAx>
        <c:axId val="268125232"/>
        <c:scaling>
          <c:orientation val="minMax"/>
          <c:max val="3"/>
          <c:min val="-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fr-CA"/>
            </a:pPr>
            <a:endParaRPr lang="fr-FR"/>
          </a:p>
        </c:txPr>
        <c:crossAx val="2681287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fr-CA"/>
          </a:pPr>
          <a:endParaRPr lang="fr-FR"/>
        </a:p>
      </c:txPr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fr-CA"/>
            </a:pPr>
            <a:r>
              <a:t>Profil de personnalité</a:t>
            </a:r>
            <a:r>
              <a:rPr lang="fr-CA"/>
              <a:t> - Femmes 40-49</a:t>
            </a:r>
            <a:r>
              <a:rPr lang="fr-CA" baseline="0"/>
              <a:t> ans score z</a:t>
            </a:r>
            <a:endParaRPr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'Comparatif 40-49 ans'!$E$2</c:f>
              <c:strCache>
                <c:ptCount val="1"/>
              </c:strCache>
            </c:strRef>
          </c:tx>
          <c:cat>
            <c:strRef>
              <c:f>'Comparatif 40-49 ans'!$B$3:$B$7</c:f>
              <c:strCache>
                <c:ptCount val="5"/>
                <c:pt idx="0">
                  <c:v>Ouverture</c:v>
                </c:pt>
                <c:pt idx="1">
                  <c:v>Extraversion</c:v>
                </c:pt>
                <c:pt idx="2">
                  <c:v>Amabilité</c:v>
                </c:pt>
                <c:pt idx="3">
                  <c:v>Contrôle</c:v>
                </c:pt>
                <c:pt idx="4">
                  <c:v>Stabilité émotive</c:v>
                </c:pt>
              </c:strCache>
            </c:strRef>
          </c:cat>
          <c:val>
            <c:numRef>
              <c:f>'Comparatif 40-49 ans'!$E$3:$E$7</c:f>
              <c:numCache>
                <c:formatCode>General</c:formatCode>
                <c:ptCount val="5"/>
                <c:pt idx="0">
                  <c:v>-3.8276440962506997</c:v>
                </c:pt>
                <c:pt idx="1">
                  <c:v>-3.679270946681175</c:v>
                </c:pt>
                <c:pt idx="2">
                  <c:v>-7.0794496227252548</c:v>
                </c:pt>
                <c:pt idx="3">
                  <c:v>-6.291276961252148</c:v>
                </c:pt>
                <c:pt idx="4">
                  <c:v>-2.7719857721084264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F-4F0F-BDF2-6EF6016C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123272"/>
        <c:axId val="268126800"/>
      </c:lineChart>
      <c:catAx>
        <c:axId val="268123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="b" anchorCtr="0"/>
          <a:lstStyle/>
          <a:p>
            <a:pPr>
              <a:defRPr lang="fr-CA"/>
            </a:pPr>
            <a:endParaRPr lang="fr-FR"/>
          </a:p>
        </c:txPr>
        <c:crossAx val="268126800"/>
        <c:crosses val="autoZero"/>
        <c:auto val="1"/>
        <c:lblAlgn val="ctr"/>
        <c:lblOffset val="100"/>
        <c:noMultiLvlLbl val="0"/>
      </c:catAx>
      <c:valAx>
        <c:axId val="268126800"/>
        <c:scaling>
          <c:orientation val="minMax"/>
          <c:max val="3"/>
          <c:min val="-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fr-CA"/>
            </a:pPr>
            <a:endParaRPr lang="fr-FR"/>
          </a:p>
        </c:txPr>
        <c:crossAx val="268123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fr-CA"/>
          </a:pPr>
          <a:endParaRPr lang="fr-FR"/>
        </a:p>
      </c:txPr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939800</xdr:colOff>
      <xdr:row>35</xdr:row>
      <xdr:rowOff>0</xdr:rowOff>
    </xdr:from>
    <xdr:to>
      <xdr:col>7</xdr:col>
      <xdr:colOff>3175</xdr:colOff>
      <xdr:row>38</xdr:row>
      <xdr:rowOff>150698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2300" y="5842000"/>
          <a:ext cx="4673600" cy="6459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6</xdr:col>
      <xdr:colOff>835025</xdr:colOff>
      <xdr:row>28</xdr:row>
      <xdr:rowOff>150698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4178300"/>
          <a:ext cx="4673600" cy="645998"/>
        </a:xfrm>
        <a:prstGeom prst="rect">
          <a:avLst/>
        </a:prstGeom>
      </xdr:spPr>
    </xdr:pic>
    <xdr:clientData/>
  </xdr:twoCellAnchor>
  <xdr:twoCellAnchor>
    <xdr:from>
      <xdr:col>6</xdr:col>
      <xdr:colOff>571500</xdr:colOff>
      <xdr:row>36</xdr:row>
      <xdr:rowOff>12700</xdr:rowOff>
    </xdr:from>
    <xdr:to>
      <xdr:col>6</xdr:col>
      <xdr:colOff>876300</xdr:colOff>
      <xdr:row>37</xdr:row>
      <xdr:rowOff>152400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86500" y="6019800"/>
          <a:ext cx="304800" cy="304800"/>
        </a:xfrm>
        <a:prstGeom prst="ellipse">
          <a:avLst/>
        </a:prstGeom>
        <a:noFill/>
        <a:ln w="57150" cmpd="sng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6</xdr:col>
      <xdr:colOff>533400</xdr:colOff>
      <xdr:row>26</xdr:row>
      <xdr:rowOff>164113</xdr:rowOff>
    </xdr:from>
    <xdr:to>
      <xdr:col>6</xdr:col>
      <xdr:colOff>673100</xdr:colOff>
      <xdr:row>27</xdr:row>
      <xdr:rowOff>140521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4507513"/>
          <a:ext cx="139700" cy="141508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444500</xdr:colOff>
      <xdr:row>47</xdr:row>
      <xdr:rowOff>38100</xdr:rowOff>
    </xdr:from>
    <xdr:to>
      <xdr:col>5</xdr:col>
      <xdr:colOff>835025</xdr:colOff>
      <xdr:row>53</xdr:row>
      <xdr:rowOff>0</xdr:rowOff>
    </xdr:to>
    <xdr:pic>
      <xdr:nvPicPr>
        <xdr:cNvPr id="1027" name="Picture 3" descr="Macintosh HD:Users:leandre-alexischenardpoirier:Library:Caches:TemporaryItems:msoclip:0:clip_image002.png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349500" y="8204200"/>
          <a:ext cx="3276600" cy="10541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101600</xdr:colOff>
      <xdr:row>57</xdr:row>
      <xdr:rowOff>101600</xdr:rowOff>
    </xdr:from>
    <xdr:to>
      <xdr:col>5</xdr:col>
      <xdr:colOff>546100</xdr:colOff>
      <xdr:row>68</xdr:row>
      <xdr:rowOff>0</xdr:rowOff>
    </xdr:to>
    <xdr:pic>
      <xdr:nvPicPr>
        <xdr:cNvPr id="1028" name="Picture 4" descr="Macintosh HD:Users:leandre-alexischenardpoirier:Library:Caches:TemporaryItems:msoclip:0:clip_image004.png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006600" y="10071100"/>
          <a:ext cx="3302000" cy="18161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679450</xdr:colOff>
      <xdr:row>11</xdr:row>
      <xdr:rowOff>38100</xdr:rowOff>
    </xdr:from>
    <xdr:to>
      <xdr:col>12</xdr:col>
      <xdr:colOff>914400</xdr:colOff>
      <xdr:row>37</xdr:row>
      <xdr:rowOff>88900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13</xdr:row>
      <xdr:rowOff>76200</xdr:rowOff>
    </xdr:from>
    <xdr:to>
      <xdr:col>6</xdr:col>
      <xdr:colOff>914400</xdr:colOff>
      <xdr:row>34</xdr:row>
      <xdr:rowOff>117475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101600</xdr:colOff>
      <xdr:row>14</xdr:row>
      <xdr:rowOff>127000</xdr:rowOff>
    </xdr:from>
    <xdr:to>
      <xdr:col>15</xdr:col>
      <xdr:colOff>711200</xdr:colOff>
      <xdr:row>36</xdr:row>
      <xdr:rowOff>3175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13</xdr:row>
      <xdr:rowOff>38100</xdr:rowOff>
    </xdr:from>
    <xdr:to>
      <xdr:col>6</xdr:col>
      <xdr:colOff>901700</xdr:colOff>
      <xdr:row>34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139700</xdr:colOff>
      <xdr:row>13</xdr:row>
      <xdr:rowOff>101600</xdr:rowOff>
    </xdr:from>
    <xdr:to>
      <xdr:col>15</xdr:col>
      <xdr:colOff>749300</xdr:colOff>
      <xdr:row>34</xdr:row>
      <xdr:rowOff>130175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13</xdr:row>
      <xdr:rowOff>152400</xdr:rowOff>
    </xdr:from>
    <xdr:to>
      <xdr:col>6</xdr:col>
      <xdr:colOff>889000</xdr:colOff>
      <xdr:row>35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254000</xdr:colOff>
      <xdr:row>15</xdr:row>
      <xdr:rowOff>38100</xdr:rowOff>
    </xdr:from>
    <xdr:to>
      <xdr:col>14</xdr:col>
      <xdr:colOff>863600</xdr:colOff>
      <xdr:row>36</xdr:row>
      <xdr:rowOff>79375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eme/themeOverride1.xml><?xml version="1.0" encoding="utf-8"?>
<a:themeOverride xmlns:a="http://schemas.openxmlformats.org/drawingml/2006/main">
  <a:clrScheme name="Bureau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Bureau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Bureau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Bureau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Bureau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Bureau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80"/>
  <sheetViews>
    <sheetView tabSelected="1" workbookViewId="0">
      <selection activeCell="E79" sqref="E79"/>
    </sheetView>
  </sheetViews>
  <sheetFormatPr baseColWidth="10" defaultRowHeight="13.5" x14ac:dyDescent="0.3"/>
  <sheetData>
    <row r="3" spans="2:7" ht="14" thickBot="1" x14ac:dyDescent="0.35"/>
    <row r="4" spans="2:7" ht="14" thickBot="1" x14ac:dyDescent="0.35">
      <c r="B4" s="23"/>
      <c r="C4" s="24"/>
      <c r="D4" s="25" t="s">
        <v>20</v>
      </c>
      <c r="E4" s="24"/>
      <c r="F4" s="24"/>
      <c r="G4" s="12"/>
    </row>
    <row r="5" spans="2:7" x14ac:dyDescent="0.3">
      <c r="B5" s="3"/>
      <c r="C5" s="15"/>
      <c r="D5" s="15"/>
      <c r="E5" s="15"/>
      <c r="F5" s="15"/>
      <c r="G5" s="6"/>
    </row>
    <row r="6" spans="2:7" x14ac:dyDescent="0.3">
      <c r="B6" s="4" t="s">
        <v>99</v>
      </c>
      <c r="G6" s="7"/>
    </row>
    <row r="7" spans="2:7" x14ac:dyDescent="0.3">
      <c r="B7" s="4" t="s">
        <v>10</v>
      </c>
      <c r="G7" s="7"/>
    </row>
    <row r="8" spans="2:7" x14ac:dyDescent="0.3">
      <c r="B8" s="4" t="s">
        <v>11</v>
      </c>
      <c r="G8" s="7"/>
    </row>
    <row r="9" spans="2:7" x14ac:dyDescent="0.3">
      <c r="B9" s="4"/>
      <c r="G9" s="7"/>
    </row>
    <row r="10" spans="2:7" x14ac:dyDescent="0.3">
      <c r="B10" s="16" t="s">
        <v>93</v>
      </c>
      <c r="G10" s="7"/>
    </row>
    <row r="11" spans="2:7" x14ac:dyDescent="0.3">
      <c r="B11" s="16" t="s">
        <v>94</v>
      </c>
      <c r="G11" s="7"/>
    </row>
    <row r="12" spans="2:7" x14ac:dyDescent="0.3">
      <c r="B12" s="16" t="s">
        <v>95</v>
      </c>
      <c r="G12" s="7"/>
    </row>
    <row r="13" spans="2:7" x14ac:dyDescent="0.3">
      <c r="B13" s="16" t="s">
        <v>66</v>
      </c>
      <c r="G13" s="7"/>
    </row>
    <row r="14" spans="2:7" x14ac:dyDescent="0.3">
      <c r="B14" s="16" t="s">
        <v>96</v>
      </c>
      <c r="C14" s="4"/>
      <c r="G14" s="7"/>
    </row>
    <row r="15" spans="2:7" x14ac:dyDescent="0.3">
      <c r="B15" s="16"/>
      <c r="G15" s="7"/>
    </row>
    <row r="16" spans="2:7" ht="14" thickBot="1" x14ac:dyDescent="0.35">
      <c r="B16" s="34"/>
      <c r="C16" s="27"/>
      <c r="D16" s="28" t="s">
        <v>7</v>
      </c>
      <c r="E16" s="27"/>
      <c r="F16" s="27"/>
      <c r="G16" s="35"/>
    </row>
    <row r="17" spans="2:7" x14ac:dyDescent="0.3">
      <c r="B17" s="33"/>
      <c r="C17" s="10"/>
      <c r="D17" s="10"/>
      <c r="E17" s="10"/>
      <c r="F17" s="10"/>
      <c r="G17" s="36"/>
    </row>
    <row r="18" spans="2:7" x14ac:dyDescent="0.3">
      <c r="B18" s="29" t="s">
        <v>46</v>
      </c>
      <c r="C18" s="21" t="s">
        <v>67</v>
      </c>
      <c r="G18" s="7"/>
    </row>
    <row r="19" spans="2:7" x14ac:dyDescent="0.3">
      <c r="B19" s="30"/>
      <c r="C19" s="9" t="s">
        <v>6</v>
      </c>
      <c r="G19" s="7"/>
    </row>
    <row r="20" spans="2:7" x14ac:dyDescent="0.3">
      <c r="B20" s="30"/>
      <c r="C20" s="21" t="s">
        <v>29</v>
      </c>
      <c r="G20" s="7"/>
    </row>
    <row r="21" spans="2:7" ht="14" thickBot="1" x14ac:dyDescent="0.35">
      <c r="B21" s="13"/>
      <c r="C21" s="26"/>
      <c r="D21" s="11"/>
      <c r="E21" s="11"/>
      <c r="F21" s="11"/>
      <c r="G21" s="37"/>
    </row>
    <row r="22" spans="2:7" x14ac:dyDescent="0.3">
      <c r="B22" s="32"/>
      <c r="C22" s="31"/>
      <c r="D22" s="10"/>
      <c r="E22" s="10"/>
      <c r="F22" s="10"/>
      <c r="G22" s="36"/>
    </row>
    <row r="23" spans="2:7" x14ac:dyDescent="0.3">
      <c r="B23" s="29" t="s">
        <v>47</v>
      </c>
      <c r="C23" s="21" t="s">
        <v>1</v>
      </c>
      <c r="G23" s="7"/>
    </row>
    <row r="24" spans="2:7" x14ac:dyDescent="0.3">
      <c r="B24" s="30"/>
      <c r="C24" s="21" t="s">
        <v>2</v>
      </c>
      <c r="G24" s="7"/>
    </row>
    <row r="25" spans="2:7" x14ac:dyDescent="0.3">
      <c r="B25" s="30"/>
      <c r="G25" s="7"/>
    </row>
    <row r="26" spans="2:7" x14ac:dyDescent="0.3">
      <c r="B26" s="30"/>
      <c r="G26" s="7"/>
    </row>
    <row r="27" spans="2:7" x14ac:dyDescent="0.3">
      <c r="B27" s="30"/>
      <c r="G27" s="7"/>
    </row>
    <row r="28" spans="2:7" x14ac:dyDescent="0.3">
      <c r="B28" s="30"/>
      <c r="G28" s="7"/>
    </row>
    <row r="29" spans="2:7" ht="14" thickBot="1" x14ac:dyDescent="0.35">
      <c r="B29" s="13"/>
      <c r="C29" s="11"/>
      <c r="D29" s="11"/>
      <c r="E29" s="11"/>
      <c r="F29" s="11"/>
      <c r="G29" s="37"/>
    </row>
    <row r="30" spans="2:7" x14ac:dyDescent="0.3">
      <c r="B30" s="32"/>
      <c r="C30" s="10"/>
      <c r="D30" s="10"/>
      <c r="E30" s="10"/>
      <c r="F30" s="10"/>
      <c r="G30" s="36"/>
    </row>
    <row r="31" spans="2:7" x14ac:dyDescent="0.3">
      <c r="B31" s="29" t="s">
        <v>48</v>
      </c>
      <c r="C31" s="21" t="s">
        <v>9</v>
      </c>
      <c r="G31" s="7"/>
    </row>
    <row r="32" spans="2:7" x14ac:dyDescent="0.3">
      <c r="B32" s="30"/>
      <c r="C32" t="s">
        <v>89</v>
      </c>
      <c r="G32" s="7"/>
    </row>
    <row r="33" spans="2:7" x14ac:dyDescent="0.3">
      <c r="B33" s="30"/>
      <c r="C33" t="s">
        <v>44</v>
      </c>
      <c r="G33" s="7"/>
    </row>
    <row r="34" spans="2:7" x14ac:dyDescent="0.3">
      <c r="B34" s="30"/>
      <c r="C34" t="s">
        <v>45</v>
      </c>
      <c r="G34" s="7"/>
    </row>
    <row r="35" spans="2:7" x14ac:dyDescent="0.3">
      <c r="B35" s="30"/>
      <c r="G35" s="7"/>
    </row>
    <row r="36" spans="2:7" x14ac:dyDescent="0.3">
      <c r="B36" s="30"/>
      <c r="G36" s="7"/>
    </row>
    <row r="37" spans="2:7" x14ac:dyDescent="0.3">
      <c r="B37" s="30"/>
      <c r="G37" s="7"/>
    </row>
    <row r="38" spans="2:7" x14ac:dyDescent="0.3">
      <c r="B38" s="30"/>
      <c r="G38" s="7"/>
    </row>
    <row r="39" spans="2:7" x14ac:dyDescent="0.3">
      <c r="B39" s="30"/>
      <c r="G39" s="7"/>
    </row>
    <row r="40" spans="2:7" ht="14" thickBot="1" x14ac:dyDescent="0.35">
      <c r="B40" s="13"/>
      <c r="C40" s="11"/>
      <c r="D40" s="11"/>
      <c r="E40" s="11"/>
      <c r="F40" s="11"/>
      <c r="G40" s="37"/>
    </row>
    <row r="41" spans="2:7" x14ac:dyDescent="0.3">
      <c r="B41" s="32"/>
      <c r="C41" s="10"/>
      <c r="D41" s="10"/>
      <c r="E41" s="10"/>
      <c r="F41" s="10"/>
      <c r="G41" s="36"/>
    </row>
    <row r="42" spans="2:7" ht="15.5" x14ac:dyDescent="0.35">
      <c r="B42" s="29" t="s">
        <v>91</v>
      </c>
      <c r="C42" s="14" t="s">
        <v>50</v>
      </c>
      <c r="G42" s="7"/>
    </row>
    <row r="43" spans="2:7" ht="15.5" x14ac:dyDescent="0.35">
      <c r="B43" s="30"/>
      <c r="C43" s="14" t="s">
        <v>51</v>
      </c>
      <c r="G43" s="7"/>
    </row>
    <row r="44" spans="2:7" ht="15.5" x14ac:dyDescent="0.35">
      <c r="B44" s="30"/>
      <c r="C44" s="14" t="s">
        <v>8</v>
      </c>
      <c r="G44" s="7"/>
    </row>
    <row r="45" spans="2:7" x14ac:dyDescent="0.3">
      <c r="B45" s="30"/>
      <c r="C45" t="s">
        <v>41</v>
      </c>
      <c r="G45" s="7"/>
    </row>
    <row r="46" spans="2:7" x14ac:dyDescent="0.3">
      <c r="B46" s="30"/>
      <c r="C46" t="s">
        <v>42</v>
      </c>
      <c r="G46" s="7"/>
    </row>
    <row r="47" spans="2:7" x14ac:dyDescent="0.3">
      <c r="B47" s="30"/>
      <c r="G47" s="7"/>
    </row>
    <row r="48" spans="2:7" x14ac:dyDescent="0.3">
      <c r="B48" s="30"/>
      <c r="G48" s="7"/>
    </row>
    <row r="49" spans="2:7" x14ac:dyDescent="0.3">
      <c r="B49" s="30"/>
      <c r="G49" s="7"/>
    </row>
    <row r="50" spans="2:7" ht="15.5" x14ac:dyDescent="0.35">
      <c r="B50" s="30"/>
      <c r="C50" s="14" t="s">
        <v>80</v>
      </c>
      <c r="G50" s="7"/>
    </row>
    <row r="51" spans="2:7" ht="15.5" x14ac:dyDescent="0.35">
      <c r="B51" s="30"/>
      <c r="C51" s="14"/>
      <c r="G51" s="7"/>
    </row>
    <row r="52" spans="2:7" ht="15.5" x14ac:dyDescent="0.35">
      <c r="B52" s="30"/>
      <c r="C52" s="14"/>
      <c r="G52" s="7"/>
    </row>
    <row r="53" spans="2:7" ht="15.5" x14ac:dyDescent="0.35">
      <c r="B53" s="30"/>
      <c r="C53" s="14"/>
      <c r="G53" s="7"/>
    </row>
    <row r="54" spans="2:7" ht="15.5" x14ac:dyDescent="0.35">
      <c r="B54" s="30"/>
      <c r="C54" s="14"/>
      <c r="G54" s="7"/>
    </row>
    <row r="55" spans="2:7" x14ac:dyDescent="0.3">
      <c r="B55" s="30"/>
      <c r="G55" s="7"/>
    </row>
    <row r="56" spans="2:7" ht="15.5" x14ac:dyDescent="0.35">
      <c r="B56" s="30"/>
      <c r="C56" s="14" t="s">
        <v>43</v>
      </c>
      <c r="G56" s="7"/>
    </row>
    <row r="57" spans="2:7" x14ac:dyDescent="0.3">
      <c r="B57" s="30"/>
      <c r="C57" t="s">
        <v>90</v>
      </c>
      <c r="G57" s="7"/>
    </row>
    <row r="58" spans="2:7" x14ac:dyDescent="0.3">
      <c r="B58" s="30"/>
      <c r="G58" s="7"/>
    </row>
    <row r="59" spans="2:7" x14ac:dyDescent="0.3">
      <c r="B59" s="30"/>
      <c r="G59" s="7"/>
    </row>
    <row r="60" spans="2:7" x14ac:dyDescent="0.3">
      <c r="B60" s="30"/>
      <c r="G60" s="7"/>
    </row>
    <row r="61" spans="2:7" x14ac:dyDescent="0.3">
      <c r="B61" s="30"/>
      <c r="G61" s="7"/>
    </row>
    <row r="62" spans="2:7" x14ac:dyDescent="0.3">
      <c r="B62" s="30"/>
      <c r="G62" s="7"/>
    </row>
    <row r="63" spans="2:7" x14ac:dyDescent="0.3">
      <c r="B63" s="30"/>
      <c r="G63" s="7"/>
    </row>
    <row r="64" spans="2:7" x14ac:dyDescent="0.3">
      <c r="B64" s="30"/>
      <c r="G64" s="7"/>
    </row>
    <row r="65" spans="2:7" ht="15.5" x14ac:dyDescent="0.35">
      <c r="B65" s="30"/>
      <c r="C65" s="14"/>
      <c r="G65" s="7"/>
    </row>
    <row r="66" spans="2:7" ht="15.5" x14ac:dyDescent="0.35">
      <c r="B66" s="30"/>
      <c r="C66" s="14"/>
      <c r="G66" s="7"/>
    </row>
    <row r="67" spans="2:7" ht="15.5" x14ac:dyDescent="0.35">
      <c r="B67" s="30"/>
      <c r="C67" s="14"/>
      <c r="G67" s="7"/>
    </row>
    <row r="68" spans="2:7" ht="15.5" x14ac:dyDescent="0.35">
      <c r="B68" s="30"/>
      <c r="C68" s="14"/>
      <c r="G68" s="7"/>
    </row>
    <row r="69" spans="2:7" ht="15.5" x14ac:dyDescent="0.35">
      <c r="B69" s="30"/>
      <c r="C69" s="14"/>
      <c r="G69" s="7"/>
    </row>
    <row r="70" spans="2:7" ht="16" thickBot="1" x14ac:dyDescent="0.4">
      <c r="B70" s="13"/>
      <c r="C70" s="38"/>
      <c r="D70" s="17"/>
      <c r="E70" s="17"/>
      <c r="F70" s="17"/>
      <c r="G70" s="8"/>
    </row>
    <row r="71" spans="2:7" ht="15.5" x14ac:dyDescent="0.35">
      <c r="C71" s="14"/>
    </row>
    <row r="72" spans="2:7" ht="15.5" x14ac:dyDescent="0.35">
      <c r="C72" s="14"/>
    </row>
    <row r="73" spans="2:7" ht="15.5" x14ac:dyDescent="0.35">
      <c r="C73" s="14"/>
    </row>
    <row r="74" spans="2:7" ht="15.5" x14ac:dyDescent="0.35">
      <c r="C74" s="14"/>
    </row>
    <row r="75" spans="2:7" ht="15.5" x14ac:dyDescent="0.35">
      <c r="C75" s="14"/>
    </row>
    <row r="76" spans="2:7" ht="25.5" x14ac:dyDescent="0.55000000000000004">
      <c r="C76" s="22" t="s">
        <v>92</v>
      </c>
    </row>
    <row r="80" spans="2:7" x14ac:dyDescent="0.3">
      <c r="C80" s="53" t="s">
        <v>100</v>
      </c>
    </row>
  </sheetData>
  <phoneticPr fontId="6" type="noConversion"/>
  <pageMargins left="0.75" right="0.75" top="1" bottom="1" header="0.5" footer="0.5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61"/>
  <sheetViews>
    <sheetView topLeftCell="A8" workbookViewId="0">
      <selection activeCell="E12" sqref="E12"/>
    </sheetView>
  </sheetViews>
  <sheetFormatPr baseColWidth="10" defaultRowHeight="13.5" x14ac:dyDescent="0.3"/>
  <cols>
    <col min="1" max="1" width="12.765625" customWidth="1"/>
    <col min="2" max="2" width="13.765625" hidden="1" customWidth="1"/>
    <col min="3" max="3" width="3.765625" hidden="1" customWidth="1"/>
    <col min="4" max="4" width="77.765625" customWidth="1"/>
    <col min="5" max="5" width="19.84375" customWidth="1"/>
    <col min="6" max="6" width="7.765625" customWidth="1"/>
    <col min="7" max="7" width="15" customWidth="1"/>
  </cols>
  <sheetData>
    <row r="2" spans="4:7" x14ac:dyDescent="0.3">
      <c r="D2" s="9" t="s">
        <v>57</v>
      </c>
    </row>
    <row r="3" spans="4:7" x14ac:dyDescent="0.3">
      <c r="D3" s="9" t="s">
        <v>58</v>
      </c>
    </row>
    <row r="4" spans="4:7" x14ac:dyDescent="0.3">
      <c r="D4" s="9" t="s">
        <v>65</v>
      </c>
    </row>
    <row r="5" spans="4:7" x14ac:dyDescent="0.3">
      <c r="D5" s="9" t="s">
        <v>74</v>
      </c>
    </row>
    <row r="6" spans="4:7" x14ac:dyDescent="0.3">
      <c r="D6" s="9" t="s">
        <v>76</v>
      </c>
    </row>
    <row r="7" spans="4:7" x14ac:dyDescent="0.3">
      <c r="D7" s="9" t="s">
        <v>77</v>
      </c>
    </row>
    <row r="8" spans="4:7" ht="14" thickBot="1" x14ac:dyDescent="0.35"/>
    <row r="9" spans="4:7" ht="14" thickBot="1" x14ac:dyDescent="0.35">
      <c r="D9" s="2" t="s">
        <v>78</v>
      </c>
      <c r="E9" s="39"/>
    </row>
    <row r="10" spans="4:7" ht="14" thickBot="1" x14ac:dyDescent="0.35">
      <c r="D10" s="40" t="s">
        <v>21</v>
      </c>
      <c r="E10" s="41" t="s">
        <v>62</v>
      </c>
      <c r="F10" s="9"/>
    </row>
    <row r="11" spans="4:7" ht="14" thickBot="1" x14ac:dyDescent="0.35">
      <c r="D11" s="20" t="s">
        <v>79</v>
      </c>
      <c r="E11" s="52"/>
      <c r="G11" s="1"/>
    </row>
    <row r="12" spans="4:7" ht="14" thickBot="1" x14ac:dyDescent="0.35">
      <c r="D12" s="19" t="s">
        <v>63</v>
      </c>
      <c r="E12" s="43" t="s">
        <v>101</v>
      </c>
      <c r="F12" s="42">
        <f>IF(E12="Fortement en désaccord",0)+IF(E12="Un peu en désaccord",1)+IF(E12="Opinion neutre",2)+IF(E12="Un peu d'accord",3)+IF(E12="Fortement d'accord",4)</f>
        <v>0</v>
      </c>
      <c r="G12" s="42"/>
    </row>
    <row r="13" spans="4:7" ht="14" thickBot="1" x14ac:dyDescent="0.35">
      <c r="D13" s="44" t="s">
        <v>64</v>
      </c>
      <c r="E13" s="43"/>
      <c r="F13" s="42">
        <f>IF(E13="Fortement en désaccord",0)+IF(E13="Un peu en désaccord",1)+IF(E13="Opinion neutre",2)+IF(E13="Un peu d'accord",3)+IF(E13="Fortement d'accord",4)</f>
        <v>0</v>
      </c>
      <c r="G13" s="42" t="s">
        <v>75</v>
      </c>
    </row>
    <row r="14" spans="4:7" ht="14" thickBot="1" x14ac:dyDescent="0.35">
      <c r="D14" s="18" t="s">
        <v>53</v>
      </c>
      <c r="E14" s="43"/>
      <c r="F14" s="42">
        <f>IF(E14="Fortement en désaccord",4)+IF(E14="Un peu en désaccord",3)+IF(E14="Opinion neutre",2)+IF(E14="Un peu d'accord",1)+IF(E14="Fortement d'accord",0)</f>
        <v>0</v>
      </c>
      <c r="G14" s="42" t="s">
        <v>52</v>
      </c>
    </row>
    <row r="15" spans="4:7" ht="14" thickBot="1" x14ac:dyDescent="0.35">
      <c r="D15" s="44" t="s">
        <v>88</v>
      </c>
      <c r="E15" s="43"/>
      <c r="F15" s="42">
        <f>IF(E15="Fortement en désaccord",0)+IF(E15="Un peu en désaccord",1)+IF(E15="Opinion neutre",2)+IF(E15="Un peu d'accord",3)+IF(E15="Fortement d'accord",4)</f>
        <v>0</v>
      </c>
      <c r="G15" s="42"/>
    </row>
    <row r="16" spans="4:7" ht="14" thickBot="1" x14ac:dyDescent="0.35">
      <c r="D16" s="18" t="s">
        <v>54</v>
      </c>
      <c r="E16" s="43"/>
      <c r="F16" s="42">
        <f>IF(E16="Fortement en désaccord",4)+IF(E16="Un peu en désaccord",3)+IF(E16="Opinion neutre",2)+IF(E16="Un peu d'accord",1)+IF(E16="Fortement d'accord",0)</f>
        <v>0</v>
      </c>
      <c r="G16" s="42" t="s">
        <v>52</v>
      </c>
    </row>
    <row r="17" spans="4:7" ht="14" thickBot="1" x14ac:dyDescent="0.35">
      <c r="D17" s="44" t="s">
        <v>83</v>
      </c>
      <c r="E17" s="43"/>
      <c r="F17" s="42">
        <f>IF(E17="Fortement en désaccord",0)+IF(E17="Un peu en désaccord",1)+IF(E17="Opinion neutre",2)+IF(E17="Un peu d'accord",3)+IF(E17="Fortement d'accord",4)</f>
        <v>0</v>
      </c>
      <c r="G17" s="42"/>
    </row>
    <row r="18" spans="4:7" ht="14" thickBot="1" x14ac:dyDescent="0.35">
      <c r="D18" s="18" t="s">
        <v>55</v>
      </c>
      <c r="E18" s="43"/>
      <c r="F18" s="42">
        <f>IF(E18="Fortement en désaccord",4)+IF(E18="Un peu en désaccord",3)+IF(E18="Opinion neutre",2)+IF(E18="Un peu d'accord",1)+IF(E18="Fortement d'accord",0)</f>
        <v>0</v>
      </c>
      <c r="G18" s="42" t="s">
        <v>52</v>
      </c>
    </row>
    <row r="19" spans="4:7" ht="14" thickBot="1" x14ac:dyDescent="0.35">
      <c r="D19" s="44" t="s">
        <v>19</v>
      </c>
      <c r="E19" s="43"/>
      <c r="F19" s="42">
        <f>IF(E19="Fortement en désaccord",0)+IF(E19="Un peu en désaccord",1)+IF(E19="Opinion neutre",2)+IF(E19="Un peu d'accord",3)+IF(E19="Fortement d'accord",4)</f>
        <v>0</v>
      </c>
      <c r="G19" s="42"/>
    </row>
    <row r="20" spans="4:7" ht="14" thickBot="1" x14ac:dyDescent="0.35">
      <c r="D20" s="18" t="s">
        <v>56</v>
      </c>
      <c r="E20" s="43"/>
      <c r="F20" s="42">
        <f>IF(E20="Fortement en désaccord",4)+IF(E20="Un peu en désaccord",3)+IF(E20="Opinion neutre",2)+IF(E20="Un peu d'accord",1)+IF(E20="Fortement d'accord",0)</f>
        <v>0</v>
      </c>
      <c r="G20" s="42" t="s">
        <v>52</v>
      </c>
    </row>
    <row r="21" spans="4:7" ht="14" thickBot="1" x14ac:dyDescent="0.35">
      <c r="D21" s="44" t="s">
        <v>59</v>
      </c>
      <c r="E21" s="43"/>
      <c r="F21" s="42">
        <f>IF(E21="Fortement en désaccord",0)+IF(E21="Un peu en désaccord",1)+IF(E21="Opinion neutre",2)+IF(E21="Un peu d'accord",3)+IF(E21="Fortement d'accord",4)</f>
        <v>0</v>
      </c>
      <c r="G21" s="42"/>
    </row>
    <row r="22" spans="4:7" ht="14" thickBot="1" x14ac:dyDescent="0.35">
      <c r="D22" s="18" t="s">
        <v>60</v>
      </c>
      <c r="E22" s="43"/>
      <c r="F22" s="42">
        <f>IF(E22="Fortement en désaccord",0)+IF(E22="Un peu en désaccord",1)+IF(E22="Opinion neutre",2)+IF(E22="Un peu d'accord",3)+IF(E22="Fortement d'accord",4)</f>
        <v>0</v>
      </c>
      <c r="G22" s="42"/>
    </row>
    <row r="23" spans="4:7" ht="14" thickBot="1" x14ac:dyDescent="0.35">
      <c r="D23" s="44" t="s">
        <v>84</v>
      </c>
      <c r="E23" s="43"/>
      <c r="F23" s="42">
        <f>IF(E23="Fortement en désaccord",0)+IF(E23="Un peu en désaccord",1)+IF(E23="Opinion neutre",2)+IF(E23="Un peu d'accord",3)+IF(E23="Fortement d'accord",4)</f>
        <v>0</v>
      </c>
      <c r="G23" s="42"/>
    </row>
    <row r="24" spans="4:7" ht="14" thickBot="1" x14ac:dyDescent="0.35">
      <c r="D24" s="18" t="s">
        <v>12</v>
      </c>
      <c r="E24" s="43"/>
      <c r="F24" s="42">
        <f>IF(E24="Fortement en désaccord",4)+IF(E24="Un peu en désaccord",3)+IF(E24="Opinion neutre",2)+IF(E24="Un peu d'accord",1)+IF(E24="Fortement d'accord",0)</f>
        <v>0</v>
      </c>
      <c r="G24" s="42" t="s">
        <v>52</v>
      </c>
    </row>
    <row r="25" spans="4:7" ht="14" thickBot="1" x14ac:dyDescent="0.35">
      <c r="D25" s="44" t="s">
        <v>85</v>
      </c>
      <c r="E25" s="43"/>
      <c r="F25" s="42">
        <f>IF(E25="Fortement en désaccord",0)+IF(E25="Un peu en désaccord",1)+IF(E25="Opinion neutre",2)+IF(E25="Un peu d'accord",3)+IF(E25="Fortement d'accord",4)</f>
        <v>0</v>
      </c>
      <c r="G25" s="42"/>
    </row>
    <row r="26" spans="4:7" ht="14" thickBot="1" x14ac:dyDescent="0.35">
      <c r="D26" s="18" t="s">
        <v>13</v>
      </c>
      <c r="E26" s="43"/>
      <c r="F26" s="42">
        <f>IF(E26="Fortement en désaccord",4)+IF(E26="Un peu en désaccord",3)+IF(E26="Opinion neutre",2)+IF(E26="Un peu d'accord",1)+IF(E26="Fortement d'accord",0)</f>
        <v>0</v>
      </c>
      <c r="G26" s="42" t="s">
        <v>52</v>
      </c>
    </row>
    <row r="27" spans="4:7" ht="14" thickBot="1" x14ac:dyDescent="0.35">
      <c r="D27" s="44" t="s">
        <v>49</v>
      </c>
      <c r="E27" s="43"/>
      <c r="F27" s="42">
        <f>IF(E27="Fortement en désaccord",0)+IF(E27="Un peu en désaccord",1)+IF(E27="Opinion neutre",2)+IF(E27="Un peu d'accord",3)+IF(E27="Fortement d'accord",4)</f>
        <v>0</v>
      </c>
      <c r="G27" s="42"/>
    </row>
    <row r="28" spans="4:7" ht="14" thickBot="1" x14ac:dyDescent="0.35">
      <c r="D28" s="18" t="s">
        <v>68</v>
      </c>
      <c r="E28" s="43"/>
      <c r="F28" s="42">
        <f>IF(E28="Fortement en désaccord",0)+IF(E28="Un peu en désaccord",1)+IF(E28="Opinion neutre",2)+IF(E28="Un peu d'accord",3)+IF(E28="Fortement d'accord",4)</f>
        <v>0</v>
      </c>
      <c r="G28" s="42"/>
    </row>
    <row r="29" spans="4:7" ht="14" thickBot="1" x14ac:dyDescent="0.35">
      <c r="D29" s="44" t="s">
        <v>69</v>
      </c>
      <c r="E29" s="43"/>
      <c r="F29" s="42">
        <f>IF(E29="Fortement en désaccord",0)+IF(E29="Un peu en désaccord",1)+IF(E29="Opinion neutre",2)+IF(E29="Un peu d'accord",3)+IF(E29="Fortement d'accord",4)</f>
        <v>0</v>
      </c>
      <c r="G29" s="42"/>
    </row>
    <row r="30" spans="4:7" ht="14" thickBot="1" x14ac:dyDescent="0.35">
      <c r="D30" s="18" t="s">
        <v>14</v>
      </c>
      <c r="E30" s="43"/>
      <c r="F30" s="42">
        <f>IF(E30="Fortement en désaccord",4)+IF(E30="Un peu en désaccord",3)+IF(E30="Opinion neutre",2)+IF(E30="Un peu d'accord",1)+IF(E30="Fortement d'accord",0)</f>
        <v>0</v>
      </c>
      <c r="G30" s="42" t="s">
        <v>52</v>
      </c>
    </row>
    <row r="31" spans="4:7" ht="14" thickBot="1" x14ac:dyDescent="0.35">
      <c r="D31" s="44" t="s">
        <v>15</v>
      </c>
      <c r="E31" s="43"/>
      <c r="F31" s="42">
        <f>IF(E31="Fortement en désaccord",4)+IF(E31="Un peu en désaccord",3)+IF(E31="Opinion neutre",2)+IF(E31="Un peu d'accord",1)+IF(E31="Fortement d'accord",0)</f>
        <v>0</v>
      </c>
      <c r="G31" s="42" t="s">
        <v>52</v>
      </c>
    </row>
    <row r="32" spans="4:7" ht="14" thickBot="1" x14ac:dyDescent="0.35">
      <c r="D32" s="18" t="s">
        <v>71</v>
      </c>
      <c r="E32" s="43"/>
      <c r="F32" s="42">
        <f>IF(E32="Fortement en désaccord",0)+IF(E32="Un peu en désaccord",1)+IF(E32="Opinion neutre",2)+IF(E32="Un peu d'accord",3)+IF(E32="Fortement d'accord",4)</f>
        <v>0</v>
      </c>
      <c r="G32" s="42"/>
    </row>
    <row r="33" spans="4:7" ht="14" thickBot="1" x14ac:dyDescent="0.35">
      <c r="D33" s="44" t="s">
        <v>16</v>
      </c>
      <c r="E33" s="43"/>
      <c r="F33" s="42">
        <f>IF(E33="Fortement en désaccord",4)+IF(E33="Un peu en désaccord",3)+IF(E33="Opinion neutre",2)+IF(E33="Un peu d'accord",1)+IF(E33="Fortement d'accord",0)</f>
        <v>0</v>
      </c>
      <c r="G33" s="42" t="s">
        <v>52</v>
      </c>
    </row>
    <row r="34" spans="4:7" ht="14" thickBot="1" x14ac:dyDescent="0.35">
      <c r="D34" s="18" t="s">
        <v>72</v>
      </c>
      <c r="E34" s="43"/>
      <c r="F34" s="42">
        <f>IF(E34="Fortement en désaccord",0)+IF(E34="Un peu en désaccord",1)+IF(E34="Opinion neutre",2)+IF(E34="Un peu d'accord",3)+IF(E34="Fortement d'accord",4)</f>
        <v>0</v>
      </c>
      <c r="G34" s="42"/>
    </row>
    <row r="35" spans="4:7" ht="14" thickBot="1" x14ac:dyDescent="0.35">
      <c r="D35" s="44" t="s">
        <v>17</v>
      </c>
      <c r="E35" s="43"/>
      <c r="F35" s="42">
        <f>IF(E35="Fortement en désaccord",4)+IF(E35="Un peu en désaccord",3)+IF(E35="Opinion neutre",2)+IF(E35="Un peu d'accord",1)+IF(E35="Fortement d'accord",0)</f>
        <v>0</v>
      </c>
      <c r="G35" s="42" t="s">
        <v>52</v>
      </c>
    </row>
    <row r="36" spans="4:7" ht="14" thickBot="1" x14ac:dyDescent="0.35">
      <c r="D36" s="18" t="s">
        <v>73</v>
      </c>
      <c r="E36" s="43"/>
      <c r="F36" s="42">
        <f>IF(E36="Fortement en désaccord",0)+IF(E36="Un peu en désaccord",1)+IF(E36="Opinion neutre",2)+IF(E36="Un peu d'accord",3)+IF(E36="Fortement d'accord",4)</f>
        <v>0</v>
      </c>
      <c r="G36" s="42"/>
    </row>
    <row r="37" spans="4:7" ht="14" thickBot="1" x14ac:dyDescent="0.35">
      <c r="D37" s="44" t="s">
        <v>97</v>
      </c>
      <c r="E37" s="43"/>
      <c r="F37" s="42">
        <f>IF(E37="Fortement en désaccord",0)+IF(E37="Un peu en désaccord",1)+IF(E37="Opinion neutre",2)+IF(E37="Un peu d'accord",3)+IF(E37="Fortement d'accord",4)</f>
        <v>0</v>
      </c>
      <c r="G37" s="42"/>
    </row>
    <row r="38" spans="4:7" ht="14" thickBot="1" x14ac:dyDescent="0.35">
      <c r="D38" s="18" t="s">
        <v>98</v>
      </c>
      <c r="E38" s="43"/>
      <c r="F38" s="42">
        <f>IF(E38="Fortement en désaccord",0)+IF(E38="Un peu en désaccord",1)+IF(E38="Opinion neutre",2)+IF(E38="Un peu d'accord",3)+IF(E38="Fortement d'accord",4)</f>
        <v>0</v>
      </c>
      <c r="G38" s="42"/>
    </row>
    <row r="39" spans="4:7" ht="14" thickBot="1" x14ac:dyDescent="0.35">
      <c r="D39" s="44" t="s">
        <v>18</v>
      </c>
      <c r="E39" s="43"/>
      <c r="F39" s="42">
        <f>IF(E39="Fortement en désaccord",4)+IF(E39="Un peu en désaccord",3)+IF(E39="Opinion neutre",2)+IF(E39="Un peu d'accord",1)+IF(E39="Fortement d'accord",0)</f>
        <v>0</v>
      </c>
      <c r="G39" s="42" t="s">
        <v>52</v>
      </c>
    </row>
    <row r="40" spans="4:7" ht="14" thickBot="1" x14ac:dyDescent="0.35">
      <c r="D40" s="18" t="s">
        <v>39</v>
      </c>
      <c r="E40" s="43"/>
      <c r="F40" s="42">
        <f>IF(E40="Fortement en désaccord",0)+IF(E40="Un peu en désaccord",1)+IF(E40="Opinion neutre",2)+IF(E40="Un peu d'accord",3)+IF(E40="Fortement d'accord",4)</f>
        <v>0</v>
      </c>
      <c r="G40" s="42"/>
    </row>
    <row r="41" spans="4:7" ht="14" thickBot="1" x14ac:dyDescent="0.35">
      <c r="D41" s="44" t="s">
        <v>61</v>
      </c>
      <c r="E41" s="43"/>
      <c r="F41" s="42">
        <f>IF(E41="Fortement en désaccord",4)+IF(E41="Un peu en désaccord",3)+IF(E41="Opinion neutre",2)+IF(E41="Un peu d'accord",1)+IF(E41="Fortement d'accord",0)</f>
        <v>0</v>
      </c>
      <c r="G41" s="42" t="s">
        <v>52</v>
      </c>
    </row>
    <row r="42" spans="4:7" ht="14" thickBot="1" x14ac:dyDescent="0.35">
      <c r="D42" s="18" t="s">
        <v>30</v>
      </c>
      <c r="E42" s="43"/>
      <c r="F42" s="42">
        <f>IF(E42="Fortement en désaccord",4)+IF(E42="Un peu en désaccord",3)+IF(E42="Opinion neutre",2)+IF(E42="Un peu d'accord",1)+IF(E42="Fortement d'accord",0)</f>
        <v>0</v>
      </c>
      <c r="G42" s="42" t="s">
        <v>52</v>
      </c>
    </row>
    <row r="43" spans="4:7" ht="14" thickBot="1" x14ac:dyDescent="0.35">
      <c r="D43" s="44" t="s">
        <v>31</v>
      </c>
      <c r="E43" s="43"/>
      <c r="F43" s="42">
        <f>IF(E43="Fortement en désaccord",4)+IF(E43="Un peu en désaccord",3)+IF(E43="Opinion neutre",2)+IF(E43="Un peu d'accord",1)+IF(E43="Fortement d'accord",0)</f>
        <v>0</v>
      </c>
      <c r="G43" s="42" t="s">
        <v>52</v>
      </c>
    </row>
    <row r="44" spans="4:7" ht="14" thickBot="1" x14ac:dyDescent="0.35">
      <c r="D44" s="18" t="s">
        <v>40</v>
      </c>
      <c r="E44" s="43"/>
      <c r="F44" s="42">
        <f>IF(E44="Fortement en désaccord",0)+IF(E44="Un peu en désaccord",1)+IF(E44="Opinion neutre",2)+IF(E44="Un peu d'accord",3)+IF(E44="Fortement d'accord",4)</f>
        <v>0</v>
      </c>
      <c r="G44" s="42"/>
    </row>
    <row r="45" spans="4:7" ht="14" thickBot="1" x14ac:dyDescent="0.35">
      <c r="D45" s="44" t="s">
        <v>81</v>
      </c>
      <c r="E45" s="43"/>
      <c r="F45" s="42">
        <f>IF(E45="Fortement en désaccord",0)+IF(E45="Un peu en désaccord",1)+IF(E45="Opinion neutre",2)+IF(E45="Un peu d'accord",3)+IF(E45="Fortement d'accord",4)</f>
        <v>0</v>
      </c>
      <c r="G45" s="42"/>
    </row>
    <row r="46" spans="4:7" ht="14" thickBot="1" x14ac:dyDescent="0.35">
      <c r="D46" s="18" t="s">
        <v>82</v>
      </c>
      <c r="E46" s="43"/>
      <c r="F46" s="42">
        <f>IF(E46="Fortement en désaccord",0)+IF(E46="Un peu en désaccord",1)+IF(E46="Opinion neutre",2)+IF(E46="Un peu d'accord",3)+IF(E46="Fortement d'accord",4)</f>
        <v>0</v>
      </c>
      <c r="G46" s="42"/>
    </row>
    <row r="47" spans="4:7" ht="14" thickBot="1" x14ac:dyDescent="0.35">
      <c r="D47" s="44" t="s">
        <v>3</v>
      </c>
      <c r="E47" s="43"/>
      <c r="F47" s="42">
        <f>IF(E47="Fortement en désaccord",0)+IF(E47="Un peu en désaccord",1)+IF(E47="Opinion neutre",2)+IF(E47="Un peu d'accord",3)+IF(E47="Fortement d'accord",4)</f>
        <v>0</v>
      </c>
      <c r="G47" s="42"/>
    </row>
    <row r="48" spans="4:7" ht="14" thickBot="1" x14ac:dyDescent="0.35">
      <c r="D48" s="18" t="s">
        <v>4</v>
      </c>
      <c r="E48" s="43"/>
      <c r="F48" s="42">
        <f>IF(E48="Fortement en désaccord",0)+IF(E48="Un peu en désaccord",1)+IF(E48="Opinion neutre",2)+IF(E48="Un peu d'accord",3)+IF(E48="Fortement d'accord",4)</f>
        <v>0</v>
      </c>
      <c r="G48" s="42"/>
    </row>
    <row r="49" spans="4:7" ht="14" thickBot="1" x14ac:dyDescent="0.35">
      <c r="D49" s="44" t="s">
        <v>32</v>
      </c>
      <c r="E49" s="43"/>
      <c r="F49" s="42">
        <f>IF(E49="Fortement en désaccord",4)+IF(E49="Un peu en désaccord",3)+IF(E49="Opinion neutre",2)+IF(E49="Un peu d'accord",1)+IF(E49="Fortement d'accord",0)</f>
        <v>0</v>
      </c>
      <c r="G49" s="42" t="s">
        <v>52</v>
      </c>
    </row>
    <row r="50" spans="4:7" ht="14" thickBot="1" x14ac:dyDescent="0.35">
      <c r="D50" s="18" t="s">
        <v>5</v>
      </c>
      <c r="E50" s="43"/>
      <c r="F50" s="42">
        <f>IF(E50="Fortement en désaccord",0)+IF(E50="Un peu en désaccord",1)+IF(E50="Opinion neutre",2)+IF(E50="Un peu d'accord",3)+IF(E50="Fortement d'accord",4)</f>
        <v>0</v>
      </c>
      <c r="G50" s="42"/>
    </row>
    <row r="51" spans="4:7" ht="14" thickBot="1" x14ac:dyDescent="0.35">
      <c r="D51" s="44" t="s">
        <v>33</v>
      </c>
      <c r="E51" s="43"/>
      <c r="F51" s="42">
        <f>IF(E51="Fortement en désaccord",4)+IF(E51="Un peu en désaccord",3)+IF(E51="Opinion neutre",2)+IF(E51="Un peu d'accord",1)+IF(E51="Fortement d'accord",0)</f>
        <v>0</v>
      </c>
      <c r="G51" s="42" t="s">
        <v>52</v>
      </c>
    </row>
    <row r="52" spans="4:7" ht="14" thickBot="1" x14ac:dyDescent="0.35">
      <c r="D52" s="18" t="s">
        <v>34</v>
      </c>
      <c r="E52" s="43"/>
      <c r="F52" s="42">
        <f>IF(E52="Fortement en désaccord",4)+IF(E52="Un peu en désaccord",3)+IF(E52="Opinion neutre",2)+IF(E52="Un peu d'accord",1)+IF(E52="Fortement d'accord",0)</f>
        <v>0</v>
      </c>
      <c r="G52" s="42" t="s">
        <v>52</v>
      </c>
    </row>
    <row r="53" spans="4:7" ht="14" thickBot="1" x14ac:dyDescent="0.35">
      <c r="D53" s="44" t="s">
        <v>28</v>
      </c>
      <c r="E53" s="43"/>
      <c r="F53" s="42">
        <f>IF(E53="Fortement en désaccord",0)+IF(E53="Un peu en désaccord",1)+IF(E53="Opinion neutre",2)+IF(E53="Un peu d'accord",3)+IF(E53="Fortement d'accord",4)</f>
        <v>0</v>
      </c>
      <c r="G53" s="42"/>
    </row>
    <row r="54" spans="4:7" ht="14" thickBot="1" x14ac:dyDescent="0.35">
      <c r="D54" s="18" t="s">
        <v>70</v>
      </c>
      <c r="E54" s="43"/>
      <c r="F54" s="42">
        <f>IF(E54="Fortement en désaccord",0)+IF(E54="Un peu en désaccord",1)+IF(E54="Opinion neutre",2)+IF(E54="Un peu d'accord",3)+IF(E54="Fortement d'accord",4)</f>
        <v>0</v>
      </c>
      <c r="G54" s="42"/>
    </row>
    <row r="55" spans="4:7" ht="14" thickBot="1" x14ac:dyDescent="0.35">
      <c r="D55" s="44" t="s">
        <v>35</v>
      </c>
      <c r="E55" s="43"/>
      <c r="F55" s="42">
        <f>IF(E55="Fortement en désaccord",4)+IF(E55="Un peu en désaccord",3)+IF(E55="Opinion neutre",2)+IF(E55="Un peu d'accord",1)+IF(E55="Fortement d'accord",0)</f>
        <v>0</v>
      </c>
      <c r="G55" s="42" t="s">
        <v>52</v>
      </c>
    </row>
    <row r="56" spans="4:7" ht="14" thickBot="1" x14ac:dyDescent="0.35">
      <c r="D56" s="18" t="s">
        <v>36</v>
      </c>
      <c r="E56" s="43"/>
      <c r="F56" s="42">
        <f>IF(E56="Fortement en désaccord",4)+IF(E56="Un peu en désaccord",3)+IF(E56="Opinion neutre",2)+IF(E56="Un peu d'accord",1)+IF(E56="Fortement d'accord",0)</f>
        <v>0</v>
      </c>
      <c r="G56" s="42" t="s">
        <v>52</v>
      </c>
    </row>
    <row r="57" spans="4:7" ht="14" thickBot="1" x14ac:dyDescent="0.35">
      <c r="D57" s="44" t="s">
        <v>86</v>
      </c>
      <c r="E57" s="43"/>
      <c r="F57" s="42">
        <f>IF(E57="Fortement en désaccord",0)+IF(E57="Un peu en désaccord",1)+IF(E57="Opinion neutre",2)+IF(E57="Un peu d'accord",3)+IF(E57="Fortement d'accord",4)</f>
        <v>0</v>
      </c>
      <c r="G57" s="42"/>
    </row>
    <row r="58" spans="4:7" ht="14" thickBot="1" x14ac:dyDescent="0.35">
      <c r="D58" s="18" t="s">
        <v>87</v>
      </c>
      <c r="E58" s="43"/>
      <c r="F58" s="42">
        <f>IF(E58="Fortement en désaccord",0)+IF(E58="Un peu en désaccord",1)+IF(E58="Opinion neutre",2)+IF(E58="Un peu d'accord",3)+IF(E58="Fortement d'accord",4)</f>
        <v>0</v>
      </c>
      <c r="G58" s="42"/>
    </row>
    <row r="59" spans="4:7" ht="14" thickBot="1" x14ac:dyDescent="0.35">
      <c r="D59" s="44" t="s">
        <v>37</v>
      </c>
      <c r="E59" s="43"/>
      <c r="F59" s="42">
        <f>IF(E59="Fortement en désaccord",4)+IF(E59="Un peu en désaccord",3)+IF(E59="Opinion neutre",2)+IF(E59="Un peu d'accord",1)+IF(E59="Fortement d'accord",0)</f>
        <v>0</v>
      </c>
      <c r="G59" s="42" t="s">
        <v>52</v>
      </c>
    </row>
    <row r="60" spans="4:7" ht="14" thickBot="1" x14ac:dyDescent="0.35">
      <c r="D60" s="18" t="s">
        <v>38</v>
      </c>
      <c r="E60" s="43"/>
      <c r="F60" s="42">
        <f>IF(E60="Fortement en désaccord",4)+IF(E60="Un peu en désaccord",3)+IF(E60="Opinion neutre",2)+IF(E60="Un peu d'accord",1)+IF(E60="Fortement d'accord",0)</f>
        <v>0</v>
      </c>
      <c r="G60" s="42" t="s">
        <v>52</v>
      </c>
    </row>
    <row r="61" spans="4:7" ht="14" thickBot="1" x14ac:dyDescent="0.35">
      <c r="D61" s="45" t="s">
        <v>0</v>
      </c>
      <c r="E61" s="43"/>
      <c r="F61" s="42">
        <f>IF(E61="Fortement en désaccord",4)+IF(E61="Un peu en désaccord",3)+IF(E61="Opinion neutre",2)+IF(E61="Un peu d'accord",1)+IF(E61="Fortement d'accord",0)</f>
        <v>0</v>
      </c>
      <c r="G61" s="42" t="s">
        <v>52</v>
      </c>
    </row>
  </sheetData>
  <phoneticPr fontId="6" type="noConversion"/>
  <dataValidations count="1">
    <dataValidation type="list" allowBlank="1" showInputMessage="1" showErrorMessage="1" sqref="E11:E61" xr:uid="{00000000-0002-0000-0100-000000000000}">
      <formula1>"Fortement en désaccord,Un peu en désaccord,Opinion neutre, Un peu d'accord, Fortement d'accord"</formula1>
    </dataValidation>
  </dataValidation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8"/>
  <sheetViews>
    <sheetView topLeftCell="A11" zoomScale="56" workbookViewId="0">
      <selection activeCell="C7" sqref="C7"/>
    </sheetView>
  </sheetViews>
  <sheetFormatPr baseColWidth="10" defaultRowHeight="13.5" x14ac:dyDescent="0.3"/>
  <sheetData>
    <row r="1" spans="2:5" ht="14" thickBot="1" x14ac:dyDescent="0.35"/>
    <row r="2" spans="2:5" ht="14" thickBot="1" x14ac:dyDescent="0.35">
      <c r="B2" s="1"/>
      <c r="C2" s="46" t="s">
        <v>27</v>
      </c>
      <c r="D2" s="6"/>
    </row>
    <row r="3" spans="2:5" x14ac:dyDescent="0.3">
      <c r="B3" s="46" t="s">
        <v>23</v>
      </c>
      <c r="C3" s="3">
        <f>'Questionnaire de personnalité'!F12+'Questionnaire de personnalité'!F17+'Questionnaire de personnalité'!F22+'Questionnaire de personnalité'!F27+'Questionnaire de personnalité'!F32+'Questionnaire de personnalité'!F37+'Questionnaire de personnalité'!F42+'Questionnaire de personnalité'!F47+'Questionnaire de personnalité'!F52+'Questionnaire de personnalité'!F57</f>
        <v>0</v>
      </c>
      <c r="D3" s="49"/>
      <c r="E3" s="42"/>
    </row>
    <row r="4" spans="2:5" x14ac:dyDescent="0.3">
      <c r="B4" s="47" t="s">
        <v>22</v>
      </c>
      <c r="C4" s="4">
        <f>SUM('Questionnaire de personnalité'!F13+'Questionnaire de personnalité'!F18+'Questionnaire de personnalité'!F23+'Questionnaire de personnalité'!F28+'Questionnaire de personnalité'!F33+'Questionnaire de personnalité'!F38+'Questionnaire de personnalité'!F43+'Questionnaire de personnalité'!F48+'Questionnaire de personnalité'!F53+'Questionnaire de personnalité'!F58)</f>
        <v>0</v>
      </c>
      <c r="D4" s="50"/>
      <c r="E4" s="42"/>
    </row>
    <row r="5" spans="2:5" x14ac:dyDescent="0.3">
      <c r="B5" s="47" t="s">
        <v>24</v>
      </c>
      <c r="C5" s="4">
        <f>SUM('Questionnaire de personnalité'!F14+'Questionnaire de personnalité'!F19+'Questionnaire de personnalité'!F24+'Questionnaire de personnalité'!F29+'Questionnaire de personnalité'!F34+'Questionnaire de personnalité'!F39+'Questionnaire de personnalité'!F44+'Questionnaire de personnalité'!F49+'Questionnaire de personnalité'!F54+'Questionnaire de personnalité'!F59)</f>
        <v>0</v>
      </c>
      <c r="D5" s="50"/>
      <c r="E5" s="42"/>
    </row>
    <row r="6" spans="2:5" x14ac:dyDescent="0.3">
      <c r="B6" s="47" t="s">
        <v>25</v>
      </c>
      <c r="C6" s="4">
        <f>SUM('Questionnaire de personnalité'!F15+'Questionnaire de personnalité'!F20+'Questionnaire de personnalité'!F25+'Questionnaire de personnalité'!F30+'Questionnaire de personnalité'!F35+'Questionnaire de personnalité'!F40+'Questionnaire de personnalité'!F45+'Questionnaire de personnalité'!F50+'Questionnaire de personnalité'!F55+'Questionnaire de personnalité'!F60)</f>
        <v>0</v>
      </c>
      <c r="D6" s="50"/>
      <c r="E6" s="42"/>
    </row>
    <row r="7" spans="2:5" ht="14" thickBot="1" x14ac:dyDescent="0.35">
      <c r="B7" s="48" t="s">
        <v>26</v>
      </c>
      <c r="C7" s="5">
        <f>SUM('Questionnaire de personnalité'!F16+'Questionnaire de personnalité'!F21+'Questionnaire de personnalité'!F26+'Questionnaire de personnalité'!F31+'Questionnaire de personnalité'!F36+'Questionnaire de personnalité'!F41+'Questionnaire de personnalité'!F46+'Questionnaire de personnalité'!F51+'Questionnaire de personnalité'!F56+'Questionnaire de personnalité'!F61)</f>
        <v>0</v>
      </c>
      <c r="D7" s="51"/>
      <c r="E7" s="42"/>
    </row>
    <row r="8" spans="2:5" x14ac:dyDescent="0.3">
      <c r="B8" s="1"/>
      <c r="D8" s="42"/>
    </row>
  </sheetData>
  <phoneticPr fontId="6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7"/>
  <sheetViews>
    <sheetView zoomScale="65" workbookViewId="0">
      <selection activeCell="C7" sqref="C7"/>
    </sheetView>
  </sheetViews>
  <sheetFormatPr baseColWidth="10" defaultRowHeight="13.5" x14ac:dyDescent="0.3"/>
  <sheetData>
    <row r="1" spans="2:5" ht="14" thickBot="1" x14ac:dyDescent="0.35"/>
    <row r="2" spans="2:5" ht="14" thickBot="1" x14ac:dyDescent="0.35">
      <c r="B2" s="1"/>
      <c r="C2" s="46" t="s">
        <v>27</v>
      </c>
      <c r="D2" s="6"/>
    </row>
    <row r="3" spans="2:5" x14ac:dyDescent="0.3">
      <c r="B3" s="46" t="s">
        <v>23</v>
      </c>
      <c r="C3" s="3">
        <f>'Questionnaire de personnalité'!F12+'Questionnaire de personnalité'!F17+'Questionnaire de personnalité'!F22+'Questionnaire de personnalité'!F27+'Questionnaire de personnalité'!F32+'Questionnaire de personnalité'!F37+'Questionnaire de personnalité'!F42+'Questionnaire de personnalité'!F47+'Questionnaire de personnalité'!F52+'Questionnaire de personnalité'!F57</f>
        <v>0</v>
      </c>
      <c r="D3" s="49">
        <f>((C3-28.45)/5.736)</f>
        <v>-4.9599023709902372</v>
      </c>
      <c r="E3" s="42">
        <f>((C3-28.29)/5.753)</f>
        <v>-4.9174343820615327</v>
      </c>
    </row>
    <row r="4" spans="2:5" x14ac:dyDescent="0.3">
      <c r="B4" s="47" t="s">
        <v>22</v>
      </c>
      <c r="C4" s="4">
        <f>SUM('Questionnaire de personnalité'!F13+'Questionnaire de personnalité'!F18+'Questionnaire de personnalité'!F23+'Questionnaire de personnalité'!F28+'Questionnaire de personnalité'!F33+'Questionnaire de personnalité'!F38+'Questionnaire de personnalité'!F43+'Questionnaire de personnalité'!F48+'Questionnaire de personnalité'!F53+'Questionnaire de personnalité'!F58)</f>
        <v>0</v>
      </c>
      <c r="D4" s="50">
        <f>((C4-28.19)/6.654)</f>
        <v>-4.2365494439434928</v>
      </c>
      <c r="E4" s="42">
        <f>((C4-27.53)/6.671)</f>
        <v>-4.1268175685804227</v>
      </c>
    </row>
    <row r="5" spans="2:5" x14ac:dyDescent="0.3">
      <c r="B5" s="47" t="s">
        <v>24</v>
      </c>
      <c r="C5" s="4">
        <f>SUM('Questionnaire de personnalité'!F14+'Questionnaire de personnalité'!F19+'Questionnaire de personnalité'!F24+'Questionnaire de personnalité'!F29+'Questionnaire de personnalité'!F34+'Questionnaire de personnalité'!F39+'Questionnaire de personnalité'!F44+'Questionnaire de personnalité'!F49+'Questionnaire de personnalité'!F54+'Questionnaire de personnalité'!F59)</f>
        <v>0</v>
      </c>
      <c r="D5" s="50">
        <f>((C5-26.9)/5.657)</f>
        <v>-4.7551705851157857</v>
      </c>
      <c r="E5" s="42">
        <f>((C5-29.39)/5.181)</f>
        <v>-5.6726500675545264</v>
      </c>
    </row>
    <row r="6" spans="2:5" ht="14.15" customHeight="1" x14ac:dyDescent="0.3">
      <c r="B6" s="47" t="s">
        <v>25</v>
      </c>
      <c r="C6" s="4">
        <f>SUM('Questionnaire de personnalité'!F15+'Questionnaire de personnalité'!F20+'Questionnaire de personnalité'!F25+'Questionnaire de personnalité'!F30+'Questionnaire de personnalité'!F35+'Questionnaire de personnalité'!F40+'Questionnaire de personnalité'!F45+'Questionnaire de personnalité'!F50+'Questionnaire de personnalité'!F55+'Questionnaire de personnalité'!F60)</f>
        <v>0</v>
      </c>
      <c r="D6" s="50">
        <f>((C6-25.48)/5.532)</f>
        <v>-4.6059291395516997</v>
      </c>
      <c r="E6" s="42">
        <f>((C6-28.47)/6.155)</f>
        <v>-4.6255077173030053</v>
      </c>
    </row>
    <row r="7" spans="2:5" ht="14" thickBot="1" x14ac:dyDescent="0.35">
      <c r="B7" s="48" t="s">
        <v>26</v>
      </c>
      <c r="C7" s="5">
        <f>SUM('Questionnaire de personnalité'!F16+'Questionnaire de personnalité'!F21+'Questionnaire de personnalité'!F26+'Questionnaire de personnalité'!F31+'Questionnaire de personnalité'!F36+'Questionnaire de personnalité'!F41+'Questionnaire de personnalité'!F46+'Questionnaire de personnalité'!F51+'Questionnaire de personnalité'!F56+'Questionnaire de personnalité'!F61)</f>
        <v>0</v>
      </c>
      <c r="D7" s="51">
        <f>((C7-24.16)/7.678)</f>
        <v>-3.1466527741599375</v>
      </c>
      <c r="E7" s="42">
        <f>((C7-19.29)/7.671)</f>
        <v>-2.5146656237778644</v>
      </c>
    </row>
  </sheetData>
  <phoneticPr fontId="6" type="noConversion"/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6"/>
  <sheetViews>
    <sheetView workbookViewId="0">
      <selection activeCell="F5" sqref="F5"/>
    </sheetView>
  </sheetViews>
  <sheetFormatPr baseColWidth="10" defaultRowHeight="13.5" x14ac:dyDescent="0.3"/>
  <sheetData>
    <row r="1" spans="2:5" ht="14" thickBot="1" x14ac:dyDescent="0.35"/>
    <row r="2" spans="2:5" ht="14" thickBot="1" x14ac:dyDescent="0.35">
      <c r="B2" s="1"/>
      <c r="C2" s="46" t="s">
        <v>27</v>
      </c>
      <c r="D2" s="6"/>
    </row>
    <row r="3" spans="2:5" x14ac:dyDescent="0.3">
      <c r="B3" s="46" t="s">
        <v>23</v>
      </c>
      <c r="C3" s="3">
        <f>'Questionnaire de personnalité'!F12+'Questionnaire de personnalité'!F17+'Questionnaire de personnalité'!F22+'Questionnaire de personnalité'!F27+'Questionnaire de personnalité'!F32+'Questionnaire de personnalité'!F37+'Questionnaire de personnalité'!F42+'Questionnaire de personnalité'!F47+'Questionnaire de personnalité'!F52+'Questionnaire de personnalité'!F57</f>
        <v>0</v>
      </c>
      <c r="D3" s="49">
        <f>((C3-28.51)/6.566)</f>
        <v>-4.342065184282669</v>
      </c>
      <c r="E3" s="42">
        <f>((C3-28.58)/6.2)</f>
        <v>-4.6096774193548384</v>
      </c>
    </row>
    <row r="4" spans="2:5" ht="14.15" customHeight="1" x14ac:dyDescent="0.3">
      <c r="B4" s="47" t="s">
        <v>22</v>
      </c>
      <c r="C4" s="4">
        <f>SUM('Questionnaire de personnalité'!F13+'Questionnaire de personnalité'!F18+'Questionnaire de personnalité'!F23+'Questionnaire de personnalité'!F28+'Questionnaire de personnalité'!F33+'Questionnaire de personnalité'!F38+'Questionnaire de personnalité'!F43+'Questionnaire de personnalité'!F48+'Questionnaire de personnalité'!F53+'Questionnaire de personnalité'!F58)</f>
        <v>0</v>
      </c>
      <c r="D4" s="50">
        <f>((C4-27.61)/6.892)</f>
        <v>-4.0060940220545556</v>
      </c>
      <c r="E4" s="42">
        <f>((C4-28.48)/6.591)</f>
        <v>-4.3210438476710662</v>
      </c>
    </row>
    <row r="5" spans="2:5" x14ac:dyDescent="0.3">
      <c r="B5" s="47" t="s">
        <v>24</v>
      </c>
      <c r="C5" s="4">
        <f>SUM('Questionnaire de personnalité'!F14+'Questionnaire de personnalité'!F19+'Questionnaire de personnalité'!F24+'Questionnaire de personnalité'!F29+'Questionnaire de personnalité'!F34+'Questionnaire de personnalité'!F39+'Questionnaire de personnalité'!F44+'Questionnaire de personnalité'!F49+'Questionnaire de personnalité'!F54+'Questionnaire de personnalité'!F59)</f>
        <v>0</v>
      </c>
      <c r="D5" s="50">
        <f>((C5-27.56)/6.053)</f>
        <v>-4.5531141582686265</v>
      </c>
      <c r="E5" s="42">
        <f>((C5-29.51)/5.778)</f>
        <v>-5.1073035652474914</v>
      </c>
    </row>
    <row r="6" spans="2:5" ht="14.15" customHeight="1" x14ac:dyDescent="0.3">
      <c r="B6" s="47" t="s">
        <v>25</v>
      </c>
      <c r="C6" s="4">
        <f>SUM('Questionnaire de personnalité'!F15+'Questionnaire de personnalité'!F20+'Questionnaire de personnalité'!F25+'Questionnaire de personnalité'!F30+'Questionnaire de personnalité'!F35+'Questionnaire de personnalité'!F40+'Questionnaire de personnalité'!F45+'Questionnaire de personnalité'!F50+'Questionnaire de personnalité'!F55+'Questionnaire de personnalité'!F60)</f>
        <v>0</v>
      </c>
      <c r="D6" s="50">
        <f>((C6-28.16)/5.875)</f>
        <v>-4.7931914893617025</v>
      </c>
      <c r="E6" s="42">
        <f>((C6-30.51)/5.455)</f>
        <v>-5.5930339138405136</v>
      </c>
    </row>
    <row r="7" spans="2:5" ht="14" thickBot="1" x14ac:dyDescent="0.35">
      <c r="B7" s="48" t="s">
        <v>26</v>
      </c>
      <c r="C7" s="5">
        <f>SUM('Questionnaire de personnalité'!F16+'Questionnaire de personnalité'!F21+'Questionnaire de personnalité'!F26+'Questionnaire de personnalité'!F31+'Questionnaire de personnalité'!F36+'Questionnaire de personnalité'!F41+'Questionnaire de personnalité'!F46+'Questionnaire de personnalité'!F51+'Questionnaire de personnalité'!F56+'Questionnaire de personnalité'!F61)</f>
        <v>0</v>
      </c>
      <c r="D7" s="51">
        <f>((C7-23.87)/7.319)</f>
        <v>-3.2613745047137588</v>
      </c>
      <c r="E7" s="42">
        <f>((C7-21.19)/8.005)</f>
        <v>-2.6470955652717052</v>
      </c>
    </row>
    <row r="12" spans="2:5" ht="14.15" customHeight="1" x14ac:dyDescent="0.3"/>
    <row r="16" spans="2:5" ht="14.15" customHeight="1" x14ac:dyDescent="0.3"/>
  </sheetData>
  <phoneticPr fontId="6" type="noConversion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7"/>
  <sheetViews>
    <sheetView topLeftCell="A2" workbookViewId="0">
      <selection activeCell="G9" sqref="G9"/>
    </sheetView>
  </sheetViews>
  <sheetFormatPr baseColWidth="10" defaultRowHeight="13.5" x14ac:dyDescent="0.3"/>
  <sheetData>
    <row r="1" spans="2:5" ht="14" thickBot="1" x14ac:dyDescent="0.35"/>
    <row r="2" spans="2:5" ht="14" thickBot="1" x14ac:dyDescent="0.35">
      <c r="B2" s="1"/>
      <c r="C2" s="46" t="s">
        <v>27</v>
      </c>
      <c r="D2" s="6"/>
    </row>
    <row r="3" spans="2:5" x14ac:dyDescent="0.3">
      <c r="B3" s="46" t="s">
        <v>23</v>
      </c>
      <c r="C3" s="3">
        <f>'Questionnaire de personnalité'!F12+'Questionnaire de personnalité'!F17+'Questionnaire de personnalité'!F22+'Questionnaire de personnalité'!F27+'Questionnaire de personnalité'!F32+'Questionnaire de personnalité'!F37+'Questionnaire de personnalité'!F42+'Questionnaire de personnalité'!F47+'Questionnaire de personnalité'!F52+'Questionnaire de personnalité'!F57</f>
        <v>0</v>
      </c>
      <c r="D3" s="49">
        <f>((C3-27.8)/5.628)</f>
        <v>-4.939587775408671</v>
      </c>
      <c r="E3" s="42">
        <f>((C3-27.36)/7.148)</f>
        <v>-3.8276440962506997</v>
      </c>
    </row>
    <row r="4" spans="2:5" x14ac:dyDescent="0.3">
      <c r="B4" s="47" t="s">
        <v>22</v>
      </c>
      <c r="C4" s="4">
        <f>SUM('Questionnaire de personnalité'!F13+'Questionnaire de personnalité'!F18+'Questionnaire de personnalité'!F23+'Questionnaire de personnalité'!F28+'Questionnaire de personnalité'!F33+'Questionnaire de personnalité'!F38+'Questionnaire de personnalité'!F43+'Questionnaire de personnalité'!F48+'Questionnaire de personnalité'!F53+'Questionnaire de personnalité'!F58)</f>
        <v>0</v>
      </c>
      <c r="D4" s="50">
        <f>((C4-27.4)/6.754)</f>
        <v>-4.0568551969203437</v>
      </c>
      <c r="E4" s="42">
        <f>((C4-27.05)/7.352)</f>
        <v>-3.679270946681175</v>
      </c>
    </row>
    <row r="5" spans="2:5" x14ac:dyDescent="0.3">
      <c r="B5" s="47" t="s">
        <v>24</v>
      </c>
      <c r="C5" s="4">
        <f>SUM('Questionnaire de personnalité'!F14+'Questionnaire de personnalité'!F19+'Questionnaire de personnalité'!F24+'Questionnaire de personnalité'!F29+'Questionnaire de personnalité'!F34+'Questionnaire de personnalité'!F39+'Questionnaire de personnalité'!F44+'Questionnaire de personnalité'!F49+'Questionnaire de personnalité'!F54+'Questionnaire de personnalité'!F59)</f>
        <v>0</v>
      </c>
      <c r="D5" s="50">
        <f>((C5-28.75)/5.184)</f>
        <v>-5.5459104938271606</v>
      </c>
      <c r="E5" s="42">
        <f>((C5-31.9)/4.506)</f>
        <v>-7.0794496227252548</v>
      </c>
    </row>
    <row r="6" spans="2:5" ht="14.15" customHeight="1" x14ac:dyDescent="0.3">
      <c r="B6" s="47" t="s">
        <v>25</v>
      </c>
      <c r="C6" s="4">
        <f>SUM('Questionnaire de personnalité'!F15+'Questionnaire de personnalité'!F20+'Questionnaire de personnalité'!F25+'Questionnaire de personnalité'!F30+'Questionnaire de personnalité'!F35+'Questionnaire de personnalité'!F40+'Questionnaire de personnalité'!F45+'Questionnaire de personnalité'!F50+'Questionnaire de personnalité'!F55+'Questionnaire de personnalité'!F60)</f>
        <v>0</v>
      </c>
      <c r="D6" s="50">
        <f>((C6-30.18)/5.542)</f>
        <v>-5.4456874774449657</v>
      </c>
      <c r="E6" s="42">
        <f>((C6-32.96)/5.239)</f>
        <v>-6.291276961252148</v>
      </c>
    </row>
    <row r="7" spans="2:5" ht="14" thickBot="1" x14ac:dyDescent="0.35">
      <c r="B7" s="48" t="s">
        <v>26</v>
      </c>
      <c r="C7" s="5">
        <f>SUM('Questionnaire de personnalité'!F16+'Questionnaire de personnalité'!F21+'Questionnaire de personnalité'!F26+'Questionnaire de personnalité'!F31+'Questionnaire de personnalité'!F36+'Questionnaire de personnalité'!F41+'Questionnaire de personnalité'!F46+'Questionnaire de personnalité'!F51+'Questionnaire de personnalité'!F56+'Questionnaire de personnalité'!F61)</f>
        <v>0</v>
      </c>
      <c r="D7" s="51">
        <f>((C7-25.45)/6.811)</f>
        <v>-3.7366025546909412</v>
      </c>
      <c r="E7" s="42">
        <f>((C7-22.6)/8.153)</f>
        <v>-2.7719857721084264</v>
      </c>
    </row>
  </sheetData>
  <phoneticPr fontId="6" type="noConversion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Instructions</vt:lpstr>
      <vt:lpstr>Questionnaire de personnalité</vt:lpstr>
      <vt:lpstr>Profil graphique</vt:lpstr>
      <vt:lpstr>Comparatif 18-29 ans</vt:lpstr>
      <vt:lpstr>Comparatif 30-39 ans</vt:lpstr>
      <vt:lpstr>Comparatif 40-49 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Léandre-Alexis Chénard Poirier</dc:creator>
  <cp:lastModifiedBy>Marie-Christine Albert</cp:lastModifiedBy>
  <dcterms:created xsi:type="dcterms:W3CDTF">2014-01-06T17:01:46Z</dcterms:created>
  <dcterms:modified xsi:type="dcterms:W3CDTF">2024-08-31T16:22:14Z</dcterms:modified>
</cp:coreProperties>
</file>