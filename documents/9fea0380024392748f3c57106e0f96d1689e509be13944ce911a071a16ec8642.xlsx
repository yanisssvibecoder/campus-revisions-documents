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cmtl-my.sharepoint.com/personal/claire_poitras_hec_ca/Documents/Documents/HEC/10500 Base/Séances GOL/Fichiers ZoneCours/"/>
    </mc:Choice>
  </mc:AlternateContent>
  <xr:revisionPtr revIDLastSave="33" documentId="13_ncr:1_{2EEFA551-79EC-42ED-8765-30AC97511E20}" xr6:coauthVersionLast="47" xr6:coauthVersionMax="47" xr10:uidLastSave="{B14E436F-C241-4AC8-B077-D2B0D5F1DA26}"/>
  <bookViews>
    <workbookView xWindow="28680" yWindow="-120" windowWidth="29040" windowHeight="15720" xr2:uid="{00000000-000D-0000-FFFF-FFFF00000000}"/>
  </bookViews>
  <sheets>
    <sheet name="Prévision - Non arrondie" sheetId="1" r:id="rId1"/>
    <sheet name="Prévision - Arrondie" sheetId="5" r:id="rId2"/>
    <sheet name="Écart moyen" sheetId="3" r:id="rId3"/>
    <sheet name="Écart quadratique moyen" sheetId="4" r:id="rId4"/>
    <sheet name="Vérification" sheetId="2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4" l="1"/>
  <c r="B8" i="2"/>
  <c r="I28" i="1" s="1"/>
  <c r="B7" i="2"/>
  <c r="H28" i="1" s="1"/>
  <c r="B6" i="2"/>
  <c r="B5" i="2"/>
  <c r="F28" i="1" s="1"/>
  <c r="B4" i="2"/>
  <c r="E28" i="1" s="1"/>
  <c r="B3" i="2"/>
  <c r="D28" i="1" s="1"/>
  <c r="D7" i="2" l="1"/>
  <c r="H28" i="5" s="1"/>
  <c r="D3" i="2"/>
  <c r="D28" i="5" s="1"/>
  <c r="D6" i="2" l="1"/>
  <c r="G28" i="5" s="1"/>
  <c r="B21" i="2"/>
  <c r="D4" i="2"/>
  <c r="E28" i="5" s="1"/>
  <c r="D27" i="3"/>
  <c r="B12" i="2" s="1"/>
  <c r="D5" i="2"/>
  <c r="F28" i="5" s="1"/>
  <c r="D8" i="2"/>
  <c r="I28" i="5" s="1"/>
  <c r="H27" i="3"/>
  <c r="B16" i="2" s="1"/>
  <c r="H27" i="4"/>
  <c r="B25" i="2" s="1"/>
  <c r="E27" i="3"/>
  <c r="E27" i="4"/>
  <c r="B22" i="2" s="1"/>
  <c r="F27" i="4"/>
  <c r="B23" i="2" s="1"/>
  <c r="F27" i="3"/>
  <c r="B14" i="2" s="1"/>
  <c r="B13" i="2"/>
  <c r="G27" i="3" l="1"/>
  <c r="B15" i="2" s="1"/>
  <c r="G27" i="4"/>
  <c r="B24" i="2" s="1"/>
  <c r="I27" i="4"/>
  <c r="B26" i="2" s="1"/>
  <c r="I27" i="3"/>
  <c r="B17" i="2" s="1"/>
  <c r="D29" i="4"/>
  <c r="G29" i="4" l="1"/>
  <c r="H29" i="4"/>
  <c r="F29" i="4"/>
  <c r="I29" i="4"/>
  <c r="E29" i="4"/>
  <c r="I29" i="3"/>
  <c r="H29" i="3"/>
  <c r="G29" i="3"/>
  <c r="F29" i="3"/>
  <c r="E29" i="3"/>
  <c r="G28" i="1"/>
  <c r="D29" i="3" l="1"/>
</calcChain>
</file>

<file path=xl/sharedStrings.xml><?xml version="1.0" encoding="utf-8"?>
<sst xmlns="http://schemas.openxmlformats.org/spreadsheetml/2006/main" count="169" uniqueCount="39">
  <si>
    <t>Mois</t>
  </si>
  <si>
    <t>Demande</t>
  </si>
  <si>
    <t>Moyenne mobile</t>
  </si>
  <si>
    <t>3 mois</t>
  </si>
  <si>
    <t>6 mois</t>
  </si>
  <si>
    <t>Moyenne mobile pondérée</t>
  </si>
  <si>
    <t>Lissage exponentiel simple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</si>
  <si>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</si>
  <si>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</si>
  <si>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</si>
  <si>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</si>
  <si>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</si>
  <si>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</si>
  <si>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</si>
  <si>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</si>
  <si>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</si>
  <si>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</si>
  <si>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</si>
  <si>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</si>
  <si>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Année</t>
  </si>
  <si>
    <t>20 % - 30 % - 50 %</t>
  </si>
  <si>
    <t>Moyenne mobile k=3</t>
  </si>
  <si>
    <t>Moyenne mobile k=6</t>
  </si>
  <si>
    <t>Lissage exponentiel alpha = 0,1</t>
  </si>
  <si>
    <t>Lissage exponentiel alpha = 0,4</t>
  </si>
  <si>
    <t>Lissage exponentiel alpha = 0,8</t>
  </si>
  <si>
    <t>Vérification des calculs de prévision pour décembre 2017</t>
  </si>
  <si>
    <t>EQM</t>
  </si>
  <si>
    <t>Vérification des calculs d'erreur cumulative moyenne</t>
  </si>
  <si>
    <t>Vérification des calculs d'erreur quadratique moyenne</t>
  </si>
  <si>
    <t>EM</t>
  </si>
  <si>
    <t>Non arrondie</t>
  </si>
  <si>
    <t>Arrondie</t>
  </si>
  <si>
    <r>
      <t xml:space="preserve">ATTENTION! Les calculs de prévision effectués dans cette feuille sont </t>
    </r>
    <r>
      <rPr>
        <b/>
        <sz val="14"/>
        <color theme="1"/>
        <rFont val="Arial"/>
        <family val="2"/>
      </rPr>
      <t>non arrondis</t>
    </r>
  </si>
  <si>
    <r>
      <t xml:space="preserve">ATTENTION! Les calculs de prévision effectués dans cette feuille sont </t>
    </r>
    <r>
      <rPr>
        <b/>
        <sz val="14"/>
        <color theme="1"/>
        <rFont val="Arial"/>
        <family val="2"/>
      </rPr>
      <t>arrondis</t>
    </r>
  </si>
  <si>
    <t>Comment interpréter l'écart moyen?</t>
  </si>
  <si>
    <t>Pourcentage</t>
  </si>
  <si>
    <t>Année 2024</t>
  </si>
  <si>
    <t>Année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</si>
</sst>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00000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1"/>
      <color theme="3"/>
      <name val="Arial"/>
      <family val="2"/>
    </font>
    <font>
      <b/>
      <sz val="12"/>
      <color theme="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9" fillId="0" borderId="0" xfId="0" applyFont="1"/>
    <xf numFmtId="0" fontId="10" fillId="0" borderId="0" xfId="0" applyFont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Protection="1">
      <protection locked="0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left"/>
      <protection locked="0"/>
    </xf>
    <xf numFmtId="0" fontId="6" fillId="3" borderId="1" xfId="1" applyFont="1" applyFill="1" applyBorder="1" applyAlignment="1" applyProtection="1">
      <alignment horizont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/>
      <protection locked="0"/>
    </xf>
    <xf numFmtId="1" fontId="8" fillId="0" borderId="0" xfId="0" applyNumberFormat="1" applyFont="1" applyAlignment="1" applyProtection="1">
      <alignment horizontal="center"/>
      <protection locked="0"/>
    </xf>
    <xf numFmtId="1" fontId="11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2" fontId="1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9" fillId="0" borderId="0" xfId="0" applyFont="1" applyProtection="1">
      <protection hidden="1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Protection="1">
      <protection locked="0"/>
    </xf>
    <xf numFmtId="166" fontId="4" fillId="0" borderId="0" xfId="0" applyNumberFormat="1" applyFont="1" applyProtection="1">
      <protection locked="0"/>
    </xf>
    <xf numFmtId="166" fontId="13" fillId="0" borderId="0" xfId="0" applyNumberFormat="1" applyFont="1" applyAlignment="1" applyProtection="1">
      <alignment horizontal="left"/>
      <protection locked="0"/>
    </xf>
    <xf numFmtId="1" fontId="6" fillId="0" borderId="0" xfId="0" applyNumberFormat="1" applyFont="1" applyProtection="1">
      <protection locked="0"/>
    </xf>
    <xf numFmtId="10" fontId="6" fillId="0" borderId="0" xfId="0" applyNumberFormat="1" applyFont="1" applyAlignment="1" applyProtection="1">
      <alignment vertical="center"/>
      <protection locked="0"/>
    </xf>
    <xf numFmtId="3" fontId="11" fillId="0" borderId="0" xfId="0" applyNumberFormat="1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textRotation="90"/>
      <protection locked="0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textRotation="90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7" sqref="A27"/>
    </sheetView>
  </sheetViews>
  <sheetFormatPr baseColWidth="10" defaultColWidth="11.44140625" defaultRowHeight="13.8" x14ac:dyDescent="0.25"/>
  <cols>
    <col min="1" max="1" width="7.44140625" style="4" bestFit="1" customWidth="1"/>
    <col min="2" max="2" width="13.6640625" style="12" customWidth="1"/>
    <col min="3" max="3" width="13.88671875" style="15" customWidth="1"/>
    <col min="4" max="9" width="20.33203125" style="4" customWidth="1"/>
    <col min="10" max="10" width="23.44140625" style="4" customWidth="1"/>
    <col min="11" max="16384" width="11.44140625" style="4"/>
  </cols>
  <sheetData>
    <row r="1" spans="1:9" ht="30.75" customHeight="1" x14ac:dyDescent="0.25">
      <c r="A1" s="31" t="s">
        <v>19</v>
      </c>
      <c r="B1" s="31" t="s">
        <v>0</v>
      </c>
      <c r="C1" s="31" t="s">
        <v>1</v>
      </c>
      <c r="D1" s="33" t="s">
        <v>2</v>
      </c>
      <c r="E1" s="33"/>
      <c r="F1" s="3" t="s">
        <v>5</v>
      </c>
      <c r="G1" s="30" t="s">
        <v>6</v>
      </c>
      <c r="H1" s="30"/>
      <c r="I1" s="30"/>
    </row>
    <row r="2" spans="1:9" x14ac:dyDescent="0.25">
      <c r="A2" s="31"/>
      <c r="B2" s="31"/>
      <c r="C2" s="31"/>
      <c r="D2" s="5" t="s">
        <v>3</v>
      </c>
      <c r="E2" s="5" t="s">
        <v>4</v>
      </c>
      <c r="F2" s="6" t="s">
        <v>20</v>
      </c>
      <c r="G2" s="7">
        <v>0.1</v>
      </c>
      <c r="H2" s="7">
        <v>0.4</v>
      </c>
      <c r="I2" s="7">
        <v>0.8</v>
      </c>
    </row>
    <row r="3" spans="1:9" x14ac:dyDescent="0.25">
      <c r="A3" s="34" t="s">
        <v>37</v>
      </c>
      <c r="B3" s="8" t="s">
        <v>7</v>
      </c>
      <c r="C3" s="9">
        <v>859</v>
      </c>
      <c r="D3" s="10"/>
      <c r="E3" s="10"/>
      <c r="F3" s="10"/>
      <c r="G3" s="11"/>
      <c r="H3" s="11"/>
      <c r="I3" s="11"/>
    </row>
    <row r="4" spans="1:9" x14ac:dyDescent="0.25">
      <c r="A4" s="32"/>
      <c r="B4" s="8" t="s">
        <v>8</v>
      </c>
      <c r="C4" s="9">
        <v>750</v>
      </c>
      <c r="D4" s="10"/>
      <c r="E4" s="10"/>
      <c r="F4" s="10"/>
      <c r="G4" s="11"/>
      <c r="H4" s="11"/>
      <c r="I4" s="11"/>
    </row>
    <row r="5" spans="1:9" x14ac:dyDescent="0.25">
      <c r="A5" s="32"/>
      <c r="B5" s="8" t="s">
        <v>9</v>
      </c>
      <c r="C5" s="9">
        <v>713</v>
      </c>
      <c r="D5" s="10"/>
      <c r="E5" s="10"/>
      <c r="F5" s="10"/>
      <c r="G5" s="11"/>
      <c r="H5" s="11"/>
      <c r="I5" s="11"/>
    </row>
    <row r="6" spans="1:9" x14ac:dyDescent="0.25">
      <c r="A6" s="32"/>
      <c r="B6" s="8" t="s">
        <v>10</v>
      </c>
      <c r="C6" s="9">
        <v>863</v>
      </c>
      <c r="D6" s="10"/>
      <c r="E6" s="10"/>
      <c r="F6" s="11"/>
      <c r="G6" s="11"/>
      <c r="H6" s="11"/>
      <c r="I6" s="11"/>
    </row>
    <row r="7" spans="1:9" x14ac:dyDescent="0.25">
      <c r="A7" s="32"/>
      <c r="B7" s="8" t="s">
        <v>11</v>
      </c>
      <c r="C7" s="9">
        <v>894</v>
      </c>
      <c r="D7" s="10"/>
      <c r="E7" s="10"/>
      <c r="F7" s="11"/>
      <c r="G7" s="11"/>
      <c r="H7" s="11"/>
      <c r="I7" s="11"/>
    </row>
    <row r="8" spans="1:9" x14ac:dyDescent="0.25">
      <c r="A8" s="32"/>
      <c r="B8" s="8" t="s">
        <v>12</v>
      </c>
      <c r="C8" s="9">
        <v>854</v>
      </c>
      <c r="D8" s="10"/>
      <c r="E8" s="10"/>
      <c r="F8" s="11"/>
      <c r="G8" s="11"/>
      <c r="H8" s="11"/>
      <c r="I8" s="11"/>
    </row>
    <row r="9" spans="1:9" x14ac:dyDescent="0.25">
      <c r="A9" s="32"/>
      <c r="B9" s="8" t="s">
        <v>13</v>
      </c>
      <c r="C9" s="9">
        <v>882</v>
      </c>
      <c r="D9" s="10"/>
      <c r="E9" s="10"/>
      <c r="F9" s="11"/>
      <c r="G9" s="11"/>
      <c r="H9" s="11"/>
      <c r="I9" s="11"/>
    </row>
    <row r="10" spans="1:9" x14ac:dyDescent="0.25">
      <c r="A10" s="32"/>
      <c r="B10" s="8" t="s">
        <v>14</v>
      </c>
      <c r="C10" s="9">
        <v>860</v>
      </c>
      <c r="D10" s="10"/>
      <c r="E10" s="10"/>
      <c r="F10" s="11"/>
      <c r="G10" s="11"/>
      <c r="H10" s="11"/>
      <c r="I10" s="11"/>
    </row>
    <row r="11" spans="1:9" x14ac:dyDescent="0.25">
      <c r="A11" s="32"/>
      <c r="B11" s="8" t="s">
        <v>15</v>
      </c>
      <c r="C11" s="9">
        <v>703</v>
      </c>
      <c r="D11" s="10"/>
      <c r="E11" s="10"/>
      <c r="F11" s="11"/>
      <c r="G11" s="11"/>
      <c r="H11" s="11"/>
      <c r="I11" s="11"/>
    </row>
    <row r="12" spans="1:9" x14ac:dyDescent="0.25">
      <c r="A12" s="32"/>
      <c r="B12" s="8" t="s">
        <v>16</v>
      </c>
      <c r="C12" s="9">
        <v>860</v>
      </c>
      <c r="D12" s="10"/>
      <c r="E12" s="10"/>
      <c r="F12" s="11"/>
      <c r="G12" s="11"/>
      <c r="H12" s="11"/>
      <c r="I12" s="11"/>
    </row>
    <row r="13" spans="1:9" x14ac:dyDescent="0.25">
      <c r="A13" s="32"/>
      <c r="B13" s="8" t="s">
        <v>17</v>
      </c>
      <c r="C13" s="9">
        <v>701</v>
      </c>
      <c r="D13" s="10"/>
      <c r="E13" s="10"/>
      <c r="F13" s="11"/>
      <c r="G13" s="11"/>
      <c r="H13" s="11"/>
      <c r="I13" s="11"/>
    </row>
    <row r="14" spans="1:9" x14ac:dyDescent="0.25">
      <c r="A14" s="32"/>
      <c r="B14" s="8" t="s">
        <v>18</v>
      </c>
      <c r="C14" s="9">
        <v>911</v>
      </c>
      <c r="D14" s="10"/>
      <c r="E14" s="10"/>
      <c r="F14" s="11"/>
      <c r="G14" s="11"/>
      <c r="H14" s="11"/>
      <c r="I14" s="11"/>
    </row>
    <row r="15" spans="1:9" x14ac:dyDescent="0.25">
      <c r="A15" s="34" t="s">
        <v>38</v>
      </c>
      <c r="B15" s="8" t="s">
        <v>7</v>
      </c>
      <c r="C15" s="9">
        <v>759</v>
      </c>
      <c r="D15" s="22"/>
      <c r="E15" s="22"/>
      <c r="F15" s="11"/>
      <c r="G15" s="11"/>
      <c r="H15" s="11"/>
      <c r="I15" s="11"/>
    </row>
    <row r="16" spans="1:9" x14ac:dyDescent="0.25">
      <c r="A16" s="32"/>
      <c r="B16" s="8" t="s">
        <v>8</v>
      </c>
      <c r="C16" s="9">
        <v>792</v>
      </c>
      <c r="D16" s="22"/>
      <c r="E16" s="22"/>
      <c r="F16" s="11"/>
      <c r="G16" s="11"/>
      <c r="H16" s="11"/>
      <c r="I16" s="11"/>
    </row>
    <row r="17" spans="1:9" x14ac:dyDescent="0.25">
      <c r="A17" s="32"/>
      <c r="B17" s="8" t="s">
        <v>9</v>
      </c>
      <c r="C17" s="9">
        <v>876</v>
      </c>
      <c r="D17" s="22"/>
      <c r="E17" s="22"/>
      <c r="F17" s="11"/>
      <c r="G17" s="11"/>
      <c r="H17" s="11"/>
      <c r="I17" s="11"/>
    </row>
    <row r="18" spans="1:9" x14ac:dyDescent="0.25">
      <c r="A18" s="32"/>
      <c r="B18" s="8" t="s">
        <v>10</v>
      </c>
      <c r="C18" s="9">
        <v>953</v>
      </c>
      <c r="D18" s="22"/>
      <c r="E18" s="22"/>
      <c r="F18" s="11"/>
      <c r="G18" s="11"/>
      <c r="H18" s="11"/>
      <c r="I18" s="11"/>
    </row>
    <row r="19" spans="1:9" x14ac:dyDescent="0.25">
      <c r="A19" s="32"/>
      <c r="B19" s="8" t="s">
        <v>11</v>
      </c>
      <c r="C19" s="9">
        <v>817</v>
      </c>
      <c r="D19" s="22"/>
      <c r="E19" s="22"/>
      <c r="F19" s="11"/>
      <c r="G19" s="11"/>
      <c r="H19" s="11"/>
      <c r="I19" s="11"/>
    </row>
    <row r="20" spans="1:9" x14ac:dyDescent="0.25">
      <c r="A20" s="32"/>
      <c r="B20" s="8" t="s">
        <v>12</v>
      </c>
      <c r="C20" s="9">
        <v>757</v>
      </c>
      <c r="D20" s="22"/>
      <c r="E20" s="22"/>
      <c r="F20" s="11"/>
      <c r="G20" s="11"/>
      <c r="H20" s="11"/>
      <c r="I20" s="11"/>
    </row>
    <row r="21" spans="1:9" x14ac:dyDescent="0.25">
      <c r="A21" s="32"/>
      <c r="B21" s="8" t="s">
        <v>13</v>
      </c>
      <c r="C21" s="9">
        <v>806</v>
      </c>
      <c r="D21" s="22"/>
      <c r="E21" s="22"/>
      <c r="F21" s="11"/>
      <c r="G21" s="11"/>
      <c r="H21" s="11"/>
      <c r="I21" s="11"/>
    </row>
    <row r="22" spans="1:9" x14ac:dyDescent="0.25">
      <c r="A22" s="32"/>
      <c r="B22" s="8" t="s">
        <v>14</v>
      </c>
      <c r="C22" s="9">
        <v>915</v>
      </c>
      <c r="D22" s="22"/>
      <c r="E22" s="22"/>
      <c r="F22" s="11"/>
      <c r="G22" s="11"/>
      <c r="H22" s="11"/>
      <c r="I22" s="11"/>
    </row>
    <row r="23" spans="1:9" x14ac:dyDescent="0.25">
      <c r="A23" s="32"/>
      <c r="B23" s="8" t="s">
        <v>15</v>
      </c>
      <c r="C23" s="9">
        <v>875</v>
      </c>
      <c r="D23" s="22"/>
      <c r="E23" s="22"/>
      <c r="F23" s="11"/>
      <c r="G23" s="11"/>
      <c r="H23" s="11"/>
      <c r="I23" s="11"/>
    </row>
    <row r="24" spans="1:9" x14ac:dyDescent="0.25">
      <c r="A24" s="32"/>
      <c r="B24" s="8" t="s">
        <v>16</v>
      </c>
      <c r="C24" s="9">
        <v>951</v>
      </c>
      <c r="D24" s="22"/>
      <c r="E24" s="22"/>
      <c r="F24" s="11"/>
      <c r="G24" s="11"/>
      <c r="H24" s="11"/>
      <c r="I24" s="11"/>
    </row>
    <row r="25" spans="1:9" x14ac:dyDescent="0.25">
      <c r="A25" s="32"/>
      <c r="B25" s="8" t="s">
        <v>17</v>
      </c>
      <c r="C25" s="9">
        <v>884</v>
      </c>
      <c r="D25" s="22"/>
      <c r="E25" s="22"/>
      <c r="F25" s="11"/>
      <c r="G25" s="11"/>
      <c r="H25" s="11"/>
      <c r="I25" s="11"/>
    </row>
    <row r="26" spans="1:9" x14ac:dyDescent="0.25">
      <c r="A26" s="32"/>
      <c r="B26" s="8" t="s">
        <v>18</v>
      </c>
      <c r="C26" s="9">
        <v>703</v>
      </c>
      <c r="D26" s="23"/>
      <c r="E26" s="23"/>
      <c r="F26" s="23"/>
      <c r="G26" s="23"/>
      <c r="H26" s="23"/>
      <c r="I26" s="23"/>
    </row>
    <row r="27" spans="1:9" ht="20.25" customHeight="1" x14ac:dyDescent="0.4">
      <c r="C27" s="13"/>
      <c r="D27" s="14"/>
      <c r="E27" s="14"/>
      <c r="F27" s="14"/>
      <c r="G27" s="14"/>
      <c r="H27" s="14"/>
      <c r="I27" s="14"/>
    </row>
    <row r="28" spans="1:9" x14ac:dyDescent="0.25">
      <c r="D28" s="19" t="str">
        <f>Vérification!B3</f>
        <v>Vérifie tes calculs!</v>
      </c>
      <c r="E28" s="19" t="str">
        <f>Vérification!B4</f>
        <v>Vérifie tes calculs!</v>
      </c>
      <c r="F28" s="19" t="str">
        <f>Vérification!B5</f>
        <v>Vérifie tes calculs!</v>
      </c>
      <c r="G28" s="20" t="str">
        <f>Vérification!B6</f>
        <v>Vérifie tes calculs!</v>
      </c>
      <c r="H28" s="19" t="str">
        <f>Vérification!B7</f>
        <v>Vérifie tes calculs!</v>
      </c>
      <c r="I28" s="19" t="str">
        <f>Vérification!B8</f>
        <v>Vérifie tes calculs!</v>
      </c>
    </row>
    <row r="29" spans="1:9" ht="17.399999999999999" x14ac:dyDescent="0.3">
      <c r="D29" s="4" t="s">
        <v>33</v>
      </c>
      <c r="E29" s="16"/>
      <c r="F29" s="17"/>
      <c r="G29" s="16"/>
      <c r="H29" s="16"/>
      <c r="I29" s="16"/>
    </row>
    <row r="30" spans="1:9" x14ac:dyDescent="0.25">
      <c r="D30" s="16"/>
      <c r="E30" s="16"/>
      <c r="F30" s="16"/>
      <c r="G30" s="16"/>
      <c r="H30" s="16"/>
      <c r="I30" s="16"/>
    </row>
    <row r="31" spans="1:9" x14ac:dyDescent="0.25">
      <c r="D31" s="16"/>
      <c r="E31" s="16"/>
      <c r="F31" s="16"/>
      <c r="G31" s="16"/>
      <c r="H31" s="16"/>
      <c r="I31" s="16"/>
    </row>
    <row r="32" spans="1:9" x14ac:dyDescent="0.25">
      <c r="D32" s="16"/>
      <c r="E32" s="16"/>
      <c r="F32" s="16"/>
      <c r="G32" s="16"/>
      <c r="H32" s="16"/>
      <c r="I32" s="16"/>
    </row>
    <row r="33" spans="4:9" x14ac:dyDescent="0.25">
      <c r="D33" s="16"/>
      <c r="E33" s="16"/>
      <c r="F33" s="16"/>
      <c r="G33" s="16"/>
      <c r="H33" s="16"/>
      <c r="I33" s="16"/>
    </row>
  </sheetData>
  <sheetProtection formatCells="0" formatColumns="0" formatRows="0" insertColumns="0" insertRows="0" insertHyperlinks="0" sort="0" autoFilter="0" pivotTables="0"/>
  <mergeCells count="7">
    <mergeCell ref="G1:I1"/>
    <mergeCell ref="A1:A2"/>
    <mergeCell ref="A3:A14"/>
    <mergeCell ref="A15:A26"/>
    <mergeCell ref="B1:B2"/>
    <mergeCell ref="C1:C2"/>
    <mergeCell ref="D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zoomScale="115" zoomScaleNormal="115" workbookViewId="0">
      <pane xSplit="1" ySplit="2" topLeftCell="B3" activePane="bottomRight" state="frozen"/>
      <selection activeCell="B32" sqref="B32:B33"/>
      <selection pane="topRight" activeCell="B32" sqref="B32:B33"/>
      <selection pane="bottomLeft" activeCell="B32" sqref="B32:B33"/>
      <selection pane="bottomRight" activeCell="A27" sqref="A27"/>
    </sheetView>
  </sheetViews>
  <sheetFormatPr baseColWidth="10" defaultColWidth="11.44140625" defaultRowHeight="13.8" x14ac:dyDescent="0.25"/>
  <cols>
    <col min="1" max="1" width="7.44140625" style="4" bestFit="1" customWidth="1"/>
    <col min="2" max="2" width="13.6640625" style="12" customWidth="1"/>
    <col min="3" max="3" width="13.88671875" style="15" customWidth="1"/>
    <col min="4" max="9" width="20.33203125" style="4" customWidth="1"/>
    <col min="10" max="10" width="23.44140625" style="4" customWidth="1"/>
    <col min="11" max="16384" width="11.44140625" style="4"/>
  </cols>
  <sheetData>
    <row r="1" spans="1:9" ht="30.75" customHeight="1" x14ac:dyDescent="0.25">
      <c r="A1" s="31" t="s">
        <v>19</v>
      </c>
      <c r="B1" s="31" t="s">
        <v>0</v>
      </c>
      <c r="C1" s="31" t="s">
        <v>1</v>
      </c>
      <c r="D1" s="33" t="s">
        <v>2</v>
      </c>
      <c r="E1" s="33"/>
      <c r="F1" s="3" t="s">
        <v>5</v>
      </c>
      <c r="G1" s="30" t="s">
        <v>6</v>
      </c>
      <c r="H1" s="30"/>
      <c r="I1" s="30"/>
    </row>
    <row r="2" spans="1:9" x14ac:dyDescent="0.25">
      <c r="A2" s="31"/>
      <c r="B2" s="31"/>
      <c r="C2" s="31"/>
      <c r="D2" s="5" t="s">
        <v>3</v>
      </c>
      <c r="E2" s="5" t="s">
        <v>4</v>
      </c>
      <c r="F2" s="6" t="s">
        <v>20</v>
      </c>
      <c r="G2" s="7">
        <v>0.1</v>
      </c>
      <c r="H2" s="7">
        <v>0.4</v>
      </c>
      <c r="I2" s="7">
        <v>0.8</v>
      </c>
    </row>
    <row r="3" spans="1:9" x14ac:dyDescent="0.25">
      <c r="A3" s="34" t="s">
        <v>37</v>
      </c>
      <c r="B3" s="8" t="s">
        <v>7</v>
      </c>
      <c r="C3" s="9">
        <v>859</v>
      </c>
      <c r="D3" s="10"/>
      <c r="E3" s="10"/>
      <c r="F3" s="10"/>
      <c r="G3" s="11"/>
      <c r="H3" s="11"/>
      <c r="I3" s="11"/>
    </row>
    <row r="4" spans="1:9" x14ac:dyDescent="0.25">
      <c r="A4" s="32"/>
      <c r="B4" s="8" t="s">
        <v>8</v>
      </c>
      <c r="C4" s="9">
        <v>750</v>
      </c>
      <c r="D4" s="10"/>
      <c r="E4" s="10"/>
      <c r="F4" s="10"/>
      <c r="G4" s="11"/>
      <c r="H4" s="11"/>
      <c r="I4" s="11"/>
    </row>
    <row r="5" spans="1:9" x14ac:dyDescent="0.25">
      <c r="A5" s="32"/>
      <c r="B5" s="8" t="s">
        <v>9</v>
      </c>
      <c r="C5" s="9">
        <v>713</v>
      </c>
      <c r="D5" s="10"/>
      <c r="E5" s="10"/>
      <c r="F5" s="10"/>
      <c r="G5" s="11"/>
      <c r="H5" s="11"/>
      <c r="I5" s="11"/>
    </row>
    <row r="6" spans="1:9" x14ac:dyDescent="0.25">
      <c r="A6" s="32"/>
      <c r="B6" s="8" t="s">
        <v>10</v>
      </c>
      <c r="C6" s="9">
        <v>863</v>
      </c>
      <c r="D6" s="10"/>
      <c r="E6" s="10"/>
      <c r="F6" s="11"/>
      <c r="G6" s="11"/>
      <c r="H6" s="11"/>
      <c r="I6" s="11"/>
    </row>
    <row r="7" spans="1:9" x14ac:dyDescent="0.25">
      <c r="A7" s="32"/>
      <c r="B7" s="8" t="s">
        <v>11</v>
      </c>
      <c r="C7" s="9">
        <v>894</v>
      </c>
      <c r="D7" s="10"/>
      <c r="E7" s="10"/>
      <c r="F7" s="11"/>
      <c r="G7" s="11"/>
      <c r="H7" s="11"/>
      <c r="I7" s="11"/>
    </row>
    <row r="8" spans="1:9" x14ac:dyDescent="0.25">
      <c r="A8" s="32"/>
      <c r="B8" s="8" t="s">
        <v>12</v>
      </c>
      <c r="C8" s="9">
        <v>854</v>
      </c>
      <c r="D8" s="10"/>
      <c r="E8" s="10"/>
      <c r="F8" s="11"/>
      <c r="G8" s="11"/>
      <c r="H8" s="11"/>
      <c r="I8" s="11"/>
    </row>
    <row r="9" spans="1:9" x14ac:dyDescent="0.25">
      <c r="A9" s="32"/>
      <c r="B9" s="8" t="s">
        <v>13</v>
      </c>
      <c r="C9" s="9">
        <v>882</v>
      </c>
      <c r="D9" s="10"/>
      <c r="E9" s="10"/>
      <c r="F9" s="11"/>
      <c r="G9" s="11"/>
      <c r="H9" s="11"/>
      <c r="I9" s="11"/>
    </row>
    <row r="10" spans="1:9" x14ac:dyDescent="0.25">
      <c r="A10" s="32"/>
      <c r="B10" s="8" t="s">
        <v>14</v>
      </c>
      <c r="C10" s="9">
        <v>860</v>
      </c>
      <c r="D10" s="10"/>
      <c r="E10" s="10"/>
      <c r="F10" s="11"/>
      <c r="G10" s="11"/>
      <c r="H10" s="11"/>
      <c r="I10" s="11"/>
    </row>
    <row r="11" spans="1:9" x14ac:dyDescent="0.25">
      <c r="A11" s="32"/>
      <c r="B11" s="8" t="s">
        <v>15</v>
      </c>
      <c r="C11" s="9">
        <v>703</v>
      </c>
      <c r="D11" s="10"/>
      <c r="E11" s="10"/>
      <c r="F11" s="11"/>
      <c r="G11" s="11"/>
      <c r="H11" s="11"/>
      <c r="I11" s="11"/>
    </row>
    <row r="12" spans="1:9" x14ac:dyDescent="0.25">
      <c r="A12" s="32"/>
      <c r="B12" s="8" t="s">
        <v>16</v>
      </c>
      <c r="C12" s="9">
        <v>860</v>
      </c>
      <c r="D12" s="10"/>
      <c r="E12" s="10"/>
      <c r="F12" s="11"/>
      <c r="G12" s="11"/>
      <c r="H12" s="11"/>
      <c r="I12" s="11"/>
    </row>
    <row r="13" spans="1:9" x14ac:dyDescent="0.25">
      <c r="A13" s="32"/>
      <c r="B13" s="8" t="s">
        <v>17</v>
      </c>
      <c r="C13" s="9">
        <v>701</v>
      </c>
      <c r="D13" s="10"/>
      <c r="E13" s="10"/>
      <c r="F13" s="11"/>
      <c r="G13" s="11"/>
      <c r="H13" s="11"/>
      <c r="I13" s="11"/>
    </row>
    <row r="14" spans="1:9" x14ac:dyDescent="0.25">
      <c r="A14" s="32"/>
      <c r="B14" s="8" t="s">
        <v>18</v>
      </c>
      <c r="C14" s="9">
        <v>911</v>
      </c>
      <c r="D14" s="10"/>
      <c r="E14" s="10"/>
      <c r="F14" s="11"/>
      <c r="G14" s="11"/>
      <c r="H14" s="11"/>
      <c r="I14" s="11"/>
    </row>
    <row r="15" spans="1:9" x14ac:dyDescent="0.25">
      <c r="A15" s="34" t="s">
        <v>38</v>
      </c>
      <c r="B15" s="8" t="s">
        <v>7</v>
      </c>
      <c r="C15" s="9">
        <v>759</v>
      </c>
      <c r="D15" s="10"/>
      <c r="E15" s="10"/>
      <c r="F15" s="10"/>
      <c r="G15" s="10"/>
      <c r="H15" s="10"/>
      <c r="I15" s="10"/>
    </row>
    <row r="16" spans="1:9" x14ac:dyDescent="0.25">
      <c r="A16" s="32"/>
      <c r="B16" s="8" t="s">
        <v>8</v>
      </c>
      <c r="C16" s="9">
        <v>792</v>
      </c>
      <c r="D16" s="10"/>
      <c r="E16" s="10"/>
      <c r="F16" s="10"/>
      <c r="G16" s="10"/>
      <c r="H16" s="10"/>
      <c r="I16" s="10"/>
    </row>
    <row r="17" spans="1:9" x14ac:dyDescent="0.25">
      <c r="A17" s="32"/>
      <c r="B17" s="8" t="s">
        <v>9</v>
      </c>
      <c r="C17" s="9">
        <v>876</v>
      </c>
      <c r="D17" s="10"/>
      <c r="E17" s="10"/>
      <c r="F17" s="10"/>
      <c r="G17" s="10"/>
      <c r="H17" s="10"/>
      <c r="I17" s="10"/>
    </row>
    <row r="18" spans="1:9" x14ac:dyDescent="0.25">
      <c r="A18" s="32"/>
      <c r="B18" s="8" t="s">
        <v>10</v>
      </c>
      <c r="C18" s="9">
        <v>953</v>
      </c>
      <c r="D18" s="10"/>
      <c r="E18" s="10"/>
      <c r="F18" s="10"/>
      <c r="G18" s="10"/>
      <c r="H18" s="10"/>
      <c r="I18" s="10"/>
    </row>
    <row r="19" spans="1:9" x14ac:dyDescent="0.25">
      <c r="A19" s="32"/>
      <c r="B19" s="8" t="s">
        <v>11</v>
      </c>
      <c r="C19" s="9">
        <v>817</v>
      </c>
      <c r="D19" s="10"/>
      <c r="E19" s="10"/>
      <c r="F19" s="10"/>
      <c r="G19" s="10"/>
      <c r="H19" s="10"/>
      <c r="I19" s="10"/>
    </row>
    <row r="20" spans="1:9" x14ac:dyDescent="0.25">
      <c r="A20" s="32"/>
      <c r="B20" s="8" t="s">
        <v>12</v>
      </c>
      <c r="C20" s="9">
        <v>757</v>
      </c>
      <c r="D20" s="10"/>
      <c r="E20" s="10"/>
      <c r="F20" s="10"/>
      <c r="G20" s="10"/>
      <c r="H20" s="10"/>
      <c r="I20" s="10"/>
    </row>
    <row r="21" spans="1:9" x14ac:dyDescent="0.25">
      <c r="A21" s="32"/>
      <c r="B21" s="8" t="s">
        <v>13</v>
      </c>
      <c r="C21" s="9">
        <v>806</v>
      </c>
      <c r="D21" s="10"/>
      <c r="E21" s="10"/>
      <c r="F21" s="10"/>
      <c r="G21" s="10"/>
      <c r="H21" s="10"/>
      <c r="I21" s="10"/>
    </row>
    <row r="22" spans="1:9" x14ac:dyDescent="0.25">
      <c r="A22" s="32"/>
      <c r="B22" s="8" t="s">
        <v>14</v>
      </c>
      <c r="C22" s="9">
        <v>915</v>
      </c>
      <c r="D22" s="10"/>
      <c r="E22" s="10"/>
      <c r="F22" s="10"/>
      <c r="G22" s="10"/>
      <c r="H22" s="10"/>
      <c r="I22" s="10"/>
    </row>
    <row r="23" spans="1:9" x14ac:dyDescent="0.25">
      <c r="A23" s="32"/>
      <c r="B23" s="8" t="s">
        <v>15</v>
      </c>
      <c r="C23" s="9">
        <v>875</v>
      </c>
      <c r="D23" s="10"/>
      <c r="E23" s="10"/>
      <c r="F23" s="10"/>
      <c r="G23" s="10"/>
      <c r="H23" s="10"/>
      <c r="I23" s="10"/>
    </row>
    <row r="24" spans="1:9" x14ac:dyDescent="0.25">
      <c r="A24" s="32"/>
      <c r="B24" s="8" t="s">
        <v>16</v>
      </c>
      <c r="C24" s="9">
        <v>951</v>
      </c>
      <c r="D24" s="10"/>
      <c r="E24" s="10"/>
      <c r="F24" s="10"/>
      <c r="G24" s="10"/>
      <c r="H24" s="10"/>
      <c r="I24" s="10"/>
    </row>
    <row r="25" spans="1:9" x14ac:dyDescent="0.25">
      <c r="A25" s="32"/>
      <c r="B25" s="8" t="s">
        <v>17</v>
      </c>
      <c r="C25" s="9">
        <v>884</v>
      </c>
      <c r="D25" s="10"/>
      <c r="E25" s="10"/>
      <c r="F25" s="10"/>
      <c r="G25" s="10"/>
      <c r="H25" s="10"/>
      <c r="I25" s="10"/>
    </row>
    <row r="26" spans="1:9" x14ac:dyDescent="0.25">
      <c r="A26" s="32"/>
      <c r="B26" s="8" t="s">
        <v>18</v>
      </c>
      <c r="C26" s="9">
        <v>703</v>
      </c>
      <c r="D26" s="10"/>
      <c r="E26" s="10"/>
      <c r="F26" s="10"/>
      <c r="G26" s="10"/>
      <c r="H26" s="10"/>
      <c r="I26" s="10"/>
    </row>
    <row r="27" spans="1:9" ht="20.25" customHeight="1" x14ac:dyDescent="0.4">
      <c r="C27" s="13"/>
      <c r="D27" s="14"/>
      <c r="E27" s="14"/>
      <c r="F27" s="14"/>
      <c r="G27" s="14"/>
      <c r="H27" s="14"/>
      <c r="I27" s="14"/>
    </row>
    <row r="28" spans="1:9" x14ac:dyDescent="0.25">
      <c r="D28" s="19" t="str">
        <f>Vérification!D3</f>
        <v>Vérifie tes calculs!</v>
      </c>
      <c r="E28" s="19" t="str">
        <f>Vérification!D4</f>
        <v>Vérifie tes calculs!</v>
      </c>
      <c r="F28" s="19" t="str">
        <f>Vérification!D5</f>
        <v>Vérifie tes calculs!</v>
      </c>
      <c r="G28" s="20" t="str">
        <f>Vérification!D6</f>
        <v>Vérifie tes calculs!</v>
      </c>
      <c r="H28" s="19" t="str">
        <f>Vérification!D7</f>
        <v>Vérifie tes calculs!</v>
      </c>
      <c r="I28" s="19" t="str">
        <f>Vérification!D8</f>
        <v>Vérifie tes calculs!</v>
      </c>
    </row>
    <row r="29" spans="1:9" ht="17.399999999999999" x14ac:dyDescent="0.3">
      <c r="D29" s="4" t="s">
        <v>34</v>
      </c>
      <c r="E29" s="16"/>
      <c r="F29" s="17"/>
      <c r="G29" s="16"/>
      <c r="H29" s="16"/>
      <c r="I29" s="16"/>
    </row>
    <row r="30" spans="1:9" x14ac:dyDescent="0.25">
      <c r="D30" s="16"/>
      <c r="E30" s="16"/>
      <c r="F30" s="16"/>
      <c r="G30" s="16"/>
      <c r="H30" s="16"/>
      <c r="I30" s="16"/>
    </row>
    <row r="31" spans="1:9" x14ac:dyDescent="0.25">
      <c r="D31" s="16"/>
      <c r="E31" s="16"/>
      <c r="F31" s="16"/>
      <c r="G31" s="16"/>
      <c r="H31" s="16"/>
      <c r="I31" s="16"/>
    </row>
    <row r="32" spans="1:9" x14ac:dyDescent="0.25">
      <c r="D32" s="16"/>
      <c r="E32" s="16"/>
      <c r="F32" s="16"/>
      <c r="G32" s="16"/>
      <c r="H32" s="16"/>
      <c r="I32" s="16"/>
    </row>
    <row r="33" spans="4:9" x14ac:dyDescent="0.25">
      <c r="D33" s="16"/>
      <c r="E33" s="16"/>
      <c r="F33" s="16"/>
      <c r="G33" s="16"/>
      <c r="H33" s="16"/>
      <c r="I33" s="16"/>
    </row>
  </sheetData>
  <sheetProtection formatCells="0" formatColumns="0" formatRows="0" insertColumns="0" insertRows="0" insertHyperlinks="0" sort="0" autoFilter="0" pivotTables="0"/>
  <mergeCells count="7">
    <mergeCell ref="G1:I1"/>
    <mergeCell ref="A3:A14"/>
    <mergeCell ref="A15:A26"/>
    <mergeCell ref="A1:A2"/>
    <mergeCell ref="B1:B2"/>
    <mergeCell ref="C1:C2"/>
    <mergeCell ref="D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zoomScale="115" zoomScaleNormal="115" workbookViewId="0">
      <pane xSplit="1" ySplit="2" topLeftCell="B3" activePane="bottomRight" state="frozen"/>
      <selection activeCell="B32" sqref="B32:B33"/>
      <selection pane="topRight" activeCell="B32" sqref="B32:B33"/>
      <selection pane="bottomLeft" activeCell="B32" sqref="B32:B33"/>
      <selection pane="bottomRight" activeCell="A27" sqref="A27"/>
    </sheetView>
  </sheetViews>
  <sheetFormatPr baseColWidth="10" defaultColWidth="11.44140625" defaultRowHeight="13.8" x14ac:dyDescent="0.25"/>
  <cols>
    <col min="1" max="1" width="7.44140625" style="4" bestFit="1" customWidth="1"/>
    <col min="2" max="2" width="13.6640625" style="12" customWidth="1"/>
    <col min="3" max="3" width="13.88671875" style="15" customWidth="1"/>
    <col min="4" max="9" width="20.33203125" style="4" customWidth="1"/>
    <col min="10" max="16384" width="11.44140625" style="4"/>
  </cols>
  <sheetData>
    <row r="1" spans="1:9" ht="30.75" customHeight="1" x14ac:dyDescent="0.25">
      <c r="A1" s="31" t="s">
        <v>19</v>
      </c>
      <c r="B1" s="31" t="s">
        <v>0</v>
      </c>
      <c r="C1" s="31" t="s">
        <v>1</v>
      </c>
      <c r="D1" s="33" t="s">
        <v>2</v>
      </c>
      <c r="E1" s="33"/>
      <c r="F1" s="3" t="s">
        <v>5</v>
      </c>
      <c r="G1" s="30" t="s">
        <v>6</v>
      </c>
      <c r="H1" s="30"/>
      <c r="I1" s="30"/>
    </row>
    <row r="2" spans="1:9" x14ac:dyDescent="0.25">
      <c r="A2" s="31"/>
      <c r="B2" s="31"/>
      <c r="C2" s="31"/>
      <c r="D2" s="5" t="s">
        <v>3</v>
      </c>
      <c r="E2" s="5" t="s">
        <v>4</v>
      </c>
      <c r="F2" s="6" t="s">
        <v>20</v>
      </c>
      <c r="G2" s="7">
        <v>0.1</v>
      </c>
      <c r="H2" s="7">
        <v>0.4</v>
      </c>
      <c r="I2" s="7">
        <v>0.8</v>
      </c>
    </row>
    <row r="3" spans="1:9" x14ac:dyDescent="0.25">
      <c r="A3" s="34" t="s">
        <v>37</v>
      </c>
      <c r="B3" s="8" t="s">
        <v>7</v>
      </c>
      <c r="C3" s="9">
        <v>859</v>
      </c>
      <c r="D3" s="10"/>
      <c r="E3" s="10"/>
      <c r="F3" s="10"/>
      <c r="G3" s="11"/>
      <c r="H3" s="11"/>
      <c r="I3" s="11"/>
    </row>
    <row r="4" spans="1:9" x14ac:dyDescent="0.25">
      <c r="A4" s="32"/>
      <c r="B4" s="8" t="s">
        <v>8</v>
      </c>
      <c r="C4" s="9">
        <v>750</v>
      </c>
      <c r="D4" s="10"/>
      <c r="E4" s="10"/>
      <c r="F4" s="10"/>
      <c r="G4" s="11"/>
      <c r="H4" s="11"/>
      <c r="I4" s="11"/>
    </row>
    <row r="5" spans="1:9" x14ac:dyDescent="0.25">
      <c r="A5" s="32"/>
      <c r="B5" s="8" t="s">
        <v>9</v>
      </c>
      <c r="C5" s="9">
        <v>713</v>
      </c>
      <c r="D5" s="10"/>
      <c r="E5" s="10"/>
      <c r="F5" s="10"/>
      <c r="G5" s="11"/>
      <c r="H5" s="11"/>
      <c r="I5" s="11"/>
    </row>
    <row r="6" spans="1:9" x14ac:dyDescent="0.25">
      <c r="A6" s="32"/>
      <c r="B6" s="8" t="s">
        <v>10</v>
      </c>
      <c r="C6" s="9">
        <v>863</v>
      </c>
      <c r="D6" s="10"/>
      <c r="E6" s="10"/>
      <c r="F6" s="11"/>
      <c r="G6" s="11"/>
      <c r="H6" s="11"/>
      <c r="I6" s="11"/>
    </row>
    <row r="7" spans="1:9" x14ac:dyDescent="0.25">
      <c r="A7" s="32"/>
      <c r="B7" s="8" t="s">
        <v>11</v>
      </c>
      <c r="C7" s="9">
        <v>894</v>
      </c>
      <c r="D7" s="10"/>
      <c r="E7" s="10"/>
      <c r="F7" s="11"/>
      <c r="G7" s="11"/>
      <c r="H7" s="11"/>
      <c r="I7" s="11"/>
    </row>
    <row r="8" spans="1:9" x14ac:dyDescent="0.25">
      <c r="A8" s="32"/>
      <c r="B8" s="8" t="s">
        <v>12</v>
      </c>
      <c r="C8" s="9">
        <v>854</v>
      </c>
      <c r="D8" s="10"/>
      <c r="E8" s="10"/>
      <c r="F8" s="11"/>
      <c r="G8" s="11"/>
      <c r="H8" s="11"/>
      <c r="I8" s="11"/>
    </row>
    <row r="9" spans="1:9" x14ac:dyDescent="0.25">
      <c r="A9" s="32"/>
      <c r="B9" s="8" t="s">
        <v>13</v>
      </c>
      <c r="C9" s="9">
        <v>882</v>
      </c>
      <c r="D9" s="10"/>
      <c r="E9" s="10"/>
      <c r="F9" s="11"/>
      <c r="G9" s="11"/>
      <c r="H9" s="11"/>
      <c r="I9" s="11"/>
    </row>
    <row r="10" spans="1:9" x14ac:dyDescent="0.25">
      <c r="A10" s="32"/>
      <c r="B10" s="8" t="s">
        <v>14</v>
      </c>
      <c r="C10" s="9">
        <v>860</v>
      </c>
      <c r="D10" s="10"/>
      <c r="E10" s="10"/>
      <c r="F10" s="11"/>
      <c r="G10" s="11"/>
      <c r="H10" s="11"/>
      <c r="I10" s="11"/>
    </row>
    <row r="11" spans="1:9" x14ac:dyDescent="0.25">
      <c r="A11" s="32"/>
      <c r="B11" s="8" t="s">
        <v>15</v>
      </c>
      <c r="C11" s="9">
        <v>703</v>
      </c>
      <c r="D11" s="10"/>
      <c r="E11" s="10"/>
      <c r="F11" s="11"/>
      <c r="G11" s="11"/>
      <c r="H11" s="11"/>
      <c r="I11" s="11"/>
    </row>
    <row r="12" spans="1:9" x14ac:dyDescent="0.25">
      <c r="A12" s="32"/>
      <c r="B12" s="8" t="s">
        <v>16</v>
      </c>
      <c r="C12" s="9">
        <v>860</v>
      </c>
      <c r="D12" s="10"/>
      <c r="E12" s="10"/>
      <c r="F12" s="11"/>
      <c r="G12" s="11"/>
      <c r="H12" s="11"/>
      <c r="I12" s="11"/>
    </row>
    <row r="13" spans="1:9" x14ac:dyDescent="0.25">
      <c r="A13" s="32"/>
      <c r="B13" s="8" t="s">
        <v>17</v>
      </c>
      <c r="C13" s="9">
        <v>701</v>
      </c>
      <c r="D13" s="10"/>
      <c r="E13" s="10"/>
      <c r="F13" s="11"/>
      <c r="G13" s="11"/>
      <c r="H13" s="11"/>
      <c r="I13" s="11"/>
    </row>
    <row r="14" spans="1:9" x14ac:dyDescent="0.25">
      <c r="A14" s="32"/>
      <c r="B14" s="8" t="s">
        <v>18</v>
      </c>
      <c r="C14" s="9">
        <v>911</v>
      </c>
      <c r="D14" s="10"/>
      <c r="E14" s="10"/>
      <c r="F14" s="11"/>
      <c r="G14" s="11"/>
      <c r="H14" s="11"/>
      <c r="I14" s="11"/>
    </row>
    <row r="15" spans="1:9" x14ac:dyDescent="0.25">
      <c r="A15" s="34" t="s">
        <v>38</v>
      </c>
      <c r="B15" s="8" t="s">
        <v>7</v>
      </c>
      <c r="C15" s="9">
        <v>759</v>
      </c>
      <c r="D15" s="10"/>
      <c r="E15" s="10"/>
      <c r="F15" s="10"/>
      <c r="G15" s="10"/>
      <c r="H15" s="10"/>
      <c r="I15" s="10"/>
    </row>
    <row r="16" spans="1:9" x14ac:dyDescent="0.25">
      <c r="A16" s="32"/>
      <c r="B16" s="8" t="s">
        <v>8</v>
      </c>
      <c r="C16" s="9">
        <v>792</v>
      </c>
      <c r="D16" s="10"/>
      <c r="E16" s="10"/>
      <c r="F16" s="10"/>
      <c r="G16" s="10"/>
      <c r="H16" s="10"/>
      <c r="I16" s="10"/>
    </row>
    <row r="17" spans="1:9" x14ac:dyDescent="0.25">
      <c r="A17" s="32"/>
      <c r="B17" s="8" t="s">
        <v>9</v>
      </c>
      <c r="C17" s="9">
        <v>876</v>
      </c>
      <c r="D17" s="10"/>
      <c r="E17" s="10"/>
      <c r="F17" s="10"/>
      <c r="G17" s="10"/>
      <c r="H17" s="10"/>
      <c r="I17" s="10"/>
    </row>
    <row r="18" spans="1:9" x14ac:dyDescent="0.25">
      <c r="A18" s="32"/>
      <c r="B18" s="8" t="s">
        <v>10</v>
      </c>
      <c r="C18" s="9">
        <v>953</v>
      </c>
      <c r="D18" s="10"/>
      <c r="E18" s="10"/>
      <c r="F18" s="10"/>
      <c r="G18" s="10"/>
      <c r="H18" s="10"/>
      <c r="I18" s="10"/>
    </row>
    <row r="19" spans="1:9" x14ac:dyDescent="0.25">
      <c r="A19" s="32"/>
      <c r="B19" s="8" t="s">
        <v>11</v>
      </c>
      <c r="C19" s="9">
        <v>817</v>
      </c>
      <c r="D19" s="10"/>
      <c r="E19" s="10"/>
      <c r="F19" s="10"/>
      <c r="G19" s="10"/>
      <c r="H19" s="10"/>
      <c r="I19" s="10"/>
    </row>
    <row r="20" spans="1:9" x14ac:dyDescent="0.25">
      <c r="A20" s="32"/>
      <c r="B20" s="8" t="s">
        <v>12</v>
      </c>
      <c r="C20" s="9">
        <v>757</v>
      </c>
      <c r="D20" s="10"/>
      <c r="E20" s="10"/>
      <c r="F20" s="10"/>
      <c r="G20" s="10"/>
      <c r="H20" s="10"/>
      <c r="I20" s="10"/>
    </row>
    <row r="21" spans="1:9" x14ac:dyDescent="0.25">
      <c r="A21" s="32"/>
      <c r="B21" s="8" t="s">
        <v>13</v>
      </c>
      <c r="C21" s="9">
        <v>806</v>
      </c>
      <c r="D21" s="10"/>
      <c r="E21" s="10"/>
      <c r="F21" s="10"/>
      <c r="G21" s="10"/>
      <c r="H21" s="10"/>
      <c r="I21" s="10"/>
    </row>
    <row r="22" spans="1:9" x14ac:dyDescent="0.25">
      <c r="A22" s="32"/>
      <c r="B22" s="8" t="s">
        <v>14</v>
      </c>
      <c r="C22" s="9">
        <v>915</v>
      </c>
      <c r="D22" s="10"/>
      <c r="E22" s="10"/>
      <c r="F22" s="10"/>
      <c r="G22" s="10"/>
      <c r="H22" s="10"/>
      <c r="I22" s="10"/>
    </row>
    <row r="23" spans="1:9" x14ac:dyDescent="0.25">
      <c r="A23" s="32"/>
      <c r="B23" s="8" t="s">
        <v>15</v>
      </c>
      <c r="C23" s="9">
        <v>875</v>
      </c>
      <c r="D23" s="10"/>
      <c r="E23" s="10"/>
      <c r="F23" s="10"/>
      <c r="G23" s="10"/>
      <c r="H23" s="10"/>
      <c r="I23" s="10"/>
    </row>
    <row r="24" spans="1:9" x14ac:dyDescent="0.25">
      <c r="A24" s="32"/>
      <c r="B24" s="8" t="s">
        <v>16</v>
      </c>
      <c r="C24" s="9">
        <v>951</v>
      </c>
      <c r="D24" s="10"/>
      <c r="E24" s="10"/>
      <c r="F24" s="10"/>
      <c r="G24" s="10"/>
      <c r="H24" s="10"/>
      <c r="I24" s="10"/>
    </row>
    <row r="25" spans="1:9" x14ac:dyDescent="0.25">
      <c r="A25" s="32"/>
      <c r="B25" s="8" t="s">
        <v>17</v>
      </c>
      <c r="C25" s="9">
        <v>884</v>
      </c>
      <c r="D25" s="10"/>
      <c r="E25" s="10"/>
      <c r="F25" s="10"/>
      <c r="G25" s="10"/>
      <c r="H25" s="10"/>
      <c r="I25" s="10"/>
    </row>
    <row r="26" spans="1:9" x14ac:dyDescent="0.25">
      <c r="A26" s="32"/>
      <c r="B26" s="8" t="s">
        <v>18</v>
      </c>
      <c r="C26" s="9">
        <v>703</v>
      </c>
      <c r="D26" s="10"/>
      <c r="E26" s="10"/>
      <c r="F26" s="10"/>
      <c r="G26" s="10"/>
      <c r="H26" s="10"/>
      <c r="I26" s="10"/>
    </row>
    <row r="27" spans="1:9" ht="20.25" customHeight="1" x14ac:dyDescent="0.4">
      <c r="C27" s="13" t="s">
        <v>30</v>
      </c>
      <c r="D27" s="18" t="e">
        <f>AVERAGE(D15:D26)</f>
        <v>#DIV/0!</v>
      </c>
      <c r="E27" s="18" t="e">
        <f t="shared" ref="E27:I27" si="0">AVERAGE(E15:E26)</f>
        <v>#DIV/0!</v>
      </c>
      <c r="F27" s="18" t="e">
        <f t="shared" si="0"/>
        <v>#DIV/0!</v>
      </c>
      <c r="G27" s="18" t="e">
        <f t="shared" si="0"/>
        <v>#DIV/0!</v>
      </c>
      <c r="H27" s="18" t="e">
        <f t="shared" si="0"/>
        <v>#DIV/0!</v>
      </c>
      <c r="I27" s="18" t="e">
        <f t="shared" si="0"/>
        <v>#DIV/0!</v>
      </c>
    </row>
    <row r="29" spans="1:9" x14ac:dyDescent="0.25">
      <c r="D29" s="19" t="e">
        <f>Vérification!B12</f>
        <v>#DIV/0!</v>
      </c>
      <c r="E29" s="19" t="e">
        <f>Vérification!B13</f>
        <v>#DIV/0!</v>
      </c>
      <c r="F29" s="19" t="e">
        <f>Vérification!B14</f>
        <v>#DIV/0!</v>
      </c>
      <c r="G29" s="20" t="e">
        <f>Vérification!B15</f>
        <v>#DIV/0!</v>
      </c>
      <c r="H29" s="19" t="e">
        <f>Vérification!B16</f>
        <v>#DIV/0!</v>
      </c>
      <c r="I29" s="19" t="e">
        <f>Vérification!B17</f>
        <v>#DIV/0!</v>
      </c>
    </row>
    <row r="30" spans="1:9" ht="17.399999999999999" x14ac:dyDescent="0.3">
      <c r="A30" s="24" t="s">
        <v>35</v>
      </c>
      <c r="D30" s="16"/>
      <c r="E30" s="16"/>
      <c r="F30" s="17"/>
      <c r="G30" s="16"/>
      <c r="H30" s="16"/>
      <c r="I30" s="16"/>
    </row>
    <row r="31" spans="1:9" x14ac:dyDescent="0.25">
      <c r="D31" s="16"/>
      <c r="E31" s="16"/>
      <c r="F31" s="16"/>
      <c r="G31" s="16"/>
      <c r="H31" s="16"/>
      <c r="I31" s="16"/>
    </row>
    <row r="32" spans="1:9" s="25" customFormat="1" x14ac:dyDescent="0.25">
      <c r="B32" s="26" t="s">
        <v>36</v>
      </c>
      <c r="C32" s="27"/>
      <c r="D32" s="28"/>
      <c r="E32" s="28"/>
      <c r="F32" s="28"/>
      <c r="G32" s="28"/>
      <c r="H32" s="28"/>
      <c r="I32" s="28"/>
    </row>
    <row r="33" spans="4:9" x14ac:dyDescent="0.25">
      <c r="D33" s="16"/>
      <c r="E33" s="16"/>
      <c r="F33" s="16"/>
      <c r="G33" s="16"/>
      <c r="H33" s="16"/>
      <c r="I33" s="16"/>
    </row>
    <row r="34" spans="4:9" x14ac:dyDescent="0.25">
      <c r="D34" s="16"/>
      <c r="E34" s="16"/>
      <c r="F34" s="16"/>
      <c r="G34" s="16"/>
      <c r="H34" s="16"/>
      <c r="I34" s="16"/>
    </row>
  </sheetData>
  <sheetProtection formatCells="0" formatColumns="0" formatRows="0" insertColumns="0" insertRows="0" insertHyperlinks="0" sort="0" autoFilter="0" pivotTables="0"/>
  <mergeCells count="7">
    <mergeCell ref="G1:I1"/>
    <mergeCell ref="A3:A14"/>
    <mergeCell ref="A15:A26"/>
    <mergeCell ref="A1:A2"/>
    <mergeCell ref="B1:B2"/>
    <mergeCell ref="C1:C2"/>
    <mergeCell ref="D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zoomScale="115" zoomScaleNormal="115" workbookViewId="0">
      <pane xSplit="1" ySplit="2" topLeftCell="B3" activePane="bottomRight" state="frozen"/>
      <selection activeCell="B32" sqref="B32:B33"/>
      <selection pane="topRight" activeCell="B32" sqref="B32:B33"/>
      <selection pane="bottomLeft" activeCell="B32" sqref="B32:B33"/>
      <selection pane="bottomRight" activeCell="A27" sqref="A27"/>
    </sheetView>
  </sheetViews>
  <sheetFormatPr baseColWidth="10" defaultColWidth="11.44140625" defaultRowHeight="13.8" x14ac:dyDescent="0.25"/>
  <cols>
    <col min="1" max="1" width="7.44140625" style="4" bestFit="1" customWidth="1"/>
    <col min="2" max="2" width="13.6640625" style="12" customWidth="1"/>
    <col min="3" max="3" width="13.88671875" style="15" customWidth="1"/>
    <col min="4" max="9" width="20.33203125" style="4" customWidth="1"/>
    <col min="10" max="16384" width="11.44140625" style="4"/>
  </cols>
  <sheetData>
    <row r="1" spans="1:9" ht="30.75" customHeight="1" x14ac:dyDescent="0.25">
      <c r="A1" s="31" t="s">
        <v>19</v>
      </c>
      <c r="B1" s="31" t="s">
        <v>0</v>
      </c>
      <c r="C1" s="31" t="s">
        <v>1</v>
      </c>
      <c r="D1" s="33" t="s">
        <v>2</v>
      </c>
      <c r="E1" s="33"/>
      <c r="F1" s="3" t="s">
        <v>5</v>
      </c>
      <c r="G1" s="30" t="s">
        <v>6</v>
      </c>
      <c r="H1" s="30"/>
      <c r="I1" s="30"/>
    </row>
    <row r="2" spans="1:9" x14ac:dyDescent="0.25">
      <c r="A2" s="31"/>
      <c r="B2" s="31"/>
      <c r="C2" s="31"/>
      <c r="D2" s="5" t="s">
        <v>3</v>
      </c>
      <c r="E2" s="5" t="s">
        <v>4</v>
      </c>
      <c r="F2" s="6" t="s">
        <v>20</v>
      </c>
      <c r="G2" s="7">
        <v>0.1</v>
      </c>
      <c r="H2" s="7">
        <v>0.4</v>
      </c>
      <c r="I2" s="7">
        <v>0.8</v>
      </c>
    </row>
    <row r="3" spans="1:9" x14ac:dyDescent="0.25">
      <c r="A3" s="34" t="s">
        <v>37</v>
      </c>
      <c r="B3" s="8" t="s">
        <v>7</v>
      </c>
      <c r="C3" s="9">
        <v>859</v>
      </c>
      <c r="D3" s="10"/>
      <c r="E3" s="10"/>
      <c r="F3" s="10"/>
      <c r="G3" s="11"/>
      <c r="H3" s="11"/>
      <c r="I3" s="11"/>
    </row>
    <row r="4" spans="1:9" x14ac:dyDescent="0.25">
      <c r="A4" s="32"/>
      <c r="B4" s="8" t="s">
        <v>8</v>
      </c>
      <c r="C4" s="9">
        <v>750</v>
      </c>
      <c r="D4" s="10"/>
      <c r="E4" s="10"/>
      <c r="F4" s="10"/>
      <c r="G4" s="11"/>
      <c r="H4" s="11"/>
      <c r="I4" s="11"/>
    </row>
    <row r="5" spans="1:9" x14ac:dyDescent="0.25">
      <c r="A5" s="32"/>
      <c r="B5" s="8" t="s">
        <v>9</v>
      </c>
      <c r="C5" s="9">
        <v>713</v>
      </c>
      <c r="D5" s="10"/>
      <c r="E5" s="10"/>
      <c r="F5" s="11"/>
      <c r="G5" s="11"/>
      <c r="H5" s="11"/>
      <c r="I5" s="11"/>
    </row>
    <row r="6" spans="1:9" x14ac:dyDescent="0.25">
      <c r="A6" s="32"/>
      <c r="B6" s="8" t="s">
        <v>10</v>
      </c>
      <c r="C6" s="9">
        <v>863</v>
      </c>
      <c r="D6" s="10"/>
      <c r="E6" s="10"/>
      <c r="F6" s="11"/>
      <c r="G6" s="11"/>
      <c r="H6" s="11"/>
      <c r="I6" s="11"/>
    </row>
    <row r="7" spans="1:9" x14ac:dyDescent="0.25">
      <c r="A7" s="32"/>
      <c r="B7" s="8" t="s">
        <v>11</v>
      </c>
      <c r="C7" s="9">
        <v>894</v>
      </c>
      <c r="D7" s="10"/>
      <c r="E7" s="10"/>
      <c r="F7" s="11"/>
      <c r="G7" s="11"/>
      <c r="H7" s="11"/>
      <c r="I7" s="11"/>
    </row>
    <row r="8" spans="1:9" x14ac:dyDescent="0.25">
      <c r="A8" s="32"/>
      <c r="B8" s="8" t="s">
        <v>12</v>
      </c>
      <c r="C8" s="9">
        <v>854</v>
      </c>
      <c r="D8" s="10"/>
      <c r="E8" s="10"/>
      <c r="F8" s="11"/>
      <c r="G8" s="11"/>
      <c r="H8" s="11"/>
      <c r="I8" s="11"/>
    </row>
    <row r="9" spans="1:9" x14ac:dyDescent="0.25">
      <c r="A9" s="32"/>
      <c r="B9" s="8" t="s">
        <v>13</v>
      </c>
      <c r="C9" s="9">
        <v>882</v>
      </c>
      <c r="D9" s="10"/>
      <c r="E9" s="10"/>
      <c r="F9" s="11"/>
      <c r="G9" s="11"/>
      <c r="H9" s="11"/>
      <c r="I9" s="11"/>
    </row>
    <row r="10" spans="1:9" x14ac:dyDescent="0.25">
      <c r="A10" s="32"/>
      <c r="B10" s="8" t="s">
        <v>14</v>
      </c>
      <c r="C10" s="9">
        <v>860</v>
      </c>
      <c r="D10" s="10"/>
      <c r="E10" s="10"/>
      <c r="F10" s="11"/>
      <c r="G10" s="11"/>
      <c r="H10" s="11"/>
      <c r="I10" s="11"/>
    </row>
    <row r="11" spans="1:9" x14ac:dyDescent="0.25">
      <c r="A11" s="32"/>
      <c r="B11" s="8" t="s">
        <v>15</v>
      </c>
      <c r="C11" s="9">
        <v>703</v>
      </c>
      <c r="D11" s="10"/>
      <c r="E11" s="10"/>
      <c r="F11" s="11"/>
      <c r="G11" s="11"/>
      <c r="H11" s="11"/>
      <c r="I11" s="11"/>
    </row>
    <row r="12" spans="1:9" x14ac:dyDescent="0.25">
      <c r="A12" s="32"/>
      <c r="B12" s="8" t="s">
        <v>16</v>
      </c>
      <c r="C12" s="9">
        <v>860</v>
      </c>
      <c r="D12" s="10"/>
      <c r="E12" s="10"/>
      <c r="F12" s="11"/>
      <c r="G12" s="11"/>
      <c r="H12" s="11"/>
      <c r="I12" s="11"/>
    </row>
    <row r="13" spans="1:9" x14ac:dyDescent="0.25">
      <c r="A13" s="32"/>
      <c r="B13" s="8" t="s">
        <v>17</v>
      </c>
      <c r="C13" s="9">
        <v>701</v>
      </c>
      <c r="D13" s="10"/>
      <c r="E13" s="10"/>
      <c r="F13" s="11"/>
      <c r="G13" s="11"/>
      <c r="H13" s="11"/>
      <c r="I13" s="11"/>
    </row>
    <row r="14" spans="1:9" x14ac:dyDescent="0.25">
      <c r="A14" s="32"/>
      <c r="B14" s="8" t="s">
        <v>18</v>
      </c>
      <c r="C14" s="9">
        <v>911</v>
      </c>
      <c r="D14" s="11"/>
      <c r="E14" s="11"/>
      <c r="F14" s="11"/>
      <c r="G14" s="11"/>
      <c r="H14" s="11"/>
      <c r="I14" s="11"/>
    </row>
    <row r="15" spans="1:9" x14ac:dyDescent="0.25">
      <c r="A15" s="34" t="s">
        <v>38</v>
      </c>
      <c r="B15" s="8" t="s">
        <v>7</v>
      </c>
      <c r="C15" s="9">
        <v>759</v>
      </c>
      <c r="D15" s="11"/>
      <c r="E15" s="11"/>
      <c r="F15" s="11"/>
      <c r="G15" s="11"/>
      <c r="H15" s="11"/>
      <c r="I15" s="11"/>
    </row>
    <row r="16" spans="1:9" x14ac:dyDescent="0.25">
      <c r="A16" s="32"/>
      <c r="B16" s="8" t="s">
        <v>8</v>
      </c>
      <c r="C16" s="9">
        <v>792</v>
      </c>
      <c r="D16" s="11"/>
      <c r="E16" s="11"/>
      <c r="F16" s="11"/>
      <c r="G16" s="11"/>
      <c r="H16" s="11"/>
      <c r="I16" s="11"/>
    </row>
    <row r="17" spans="1:9" x14ac:dyDescent="0.25">
      <c r="A17" s="32"/>
      <c r="B17" s="8" t="s">
        <v>9</v>
      </c>
      <c r="C17" s="9">
        <v>876</v>
      </c>
      <c r="D17" s="11"/>
      <c r="E17" s="11"/>
      <c r="F17" s="11"/>
      <c r="G17" s="11"/>
      <c r="H17" s="11"/>
      <c r="I17" s="11"/>
    </row>
    <row r="18" spans="1:9" x14ac:dyDescent="0.25">
      <c r="A18" s="32"/>
      <c r="B18" s="8" t="s">
        <v>10</v>
      </c>
      <c r="C18" s="9">
        <v>953</v>
      </c>
      <c r="D18" s="11"/>
      <c r="E18" s="11"/>
      <c r="F18" s="11"/>
      <c r="G18" s="11"/>
      <c r="H18" s="11"/>
      <c r="I18" s="11"/>
    </row>
    <row r="19" spans="1:9" x14ac:dyDescent="0.25">
      <c r="A19" s="32"/>
      <c r="B19" s="8" t="s">
        <v>11</v>
      </c>
      <c r="C19" s="9">
        <v>817</v>
      </c>
      <c r="D19" s="11"/>
      <c r="E19" s="11"/>
      <c r="F19" s="11"/>
      <c r="G19" s="11"/>
      <c r="H19" s="11"/>
      <c r="I19" s="11"/>
    </row>
    <row r="20" spans="1:9" x14ac:dyDescent="0.25">
      <c r="A20" s="32"/>
      <c r="B20" s="8" t="s">
        <v>12</v>
      </c>
      <c r="C20" s="9">
        <v>757</v>
      </c>
      <c r="D20" s="11"/>
      <c r="E20" s="11"/>
      <c r="F20" s="11"/>
      <c r="G20" s="11"/>
      <c r="H20" s="11"/>
      <c r="I20" s="11"/>
    </row>
    <row r="21" spans="1:9" x14ac:dyDescent="0.25">
      <c r="A21" s="32"/>
      <c r="B21" s="8" t="s">
        <v>13</v>
      </c>
      <c r="C21" s="9">
        <v>806</v>
      </c>
      <c r="D21" s="11"/>
      <c r="E21" s="11"/>
      <c r="F21" s="11"/>
      <c r="G21" s="11"/>
      <c r="H21" s="11"/>
      <c r="I21" s="11"/>
    </row>
    <row r="22" spans="1:9" x14ac:dyDescent="0.25">
      <c r="A22" s="32"/>
      <c r="B22" s="8" t="s">
        <v>14</v>
      </c>
      <c r="C22" s="9">
        <v>915</v>
      </c>
      <c r="D22" s="11"/>
      <c r="E22" s="11"/>
      <c r="F22" s="11"/>
      <c r="G22" s="11"/>
      <c r="H22" s="11"/>
      <c r="I22" s="11"/>
    </row>
    <row r="23" spans="1:9" x14ac:dyDescent="0.25">
      <c r="A23" s="32"/>
      <c r="B23" s="8" t="s">
        <v>15</v>
      </c>
      <c r="C23" s="9">
        <v>875</v>
      </c>
      <c r="D23" s="11"/>
      <c r="E23" s="11"/>
      <c r="F23" s="11"/>
      <c r="G23" s="11"/>
      <c r="H23" s="11"/>
      <c r="I23" s="11"/>
    </row>
    <row r="24" spans="1:9" x14ac:dyDescent="0.25">
      <c r="A24" s="32"/>
      <c r="B24" s="8" t="s">
        <v>16</v>
      </c>
      <c r="C24" s="9">
        <v>951</v>
      </c>
      <c r="D24" s="11"/>
      <c r="E24" s="11"/>
      <c r="F24" s="11"/>
      <c r="G24" s="11"/>
      <c r="H24" s="11"/>
      <c r="I24" s="11"/>
    </row>
    <row r="25" spans="1:9" x14ac:dyDescent="0.25">
      <c r="A25" s="32"/>
      <c r="B25" s="8" t="s">
        <v>17</v>
      </c>
      <c r="C25" s="9">
        <v>884</v>
      </c>
      <c r="D25" s="11"/>
      <c r="E25" s="11"/>
      <c r="F25" s="11"/>
      <c r="G25" s="11"/>
      <c r="H25" s="11"/>
      <c r="I25" s="11"/>
    </row>
    <row r="26" spans="1:9" x14ac:dyDescent="0.25">
      <c r="A26" s="32"/>
      <c r="B26" s="8" t="s">
        <v>18</v>
      </c>
      <c r="C26" s="9">
        <v>703</v>
      </c>
      <c r="D26" s="11"/>
      <c r="E26" s="11"/>
      <c r="F26" s="11"/>
      <c r="G26" s="11"/>
      <c r="H26" s="11"/>
      <c r="I26" s="11"/>
    </row>
    <row r="27" spans="1:9" ht="20.25" customHeight="1" x14ac:dyDescent="0.4">
      <c r="C27" s="13" t="s">
        <v>27</v>
      </c>
      <c r="D27" s="29" t="e">
        <f>AVERAGE(D15:D26)</f>
        <v>#DIV/0!</v>
      </c>
      <c r="E27" s="29" t="e">
        <f t="shared" ref="E27:I27" si="0">AVERAGE(E15:E26)</f>
        <v>#DIV/0!</v>
      </c>
      <c r="F27" s="29" t="e">
        <f t="shared" si="0"/>
        <v>#DIV/0!</v>
      </c>
      <c r="G27" s="29" t="e">
        <f t="shared" si="0"/>
        <v>#DIV/0!</v>
      </c>
      <c r="H27" s="29" t="e">
        <f t="shared" si="0"/>
        <v>#DIV/0!</v>
      </c>
      <c r="I27" s="29" t="e">
        <f t="shared" si="0"/>
        <v>#DIV/0!</v>
      </c>
    </row>
    <row r="29" spans="1:9" x14ac:dyDescent="0.25">
      <c r="D29" s="19" t="e">
        <f>Vérification!B21</f>
        <v>#DIV/0!</v>
      </c>
      <c r="E29" s="19" t="e">
        <f>Vérification!B22</f>
        <v>#DIV/0!</v>
      </c>
      <c r="F29" s="19" t="e">
        <f>Vérification!B23</f>
        <v>#DIV/0!</v>
      </c>
      <c r="G29" s="20" t="e">
        <f>Vérification!B24</f>
        <v>#DIV/0!</v>
      </c>
      <c r="H29" s="19" t="e">
        <f>Vérification!B25</f>
        <v>#DIV/0!</v>
      </c>
      <c r="I29" s="19" t="e">
        <f>Vérification!B26</f>
        <v>#DIV/0!</v>
      </c>
    </row>
    <row r="30" spans="1:9" ht="17.399999999999999" x14ac:dyDescent="0.25">
      <c r="D30" s="16"/>
      <c r="E30" s="16"/>
      <c r="F30" s="17"/>
      <c r="G30" s="16"/>
      <c r="H30" s="16"/>
      <c r="I30" s="16"/>
    </row>
    <row r="31" spans="1:9" x14ac:dyDescent="0.25">
      <c r="D31" s="16"/>
      <c r="E31" s="16"/>
      <c r="F31" s="16"/>
      <c r="G31" s="16"/>
      <c r="H31" s="16"/>
      <c r="I31" s="16"/>
    </row>
    <row r="32" spans="1:9" x14ac:dyDescent="0.25">
      <c r="D32" s="16"/>
      <c r="E32" s="16"/>
      <c r="F32" s="16"/>
      <c r="G32" s="16"/>
      <c r="H32" s="16"/>
      <c r="I32" s="16"/>
    </row>
    <row r="33" spans="4:9" x14ac:dyDescent="0.25">
      <c r="D33" s="16"/>
      <c r="E33" s="16"/>
      <c r="F33" s="16"/>
      <c r="G33" s="16"/>
      <c r="H33" s="16"/>
      <c r="I33" s="16"/>
    </row>
    <row r="34" spans="4:9" x14ac:dyDescent="0.25">
      <c r="D34" s="16"/>
      <c r="E34" s="16"/>
      <c r="F34" s="16"/>
      <c r="G34" s="16"/>
      <c r="H34" s="16"/>
      <c r="I34" s="16"/>
    </row>
  </sheetData>
  <sheetProtection formatCells="0" formatColumns="0" formatRows="0" insertColumns="0" insertRows="0" insertHyperlinks="0" sort="0" autoFilter="0" pivotTables="0"/>
  <mergeCells count="7">
    <mergeCell ref="G1:I1"/>
    <mergeCell ref="A3:A14"/>
    <mergeCell ref="A15:A26"/>
    <mergeCell ref="A1:A2"/>
    <mergeCell ref="B1:B2"/>
    <mergeCell ref="C1:C2"/>
    <mergeCell ref="D1:E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>
      <selection activeCell="K20" sqref="K20"/>
    </sheetView>
  </sheetViews>
  <sheetFormatPr baseColWidth="10" defaultColWidth="11.44140625" defaultRowHeight="15.6" x14ac:dyDescent="0.3"/>
  <cols>
    <col min="1" max="1" width="32.6640625" style="1" customWidth="1"/>
    <col min="2" max="2" width="25.5546875" style="1" customWidth="1"/>
    <col min="3" max="3" width="11.44140625" style="1"/>
    <col min="4" max="4" width="23.109375" style="1" customWidth="1"/>
    <col min="5" max="16384" width="11.44140625" style="1"/>
  </cols>
  <sheetData>
    <row r="1" spans="1:4" ht="18" x14ac:dyDescent="0.35">
      <c r="A1" s="2" t="s">
        <v>26</v>
      </c>
    </row>
    <row r="2" spans="1:4" x14ac:dyDescent="0.3">
      <c r="B2" s="1" t="s">
        <v>31</v>
      </c>
      <c r="D2" s="1" t="s">
        <v>32</v>
      </c>
    </row>
    <row r="3" spans="1:4" x14ac:dyDescent="0.3">
      <c r="A3" s="1" t="s">
        <v>21</v>
      </c>
      <c r="B3" s="21" t="str">
        <f>IF(ABS('Prévision - Non arrondie'!D26-903.333333333333)&lt;0.0000001,"Parfait!","Vérifie tes calculs!")</f>
        <v>Vérifie tes calculs!</v>
      </c>
      <c r="D3" s="21" t="str">
        <f>IF('Prévision - Arrondie'!D26=903,"Parfait!","Vérifie tes calculs!")</f>
        <v>Vérifie tes calculs!</v>
      </c>
    </row>
    <row r="4" spans="1:4" x14ac:dyDescent="0.3">
      <c r="A4" s="1" t="s">
        <v>22</v>
      </c>
      <c r="B4" s="21" t="str">
        <f>IF(ABS('Prévision - Non arrondie'!E26-864.666666666667)&lt;0.0000001,"Parfait!","Vérifie tes calculs!")</f>
        <v>Vérifie tes calculs!</v>
      </c>
      <c r="D4" s="21" t="str">
        <f>IF('Prévision - Arrondie'!E26=865,"Parfait!","Vérifie tes calculs!")</f>
        <v>Vérifie tes calculs!</v>
      </c>
    </row>
    <row r="5" spans="1:4" x14ac:dyDescent="0.3">
      <c r="A5" s="1" t="s">
        <v>5</v>
      </c>
      <c r="B5" s="21" t="str">
        <f>IF(ABS('Prévision - Non arrondie'!F26-902.3)&lt;0.0000001,"Parfait!","Vérifie tes calculs!")</f>
        <v>Vérifie tes calculs!</v>
      </c>
      <c r="D5" s="21" t="str">
        <f>IF('Prévision - Arrondie'!F26=902,"Parfait!","Vérifie tes calculs!")</f>
        <v>Vérifie tes calculs!</v>
      </c>
    </row>
    <row r="6" spans="1:4" x14ac:dyDescent="0.3">
      <c r="A6" s="1" t="s">
        <v>23</v>
      </c>
      <c r="B6" s="21" t="str">
        <f>IF(ABS('Prévision - Non arrondie'!G26-854.172447700116)&lt;0.0000001,"Parfait!","Vérifie tes calculs!")</f>
        <v>Vérifie tes calculs!</v>
      </c>
      <c r="D6" s="21" t="str">
        <f>IF('Prévision - Arrondie'!G26=854,"Parfait!","Vérifie tes calculs!")</f>
        <v>Vérifie tes calculs!</v>
      </c>
    </row>
    <row r="7" spans="1:4" x14ac:dyDescent="0.3">
      <c r="A7" s="1" t="s">
        <v>24</v>
      </c>
      <c r="B7" s="21" t="str">
        <f>IF(ABS('Prévision - Non arrondie'!H26-892.063662475872)&lt;0.0000001,"Parfait!","Vérifie tes calculs!")</f>
        <v>Vérifie tes calculs!</v>
      </c>
      <c r="D7" s="21" t="str">
        <f>IF('Prévision - Arrondie'!H26=892,"Parfait!","Vérifie tes calculs!")</f>
        <v>Vérifie tes calculs!</v>
      </c>
    </row>
    <row r="8" spans="1:4" x14ac:dyDescent="0.3">
      <c r="A8" s="1" t="s">
        <v>25</v>
      </c>
      <c r="B8" s="21" t="str">
        <f>IF(ABS('Prévision - Non arrondie'!I26-894.495259655389)&lt;0.0000001,"Parfait!","Vérifie tes calculs!")</f>
        <v>Vérifie tes calculs!</v>
      </c>
      <c r="D8" s="21" t="str">
        <f>IF('Prévision - Arrondie'!I26=894,"Parfait!","Vérifie tes calculs!")</f>
        <v>Vérifie tes calculs!</v>
      </c>
    </row>
    <row r="10" spans="1:4" ht="18" x14ac:dyDescent="0.35">
      <c r="A10" s="2" t="s">
        <v>28</v>
      </c>
    </row>
    <row r="12" spans="1:4" x14ac:dyDescent="0.3">
      <c r="A12" s="1" t="s">
        <v>21</v>
      </c>
      <c r="B12" s="21" t="e">
        <f>IF(ABS('Écart moyen'!D27--4.58333333333333)&lt;0.0000001,"Parfait!","Vérifie tes calculs!")</f>
        <v>#DIV/0!</v>
      </c>
    </row>
    <row r="13" spans="1:4" x14ac:dyDescent="0.3">
      <c r="A13" s="1" t="s">
        <v>22</v>
      </c>
      <c r="B13" s="21" t="e">
        <f>IF(ABS('Écart moyen'!E27-7.83333333333333)&lt;0.0000001,"Parfait!","Vérifie tes calculs!")</f>
        <v>#DIV/0!</v>
      </c>
    </row>
    <row r="14" spans="1:4" x14ac:dyDescent="0.3">
      <c r="A14" s="1" t="s">
        <v>5</v>
      </c>
      <c r="B14" s="21" t="e">
        <f>IF(ABS('Écart moyen'!F27--8.25)&lt;0.0000001,"Parfait!","Vérifie tes calculs!")</f>
        <v>#DIV/0!</v>
      </c>
    </row>
    <row r="15" spans="1:4" x14ac:dyDescent="0.3">
      <c r="A15" s="1" t="s">
        <v>23</v>
      </c>
      <c r="B15" s="21" t="e">
        <f>IF(ABS('Écart moyen'!G27-5.666666666667)&lt;0.0000001,"Parfait!","Vérifie tes calculs!")</f>
        <v>#DIV/0!</v>
      </c>
    </row>
    <row r="16" spans="1:4" x14ac:dyDescent="0.3">
      <c r="A16" s="1" t="s">
        <v>24</v>
      </c>
      <c r="B16" s="21" t="e">
        <f>IF(ABS('Écart moyen'!H27--2.5)&lt;0.0000001,"Parfait!","Vérifie tes calculs!")</f>
        <v>#DIV/0!</v>
      </c>
    </row>
    <row r="17" spans="1:2" x14ac:dyDescent="0.3">
      <c r="A17" s="1" t="s">
        <v>25</v>
      </c>
      <c r="B17" s="21" t="e">
        <f>IF(ABS('Écart moyen'!I27--13.75)&lt;0.0000001,"Parfait!","Vérifie tes calculs!")</f>
        <v>#DIV/0!</v>
      </c>
    </row>
    <row r="19" spans="1:2" ht="18" x14ac:dyDescent="0.35">
      <c r="A19" s="2" t="s">
        <v>29</v>
      </c>
    </row>
    <row r="21" spans="1:2" x14ac:dyDescent="0.3">
      <c r="A21" s="1" t="s">
        <v>21</v>
      </c>
      <c r="B21" s="21" t="e">
        <f>IF(ABS('Écart quadratique moyen'!D27-9478.41666666667)&lt;0.0000001,"Parfait!","Vérifie tes calculs!")</f>
        <v>#DIV/0!</v>
      </c>
    </row>
    <row r="22" spans="1:2" x14ac:dyDescent="0.3">
      <c r="A22" s="1" t="s">
        <v>22</v>
      </c>
      <c r="B22" s="21" t="e">
        <f>IF(ABS('Écart quadratique moyen'!E27-6918.83333333333)&lt;0.0000001,"Parfait!","Vérifie tes calculs!")</f>
        <v>#DIV/0!</v>
      </c>
    </row>
    <row r="23" spans="1:2" x14ac:dyDescent="0.3">
      <c r="A23" s="1" t="s">
        <v>5</v>
      </c>
      <c r="B23" s="21" t="e">
        <f>IF(ABS('Écart quadratique moyen'!F27-9056.91666666667)&lt;0.0000001,"Parfait!","Vérifie tes calculs!")</f>
        <v>#DIV/0!</v>
      </c>
    </row>
    <row r="24" spans="1:2" x14ac:dyDescent="0.3">
      <c r="A24" s="1" t="s">
        <v>23</v>
      </c>
      <c r="B24" s="21" t="e">
        <f>IF(ABS('Écart quadratique moyen'!G27-6512)&lt;0.0000001,"Parfait!","Vérifie tes calculs!")</f>
        <v>#DIV/0!</v>
      </c>
    </row>
    <row r="25" spans="1:2" x14ac:dyDescent="0.3">
      <c r="A25" s="1" t="s">
        <v>24</v>
      </c>
      <c r="B25" s="21" t="e">
        <f>IF(ABS('Écart quadratique moyen'!H27-7910)&lt;0.0000001,"Parfait!","Vérifie tes calculs!")</f>
        <v>#DIV/0!</v>
      </c>
    </row>
    <row r="26" spans="1:2" x14ac:dyDescent="0.3">
      <c r="A26" s="1" t="s">
        <v>25</v>
      </c>
      <c r="B26" s="21" t="e">
        <f>IF(ABS('Écart quadratique moyen'!I27-9098.91666666667)&lt;0.0000001,"Parfait!","Vérifie tes calculs!")</f>
        <v>#DIV/0!</v>
      </c>
    </row>
  </sheetData>
  <sheetProtection algorithmName="SHA-512" hashValue="zfduwL/z+idRqgUI7VNacOfgm4JVjkECOB1vSZOtZ8GxygurbdOm82m35QAIa14TJegiheaU29zwN305bcm/8Q==" saltValue="tOx99zbpUoXLjFR7Tz5bCg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Prévision - Non arrondie</vt:lpstr>
      <vt:lpstr>Prévision - Arrondie</vt:lpstr>
      <vt:lpstr>Écart moyen</vt:lpstr>
      <vt:lpstr>Écart quadratique moyen</vt:lpstr>
      <vt:lpstr>Vérification</vt:lpstr>
    </vt:vector>
  </TitlesOfParts>
  <Company>HEC Montréal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Véronique Poirier</dc:creator>
  <cp:lastModifiedBy>Claire Poitras</cp:lastModifiedBy>
  <dcterms:created xsi:type="dcterms:W3CDTF">2009-07-07T16:48:21Z</dcterms:created>
  <dcterms:modified xsi:type="dcterms:W3CDTF">2025-12-02T13:55:27Z</dcterms:modified>
</cp:coreProperties>
</file>