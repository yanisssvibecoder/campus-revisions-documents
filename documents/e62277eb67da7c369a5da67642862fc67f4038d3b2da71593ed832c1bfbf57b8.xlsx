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cmtl.sharepoint.com/sites/O365-Gestiondesoprations-H2026/Shared Documents/General/Exercices de fin de séance - français/03 - Gestion des stocks, partie 1/"/>
    </mc:Choice>
  </mc:AlternateContent>
  <xr:revisionPtr revIDLastSave="12" documentId="13_ncr:1_{272E599B-98DB-481E-AE21-119D00AA4098}" xr6:coauthVersionLast="47" xr6:coauthVersionMax="47" xr10:uidLastSave="{4DA3DC46-5358-4D0C-BE5E-B9C791976470}"/>
  <bookViews>
    <workbookView xWindow="-120" yWindow="-120" windowWidth="29040" windowHeight="15720" activeTab="2" xr2:uid="{00000000-000D-0000-FFFF-FFFF00000000}"/>
  </bookViews>
  <sheets>
    <sheet name="Ventes" sheetId="1" r:id="rId1"/>
    <sheet name="Nb. Articles" sheetId="3" r:id="rId2"/>
    <sheet name="Valeur" sheetId="2" r:id="rId3"/>
    <sheet name="Question 2" sheetId="4" r:id="rId4"/>
  </sheets>
  <definedNames>
    <definedName name="_xlnm._FilterDatabase" localSheetId="0" hidden="1">Ventes!$A$1:$A$1553</definedName>
  </definedNames>
  <calcPr calcId="191028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A8" i="4"/>
  <c r="B19" i="4"/>
  <c r="C18" i="4"/>
  <c r="A13" i="4"/>
  <c r="A4" i="4"/>
  <c r="A3" i="4"/>
  <c r="G1217" i="1"/>
  <c r="G747" i="1"/>
  <c r="G686" i="1"/>
  <c r="G254" i="1"/>
  <c r="G753" i="1"/>
  <c r="G171" i="1"/>
  <c r="G525" i="1"/>
  <c r="G1258" i="1"/>
  <c r="G1084" i="1"/>
  <c r="G45" i="1"/>
  <c r="G88" i="1"/>
  <c r="G139" i="1"/>
  <c r="G81" i="1"/>
  <c r="G165" i="1"/>
  <c r="G1157" i="1"/>
  <c r="G766" i="1"/>
  <c r="G44" i="1"/>
  <c r="G1527" i="1"/>
  <c r="G577" i="1"/>
  <c r="G1120" i="1"/>
  <c r="G135" i="1"/>
  <c r="G398" i="1"/>
  <c r="G203" i="1"/>
  <c r="G1505" i="1"/>
  <c r="G1210" i="1"/>
  <c r="G132" i="1"/>
  <c r="G483" i="1"/>
  <c r="G1328" i="1"/>
  <c r="G218" i="1"/>
  <c r="G138" i="1"/>
  <c r="G1068" i="1"/>
  <c r="G822" i="1"/>
  <c r="G54" i="1"/>
  <c r="G468" i="1"/>
  <c r="G781" i="1"/>
  <c r="G1002" i="1"/>
  <c r="G1428" i="1"/>
  <c r="G600" i="1"/>
  <c r="G1058" i="1"/>
  <c r="G223" i="1"/>
  <c r="G173" i="1"/>
  <c r="G1040" i="1"/>
  <c r="G357" i="1"/>
  <c r="G123" i="1"/>
  <c r="G271" i="1"/>
  <c r="G1507" i="1"/>
  <c r="G64" i="1"/>
  <c r="G996" i="1"/>
  <c r="G97" i="1"/>
  <c r="G1188" i="1"/>
  <c r="G1224" i="1"/>
  <c r="G1472" i="1"/>
  <c r="G428" i="1"/>
  <c r="G240" i="1"/>
  <c r="G1049" i="1"/>
  <c r="G1095" i="1"/>
  <c r="G1266" i="1"/>
  <c r="G1371" i="1"/>
  <c r="G356" i="1"/>
  <c r="G948" i="1"/>
  <c r="G144" i="1"/>
  <c r="G519" i="1"/>
  <c r="G1502" i="1"/>
  <c r="G458" i="1"/>
  <c r="G26" i="1"/>
  <c r="G630" i="1"/>
  <c r="G953" i="1"/>
  <c r="G899" i="1"/>
  <c r="G875" i="1"/>
  <c r="G52" i="1"/>
  <c r="G1013" i="1"/>
  <c r="G627" i="1"/>
  <c r="G1146" i="1"/>
  <c r="G1169" i="1"/>
  <c r="G750" i="1"/>
  <c r="G1547" i="1"/>
  <c r="G553" i="1"/>
  <c r="G346" i="1"/>
  <c r="G27" i="1"/>
  <c r="G1304" i="1"/>
  <c r="G473" i="1"/>
  <c r="G1237" i="1"/>
  <c r="G945" i="1"/>
  <c r="G1289" i="1"/>
  <c r="G568" i="1"/>
  <c r="G1250" i="1"/>
  <c r="G509" i="1"/>
  <c r="G1173" i="1"/>
  <c r="G1190" i="1"/>
  <c r="G1036" i="1"/>
  <c r="G1462" i="1"/>
  <c r="G715" i="1"/>
  <c r="G1414" i="1"/>
  <c r="G160" i="1"/>
  <c r="G15" i="1"/>
  <c r="G1172" i="1"/>
  <c r="G1061" i="1"/>
  <c r="G420" i="1"/>
  <c r="G652" i="1"/>
  <c r="G234" i="1"/>
  <c r="G639" i="1"/>
  <c r="G1380" i="1"/>
  <c r="G34" i="1"/>
  <c r="G748" i="1"/>
  <c r="G436" i="1"/>
  <c r="G839" i="1"/>
  <c r="G1439" i="1"/>
  <c r="G1200" i="1"/>
  <c r="G851" i="1"/>
  <c r="G1412" i="1"/>
  <c r="G158" i="1"/>
  <c r="G925" i="1"/>
  <c r="G866" i="1"/>
  <c r="G150" i="1"/>
  <c r="G267" i="1"/>
  <c r="G170" i="1"/>
  <c r="G323" i="1"/>
  <c r="G312" i="1"/>
  <c r="G65" i="1"/>
  <c r="G1381" i="1"/>
  <c r="G1174" i="1"/>
  <c r="G504" i="1"/>
  <c r="G778" i="1"/>
  <c r="G189" i="1"/>
  <c r="G1341" i="1"/>
  <c r="G279" i="1"/>
  <c r="G33" i="1"/>
  <c r="G432" i="1"/>
  <c r="G1080" i="1"/>
  <c r="G727" i="1"/>
  <c r="G749" i="1"/>
  <c r="G377" i="1"/>
  <c r="G1005" i="1"/>
  <c r="G85" i="1"/>
  <c r="G397" i="1"/>
  <c r="G847" i="1"/>
  <c r="G964" i="1"/>
  <c r="G1164" i="1"/>
  <c r="G963" i="1"/>
  <c r="G1230" i="1"/>
  <c r="G406" i="1"/>
  <c r="G56" i="1"/>
  <c r="G370" i="1"/>
  <c r="G946" i="1"/>
  <c r="G299" i="1"/>
  <c r="G1035" i="1"/>
  <c r="G1389" i="1"/>
  <c r="G68" i="1"/>
  <c r="G1114" i="1"/>
  <c r="G1293" i="1"/>
  <c r="G889" i="1"/>
  <c r="G472" i="1"/>
  <c r="G802" i="1"/>
  <c r="G520" i="1"/>
  <c r="G211" i="1"/>
  <c r="G1419" i="1"/>
  <c r="G934" i="1"/>
  <c r="G1239" i="1"/>
  <c r="G290" i="1"/>
  <c r="G440" i="1"/>
  <c r="G443" i="1"/>
  <c r="G908" i="1"/>
  <c r="G1425" i="1"/>
  <c r="G300" i="1"/>
  <c r="G1482" i="1"/>
  <c r="G1285" i="1"/>
  <c r="G21" i="1"/>
  <c r="G153" i="1"/>
  <c r="G546" i="1"/>
  <c r="G460" i="1"/>
  <c r="G332" i="1"/>
  <c r="G767" i="1"/>
  <c r="G954" i="1"/>
  <c r="G1517" i="1"/>
  <c r="G579" i="1"/>
  <c r="G367" i="1"/>
  <c r="G981" i="1"/>
  <c r="G1318" i="1"/>
  <c r="G1228" i="1"/>
  <c r="G573" i="1"/>
  <c r="G374" i="1"/>
  <c r="G1292" i="1"/>
  <c r="G422" i="1"/>
  <c r="G1182" i="1"/>
  <c r="G330" i="1"/>
  <c r="G475" i="1"/>
  <c r="G1313" i="1"/>
  <c r="G1000" i="1"/>
  <c r="G470" i="1"/>
  <c r="G461" i="1"/>
  <c r="G850" i="1"/>
  <c r="G344" i="1"/>
  <c r="G1244" i="1"/>
  <c r="G552" i="1"/>
  <c r="G307" i="1"/>
  <c r="G1297" i="1"/>
  <c r="G695" i="1"/>
  <c r="G386" i="1"/>
  <c r="G515" i="1"/>
  <c r="G936" i="1"/>
  <c r="G632" i="1"/>
  <c r="G435" i="1"/>
  <c r="G1369" i="1"/>
  <c r="G758" i="1"/>
  <c r="G1176" i="1"/>
  <c r="G860" i="1"/>
  <c r="G633" i="1"/>
  <c r="G394" i="1"/>
  <c r="G1454" i="1"/>
  <c r="G369" i="1"/>
  <c r="G269" i="1"/>
  <c r="G1436" i="1"/>
  <c r="G743" i="1"/>
  <c r="G928" i="1"/>
  <c r="G689" i="1"/>
  <c r="G838" i="1"/>
  <c r="G477" i="1"/>
  <c r="G1287" i="1"/>
  <c r="G71" i="1"/>
  <c r="G292" i="1"/>
  <c r="G1534" i="1"/>
  <c r="G849" i="1"/>
  <c r="G510" i="1"/>
  <c r="G430" i="1"/>
  <c r="G698" i="1"/>
  <c r="G1430" i="1"/>
  <c r="G209" i="1"/>
  <c r="G527" i="1"/>
  <c r="G1225" i="1"/>
  <c r="G1468" i="1"/>
  <c r="G86" i="1"/>
  <c r="G1291" i="1"/>
  <c r="G47" i="1"/>
  <c r="G1311" i="1"/>
  <c r="G1199" i="1"/>
  <c r="G1256" i="1"/>
  <c r="G1051" i="1"/>
  <c r="G588" i="1"/>
  <c r="G970" i="1"/>
  <c r="G1132" i="1"/>
  <c r="G66" i="1"/>
  <c r="G529" i="1"/>
  <c r="G523" i="1"/>
  <c r="G583" i="1"/>
  <c r="G809" i="1"/>
  <c r="G757" i="1"/>
  <c r="G383" i="1"/>
  <c r="G1024" i="1"/>
  <c r="G1500" i="1"/>
  <c r="G584" i="1"/>
  <c r="G87" i="1"/>
  <c r="G722" i="1"/>
  <c r="G478" i="1"/>
  <c r="G1186" i="1"/>
  <c r="G618" i="1"/>
  <c r="G1531" i="1"/>
  <c r="G252" i="1"/>
  <c r="G95" i="1"/>
  <c r="G1207" i="1"/>
  <c r="G558" i="1"/>
  <c r="G429" i="1"/>
  <c r="G1220" i="1"/>
  <c r="G713" i="1"/>
  <c r="G248" i="1"/>
  <c r="G1473" i="1"/>
  <c r="G555" i="1"/>
  <c r="G496" i="1"/>
  <c r="G285" i="1"/>
  <c r="G983" i="1"/>
  <c r="G536" i="1"/>
  <c r="G284" i="1"/>
  <c r="G1072" i="1"/>
  <c r="G1099" i="1"/>
  <c r="G1445" i="1"/>
  <c r="G1133" i="1"/>
  <c r="G242" i="1"/>
  <c r="G673" i="1"/>
  <c r="G364" i="1"/>
  <c r="G407" i="1"/>
  <c r="G522" i="1"/>
  <c r="G251" i="1"/>
  <c r="G1011" i="1"/>
  <c r="G991" i="1"/>
  <c r="G157" i="1"/>
  <c r="G987" i="1"/>
  <c r="G126" i="1"/>
  <c r="G1202" i="1"/>
  <c r="G127" i="1"/>
  <c r="G1184" i="1"/>
  <c r="G1424" i="1"/>
  <c r="G206" i="1"/>
  <c r="G261" i="1"/>
  <c r="G694" i="1"/>
  <c r="G186" i="1"/>
  <c r="G492" i="1"/>
  <c r="G20" i="1"/>
  <c r="G233" i="1"/>
  <c r="G1209" i="1"/>
  <c r="G154" i="1"/>
  <c r="G8" i="1"/>
  <c r="G1009" i="1"/>
  <c r="G631" i="1"/>
  <c r="G830" i="1"/>
  <c r="G1469" i="1"/>
  <c r="G845" i="1"/>
  <c r="G604" i="1"/>
  <c r="G1345" i="1"/>
  <c r="G1147" i="1"/>
  <c r="G228" i="1"/>
  <c r="G852" i="1"/>
  <c r="G400" i="1"/>
  <c r="G909" i="1"/>
  <c r="G910" i="1"/>
  <c r="G914" i="1"/>
  <c r="G926" i="1"/>
  <c r="G947" i="1"/>
  <c r="G799" i="1"/>
  <c r="G1519" i="1"/>
  <c r="G1512" i="1"/>
  <c r="G706" i="1"/>
  <c r="G843" i="1"/>
  <c r="G1332" i="1"/>
  <c r="G1365" i="1"/>
  <c r="G805" i="1"/>
  <c r="G1273" i="1"/>
  <c r="G646" i="1"/>
  <c r="G1342" i="1"/>
  <c r="G658" i="1"/>
  <c r="G549" i="1"/>
  <c r="G368" i="1"/>
  <c r="G751" i="1"/>
  <c r="G403" i="1"/>
  <c r="G1349" i="1"/>
  <c r="G408" i="1"/>
  <c r="G951" i="1"/>
  <c r="G567" i="1"/>
  <c r="G1234" i="1"/>
  <c r="G1142" i="1"/>
  <c r="G989" i="1"/>
  <c r="G952" i="1"/>
  <c r="G736" i="1"/>
  <c r="G768" i="1"/>
  <c r="G1213" i="1"/>
  <c r="G112" i="1"/>
  <c r="G763" i="1"/>
  <c r="G425" i="1"/>
  <c r="G457" i="1"/>
  <c r="G276" i="1"/>
  <c r="G1201" i="1"/>
  <c r="G1141" i="1"/>
  <c r="G175" i="1"/>
  <c r="G923" i="1"/>
  <c r="G1064" i="1"/>
  <c r="G1421" i="1"/>
  <c r="G570" i="1"/>
  <c r="G232" i="1"/>
  <c r="G103" i="1"/>
  <c r="G1270" i="1"/>
  <c r="G676" i="1"/>
  <c r="G1194" i="1"/>
  <c r="G556" i="1"/>
  <c r="G1504" i="1"/>
  <c r="G1408" i="1"/>
  <c r="G1082" i="1"/>
  <c r="G80" i="1"/>
  <c r="G762" i="1"/>
  <c r="G803" i="1"/>
  <c r="G935" i="1"/>
  <c r="G1409" i="1"/>
  <c r="G129" i="1"/>
  <c r="G243" i="1"/>
  <c r="G829" i="1"/>
  <c r="G48" i="1"/>
  <c r="G385" i="1"/>
  <c r="G431" i="1"/>
  <c r="G848" i="1"/>
  <c r="G977" i="1"/>
  <c r="G1489" i="1"/>
  <c r="G539" i="1"/>
  <c r="G1171" i="1"/>
  <c r="G1465" i="1"/>
  <c r="G272" i="1"/>
  <c r="G1402" i="1"/>
  <c r="G1281" i="1"/>
  <c r="G1387" i="1"/>
  <c r="G886" i="1"/>
  <c r="G1255" i="1"/>
  <c r="G1252" i="1"/>
  <c r="G800" i="1"/>
  <c r="G857" i="1"/>
  <c r="G1459" i="1"/>
  <c r="G151" i="1"/>
  <c r="G259" i="1"/>
  <c r="G185" i="1"/>
  <c r="G1215" i="1"/>
  <c r="G1284" i="1"/>
  <c r="G1054" i="1"/>
  <c r="G998" i="1"/>
  <c r="G117" i="1"/>
  <c r="G297" i="1"/>
  <c r="G1300" i="1"/>
  <c r="G1062" i="1"/>
  <c r="G595" i="1"/>
  <c r="G1391" i="1"/>
  <c r="G590" i="1"/>
  <c r="G184" i="1"/>
  <c r="G14" i="1"/>
  <c r="G1359" i="1"/>
  <c r="G564" i="1"/>
  <c r="G1017" i="1"/>
  <c r="G621" i="1"/>
  <c r="G1023" i="1"/>
  <c r="G994" i="1"/>
  <c r="G177" i="1"/>
  <c r="G1265" i="1"/>
  <c r="G1282" i="1"/>
  <c r="G1106" i="1"/>
  <c r="G23" i="1"/>
  <c r="G1433" i="1"/>
  <c r="G1367" i="1"/>
  <c r="G214" i="1"/>
  <c r="G1314" i="1"/>
  <c r="G104" i="1"/>
  <c r="G181" i="1"/>
  <c r="G1385" i="1"/>
  <c r="G898" i="1"/>
  <c r="G808" i="1"/>
  <c r="G130" i="1"/>
  <c r="G179" i="1"/>
  <c r="G1016" i="1"/>
  <c r="G482" i="1"/>
  <c r="G877" i="1"/>
  <c r="G309" i="1"/>
  <c r="G1432" i="1"/>
  <c r="G1312" i="1"/>
  <c r="G742" i="1"/>
  <c r="G650" i="1"/>
  <c r="G1449" i="1"/>
  <c r="G1139" i="1"/>
  <c r="G349" i="1"/>
  <c r="G716" i="1"/>
  <c r="G738" i="1"/>
  <c r="G1247" i="1"/>
  <c r="G986" i="1"/>
  <c r="G876" i="1"/>
  <c r="G176" i="1"/>
  <c r="G1189" i="1"/>
  <c r="G1464" i="1"/>
  <c r="G734" i="1"/>
  <c r="G1288" i="1"/>
  <c r="G350" i="1"/>
  <c r="G1195" i="1"/>
  <c r="G1128" i="1"/>
  <c r="G770" i="1"/>
  <c r="G1470" i="1"/>
  <c r="G785" i="1"/>
  <c r="G611" i="1"/>
  <c r="G507" i="1"/>
  <c r="G1356" i="1"/>
  <c r="G1390" i="1"/>
  <c r="G316" i="1"/>
  <c r="G342" i="1"/>
  <c r="G895" i="1"/>
  <c r="G906" i="1"/>
  <c r="G691" i="1"/>
  <c r="G465" i="1"/>
  <c r="G1137" i="1"/>
  <c r="G1521" i="1"/>
  <c r="G322" i="1"/>
  <c r="G303" i="1"/>
  <c r="G1175" i="1"/>
  <c r="G229" i="1"/>
  <c r="G941" i="1"/>
  <c r="G137" i="1"/>
  <c r="G761" i="1"/>
  <c r="G619" i="1"/>
  <c r="G1052" i="1"/>
  <c r="G1160" i="1"/>
  <c r="G1372" i="1"/>
  <c r="G36" i="1"/>
  <c r="G390" i="1"/>
  <c r="G1020" i="1"/>
  <c r="G120" i="1"/>
  <c r="G348" i="1"/>
  <c r="G1212" i="1"/>
  <c r="G1484" i="1"/>
  <c r="G241" i="1"/>
  <c r="G1063" i="1"/>
  <c r="G667" i="1"/>
  <c r="G503" i="1"/>
  <c r="G501" i="1"/>
  <c r="G817" i="1"/>
  <c r="G1460" i="1"/>
  <c r="G959" i="1"/>
  <c r="G1222" i="1"/>
  <c r="G256" i="1"/>
  <c r="G363" i="1"/>
  <c r="G807" i="1"/>
  <c r="G696" i="1"/>
  <c r="G277" i="1"/>
  <c r="G565" i="1"/>
  <c r="G1057" i="1"/>
  <c r="G1497" i="1"/>
  <c r="G795" i="1"/>
  <c r="G671" i="1"/>
  <c r="G355" i="1"/>
  <c r="G1110" i="1"/>
  <c r="G121" i="1"/>
  <c r="G1264" i="1"/>
  <c r="G91" i="1"/>
  <c r="G918" i="1"/>
  <c r="G997" i="1"/>
  <c r="G535" i="1"/>
  <c r="G514" i="1"/>
  <c r="G61" i="1"/>
  <c r="G308" i="1"/>
  <c r="G124" i="1"/>
  <c r="G55" i="1"/>
  <c r="G1022" i="1"/>
  <c r="G1299" i="1"/>
  <c r="G1360" i="1"/>
  <c r="G815" i="1"/>
  <c r="G188" i="1"/>
  <c r="G1336" i="1"/>
  <c r="G674" i="1"/>
  <c r="G12" i="1"/>
  <c r="G1475" i="1"/>
  <c r="G708" i="1"/>
  <c r="G1378" i="1"/>
  <c r="G995" i="1"/>
  <c r="G709" i="1"/>
  <c r="G1461" i="1"/>
  <c r="G1450" i="1"/>
  <c r="G777" i="1"/>
  <c r="G1398" i="1"/>
  <c r="G1549" i="1"/>
  <c r="G373" i="1"/>
  <c r="G902" i="1"/>
  <c r="G976" i="1"/>
  <c r="G1334" i="1"/>
  <c r="G288" i="1"/>
  <c r="G102" i="1"/>
  <c r="G99" i="1"/>
  <c r="G18" i="1"/>
  <c r="G90" i="1"/>
  <c r="G1431" i="1"/>
  <c r="G198" i="1"/>
  <c r="G557" i="1"/>
  <c r="G636" i="1"/>
  <c r="G864" i="1"/>
  <c r="G287" i="1"/>
  <c r="G484" i="1"/>
  <c r="G1163" i="1"/>
  <c r="G615" i="1"/>
  <c r="G360" i="1"/>
  <c r="G670" i="1"/>
  <c r="G107" i="1"/>
  <c r="G543" i="1"/>
  <c r="G593" i="1"/>
  <c r="G1440" i="1"/>
  <c r="G718" i="1"/>
  <c r="G3" i="1"/>
  <c r="G872" i="1"/>
  <c r="G524" i="1"/>
  <c r="G495" i="1"/>
  <c r="G266" i="1"/>
  <c r="G1542" i="1"/>
  <c r="G1354" i="1"/>
  <c r="G310" i="1"/>
  <c r="G376" i="1"/>
  <c r="G417" i="1"/>
  <c r="G1296" i="1"/>
  <c r="G1333" i="1"/>
  <c r="G1112" i="1"/>
  <c r="G1272" i="1"/>
  <c r="G1093" i="1"/>
  <c r="G1322" i="1"/>
  <c r="G835" i="1"/>
  <c r="G1383" i="1"/>
  <c r="G638" i="1"/>
  <c r="G871" i="1"/>
  <c r="G1337" i="1"/>
  <c r="G1448" i="1"/>
  <c r="G372" i="1"/>
  <c r="G1429" i="1"/>
  <c r="G1538" i="1"/>
  <c r="G999" i="1"/>
  <c r="G648" i="1"/>
  <c r="G922" i="1"/>
  <c r="G493" i="1"/>
  <c r="G35" i="1"/>
  <c r="G1320" i="1"/>
  <c r="G668" i="1"/>
  <c r="G831" i="1"/>
  <c r="G687" i="1"/>
  <c r="G32" i="1"/>
  <c r="G755" i="1"/>
  <c r="G1518" i="1"/>
  <c r="G1178" i="1"/>
  <c r="G1487" i="1"/>
  <c r="G1140" i="1"/>
  <c r="G1343" i="1"/>
  <c r="G419" i="1"/>
  <c r="G282" i="1"/>
  <c r="G1096" i="1"/>
  <c r="G225" i="1"/>
  <c r="G554" i="1"/>
  <c r="G1241" i="1"/>
  <c r="G732" i="1"/>
  <c r="G1481" i="1"/>
  <c r="G1143" i="1"/>
  <c r="G924" i="1"/>
  <c r="G856" i="1"/>
  <c r="G30" i="1"/>
  <c r="G82" i="1"/>
  <c r="G1100" i="1"/>
  <c r="G865" i="1"/>
  <c r="G1254" i="1"/>
  <c r="G724" i="1"/>
  <c r="G561" i="1"/>
  <c r="G1327" i="1"/>
  <c r="G1145" i="1"/>
  <c r="G578" i="1"/>
  <c r="G893" i="1"/>
  <c r="G1290" i="1"/>
  <c r="G988" i="1"/>
  <c r="G1187" i="1"/>
  <c r="G207" i="1"/>
  <c r="G599" i="1"/>
  <c r="G192" i="1"/>
  <c r="G1453" i="1"/>
  <c r="G6" i="1"/>
  <c r="G1494" i="1"/>
  <c r="G1443" i="1"/>
  <c r="G960" i="1"/>
  <c r="G1275" i="1"/>
  <c r="G1046" i="1"/>
  <c r="G1253" i="1"/>
  <c r="G1102" i="1"/>
  <c r="G1226" i="1"/>
  <c r="G792" i="1"/>
  <c r="G563" i="1"/>
  <c r="G502" i="1"/>
  <c r="G187" i="1"/>
  <c r="G868" i="1"/>
  <c r="G1455" i="1"/>
  <c r="G1111" i="1"/>
  <c r="G433" i="1"/>
  <c r="G1087" i="1"/>
  <c r="G1335" i="1"/>
  <c r="G447" i="1"/>
  <c r="G427" i="1"/>
  <c r="G810" i="1"/>
  <c r="G680" i="1"/>
  <c r="G294" i="1"/>
  <c r="G586" i="1"/>
  <c r="G1204" i="1"/>
  <c r="G544" i="1"/>
  <c r="G1121" i="1"/>
  <c r="G744" i="1"/>
  <c r="G915" i="1"/>
  <c r="G1364" i="1"/>
  <c r="G391" i="1"/>
  <c r="G532" i="1"/>
  <c r="G684" i="1"/>
  <c r="G1104" i="1"/>
  <c r="G682" i="1"/>
  <c r="G905" i="1"/>
  <c r="G210" i="1"/>
  <c r="G317" i="1"/>
  <c r="G1091" i="1"/>
  <c r="G416" i="1"/>
  <c r="G613" i="1"/>
  <c r="G326" i="1"/>
  <c r="G566" i="1"/>
  <c r="G101" i="1"/>
  <c r="G314" i="1"/>
  <c r="G1043" i="1"/>
  <c r="G24" i="1"/>
  <c r="G1400" i="1"/>
  <c r="G772" i="1"/>
  <c r="G1393" i="1"/>
  <c r="G969" i="1"/>
  <c r="G801" i="1"/>
  <c r="G494" i="1"/>
  <c r="G227" i="1"/>
  <c r="G1331" i="1"/>
  <c r="G1004" i="1"/>
  <c r="G642" i="1"/>
  <c r="G1105" i="1"/>
  <c r="G5" i="1"/>
  <c r="G612" i="1"/>
  <c r="G328" i="1"/>
  <c r="G571" i="1"/>
  <c r="G585" i="1"/>
  <c r="G840" i="1"/>
  <c r="G855" i="1"/>
  <c r="G116" i="1"/>
  <c r="G1248" i="1"/>
  <c r="G1347" i="1"/>
  <c r="G263" i="1"/>
  <c r="G1330" i="1"/>
  <c r="G634" i="1"/>
  <c r="G705" i="1"/>
  <c r="G347" i="1"/>
  <c r="G796" i="1"/>
  <c r="G389" i="1"/>
  <c r="G1115" i="1"/>
  <c r="G46" i="1"/>
  <c r="G1047" i="1"/>
  <c r="G441" i="1"/>
  <c r="G245" i="1"/>
  <c r="G685" i="1"/>
  <c r="G247" i="1"/>
  <c r="G1546" i="1"/>
  <c r="G531" i="1"/>
  <c r="G1125" i="1"/>
  <c r="G664" i="1"/>
  <c r="G19" i="1"/>
  <c r="G885" i="1"/>
  <c r="G589" i="1"/>
  <c r="G790" i="1"/>
  <c r="G222" i="1"/>
  <c r="G1503" i="1"/>
  <c r="G13" i="1"/>
  <c r="G1388" i="1"/>
  <c r="G1493" i="1"/>
  <c r="G455" i="1"/>
  <c r="G797" i="1"/>
  <c r="G735" i="1"/>
  <c r="G721" i="1"/>
  <c r="G336" i="1"/>
  <c r="G623" i="1"/>
  <c r="G1551" i="1"/>
  <c r="G1458" i="1"/>
  <c r="G110" i="1"/>
  <c r="G1477" i="1"/>
  <c r="G1376" i="1"/>
  <c r="G1138" i="1"/>
  <c r="G1119" i="1"/>
  <c r="G105" i="1"/>
  <c r="G152" i="1"/>
  <c r="G1037" i="1"/>
  <c r="G1302" i="1"/>
  <c r="G559" i="1"/>
  <c r="G1486" i="1"/>
  <c r="G249" i="1"/>
  <c r="G341" i="1"/>
  <c r="G629" i="1"/>
  <c r="G932" i="1"/>
  <c r="G1109" i="1"/>
  <c r="G958" i="1"/>
  <c r="G1508" i="1"/>
  <c r="G644" i="1"/>
  <c r="G707" i="1"/>
  <c r="G903" i="1"/>
  <c r="G784" i="1"/>
  <c r="G1501" i="1"/>
  <c r="G1070" i="1"/>
  <c r="G212" i="1"/>
  <c r="G338" i="1"/>
  <c r="G1401" i="1"/>
  <c r="G471" i="1"/>
  <c r="G142" i="1"/>
  <c r="G930" i="1"/>
  <c r="G719" i="1"/>
  <c r="G1404" i="1"/>
  <c r="G298" i="1"/>
  <c r="G1155" i="1"/>
  <c r="G1161" i="1"/>
  <c r="G148" i="1"/>
  <c r="G396" i="1"/>
  <c r="G560" i="1"/>
  <c r="G892" i="1"/>
  <c r="G582" i="1"/>
  <c r="G1041" i="1"/>
  <c r="G1395" i="1"/>
  <c r="G1008" i="1"/>
  <c r="G1168" i="1"/>
  <c r="G974" i="1"/>
  <c r="G1379" i="1"/>
  <c r="G257" i="1"/>
  <c r="G162" i="1"/>
  <c r="G1363" i="1"/>
  <c r="G1514" i="1"/>
  <c r="G79" i="1"/>
  <c r="G1370" i="1"/>
  <c r="G794" i="1"/>
  <c r="G620" i="1"/>
  <c r="G1238" i="1"/>
  <c r="G607" i="1"/>
  <c r="G237" i="1"/>
  <c r="G896" i="1"/>
  <c r="G1375" i="1"/>
  <c r="G459" i="1"/>
  <c r="G1158" i="1"/>
  <c r="G31" i="1"/>
  <c r="G337" i="1"/>
  <c r="G717" i="1"/>
  <c r="G11" i="1"/>
  <c r="G1135" i="1"/>
  <c r="G1532" i="1"/>
  <c r="G1447" i="1"/>
  <c r="G920" i="1"/>
  <c r="G626" i="1"/>
  <c r="G551" i="1"/>
  <c r="G205" i="1"/>
  <c r="G937" i="1"/>
  <c r="G75" i="1"/>
  <c r="G375" i="1"/>
  <c r="G448" i="1"/>
  <c r="G1361" i="1"/>
  <c r="G359" i="1"/>
  <c r="G491" i="1"/>
  <c r="G580" i="1"/>
  <c r="G788" i="1"/>
  <c r="G378" i="1"/>
  <c r="G1480" i="1"/>
  <c r="G517" i="1"/>
  <c r="G1152" i="1"/>
  <c r="G1283" i="1"/>
  <c r="G118" i="1"/>
  <c r="G236" i="1"/>
  <c r="G1358" i="1"/>
  <c r="G195" i="1"/>
  <c r="G487" i="1"/>
  <c r="G1277" i="1"/>
  <c r="G1355" i="1"/>
  <c r="G511" i="1"/>
  <c r="G57" i="1"/>
  <c r="G1113" i="1"/>
  <c r="G466" i="1"/>
  <c r="G540" i="1"/>
  <c r="G916" i="1"/>
  <c r="G270" i="1"/>
  <c r="G961" i="1"/>
  <c r="G873" i="1"/>
  <c r="G17" i="1"/>
  <c r="G572" i="1"/>
  <c r="G793" i="1"/>
  <c r="G1552" i="1"/>
  <c r="G628" i="1"/>
  <c r="G324" i="1"/>
  <c r="G1010" i="1"/>
  <c r="G434" i="1"/>
  <c r="G666" i="1"/>
  <c r="G813" i="1"/>
  <c r="G220" i="1"/>
  <c r="G1417" i="1"/>
  <c r="G1092" i="1"/>
  <c r="G231" i="1"/>
  <c r="G490" i="1"/>
  <c r="G1098" i="1"/>
  <c r="G1227" i="1"/>
  <c r="G1319" i="1"/>
  <c r="G1180" i="1"/>
  <c r="G1030" i="1"/>
  <c r="G513" i="1"/>
  <c r="G764" i="1"/>
  <c r="G325" i="1"/>
  <c r="G782" i="1"/>
  <c r="G1543" i="1"/>
  <c r="G74" i="1"/>
  <c r="G654" i="1"/>
  <c r="G943" i="1"/>
  <c r="G354" i="1"/>
  <c r="G1315" i="1"/>
  <c r="G598" i="1"/>
  <c r="G929" i="1"/>
  <c r="G854" i="1"/>
  <c r="G1344" i="1"/>
  <c r="G1007" i="1"/>
  <c r="G609" i="1"/>
  <c r="G333" i="1"/>
  <c r="G1373" i="1"/>
  <c r="G1386" i="1"/>
  <c r="G78" i="1"/>
  <c r="G38" i="1"/>
  <c r="G180" i="1"/>
  <c r="G41" i="1"/>
  <c r="G754" i="1"/>
  <c r="G166" i="1"/>
  <c r="G128" i="1"/>
  <c r="G592" i="1"/>
  <c r="G1211" i="1"/>
  <c r="G1085" i="1"/>
  <c r="G814" i="1"/>
  <c r="G950" i="1"/>
  <c r="G841" i="1"/>
  <c r="G413" i="1"/>
  <c r="G84" i="1"/>
  <c r="G1193" i="1"/>
  <c r="G1031" i="1"/>
  <c r="G481" i="1"/>
  <c r="G411" i="1"/>
  <c r="G597" i="1"/>
  <c r="G404" i="1"/>
  <c r="G500" i="1"/>
  <c r="G98" i="1"/>
  <c r="G155" i="1"/>
  <c r="G1177" i="1"/>
  <c r="G594" i="1"/>
  <c r="G1263" i="1"/>
  <c r="G1339" i="1"/>
  <c r="G968" i="1"/>
  <c r="G975" i="1"/>
  <c r="G1397" i="1"/>
  <c r="G193" i="1"/>
  <c r="G1509" i="1"/>
  <c r="G651" i="1"/>
  <c r="G1550" i="1"/>
  <c r="G1506" i="1"/>
  <c r="G1033" i="1"/>
  <c r="G1438" i="1"/>
  <c r="G1019" i="1"/>
  <c r="G1317" i="1"/>
  <c r="G238" i="1"/>
  <c r="G1018" i="1"/>
  <c r="G647" i="1"/>
  <c r="G775" i="1"/>
  <c r="G1042" i="1"/>
  <c r="G1185" i="1"/>
  <c r="G1326" i="1"/>
  <c r="G463" i="1"/>
  <c r="G1028" i="1"/>
  <c r="G1223" i="1"/>
  <c r="G1528" i="1"/>
  <c r="G967" i="1"/>
  <c r="G837" i="1"/>
  <c r="G62" i="1"/>
  <c r="G291" i="1"/>
  <c r="G833" i="1"/>
  <c r="G415" i="1"/>
  <c r="G1151" i="1"/>
  <c r="G100" i="1"/>
  <c r="G979" i="1"/>
  <c r="G957" i="1"/>
  <c r="G1167" i="1"/>
  <c r="G508" i="1"/>
  <c r="G1427" i="1"/>
  <c r="G541" i="1"/>
  <c r="G1303" i="1"/>
  <c r="G73" i="1"/>
  <c r="G1034" i="1"/>
  <c r="G67" i="1"/>
  <c r="G83" i="1"/>
  <c r="G343" i="1"/>
  <c r="G962" i="1"/>
  <c r="G759" i="1"/>
  <c r="G512" i="1"/>
  <c r="G50" i="1"/>
  <c r="G779" i="1"/>
  <c r="G1536" i="1"/>
  <c r="G327" i="1"/>
  <c r="G194" i="1"/>
  <c r="G51" i="1"/>
  <c r="G1191" i="1"/>
  <c r="G681" i="1"/>
  <c r="G731" i="1"/>
  <c r="G1491" i="1"/>
  <c r="G275" i="1"/>
  <c r="G221" i="1"/>
  <c r="G867" i="1"/>
  <c r="G665" i="1"/>
  <c r="G1442" i="1"/>
  <c r="G1012" i="1"/>
  <c r="G826" i="1"/>
  <c r="G113" i="1"/>
  <c r="G295" i="1"/>
  <c r="G393" i="1"/>
  <c r="G4" i="1"/>
  <c r="G358" i="1"/>
  <c r="G1067" i="1"/>
  <c r="G1280" i="1"/>
  <c r="G1499" i="1"/>
  <c r="G296" i="1"/>
  <c r="G1415" i="1"/>
  <c r="G480" i="1"/>
  <c r="G820" i="1"/>
  <c r="G608" i="1"/>
  <c r="G1134" i="1"/>
  <c r="G874" i="1"/>
  <c r="G1131" i="1"/>
  <c r="G1259" i="1"/>
  <c r="G301" i="1"/>
  <c r="G834" i="1"/>
  <c r="G1510" i="1"/>
  <c r="G603" i="1"/>
  <c r="G382" i="1"/>
  <c r="G366" i="1"/>
  <c r="G280" i="1"/>
  <c r="G1243" i="1"/>
  <c r="G1522" i="1"/>
  <c r="G1413" i="1"/>
  <c r="G606" i="1"/>
  <c r="G25" i="1"/>
  <c r="G387" i="1"/>
  <c r="G745" i="1"/>
  <c r="G384" i="1"/>
  <c r="G1179" i="1"/>
  <c r="G1267" i="1"/>
  <c r="G688" i="1"/>
  <c r="G446" i="1"/>
  <c r="G816" i="1"/>
  <c r="G304" i="1"/>
  <c r="G641" i="1"/>
  <c r="G58" i="1"/>
  <c r="G1353" i="1"/>
  <c r="G1351" i="1"/>
  <c r="G538" i="1"/>
  <c r="G702" i="1"/>
  <c r="G59" i="1"/>
  <c r="G1276" i="1"/>
  <c r="G476" i="1"/>
  <c r="G244" i="1"/>
  <c r="G677" i="1"/>
  <c r="G1083" i="1"/>
  <c r="G7" i="1"/>
  <c r="G1476" i="1"/>
  <c r="G1271" i="1"/>
  <c r="G913" i="1"/>
  <c r="G1116" i="1"/>
  <c r="G728" i="1"/>
  <c r="G675" i="1"/>
  <c r="G939" i="1"/>
  <c r="G518" i="1"/>
  <c r="G992" i="1"/>
  <c r="G659" i="1"/>
  <c r="G421" i="1"/>
  <c r="G1251" i="1"/>
  <c r="G703" i="1"/>
  <c r="G1403" i="1"/>
  <c r="G106" i="1"/>
  <c r="G978" i="1"/>
  <c r="G1520" i="1"/>
  <c r="G726" i="1"/>
  <c r="G711" i="1"/>
  <c r="G345" i="1"/>
  <c r="G1492" i="1"/>
  <c r="G887" i="1"/>
  <c r="G265" i="1"/>
  <c r="G821" i="1"/>
  <c r="G1088" i="1"/>
  <c r="G870" i="1"/>
  <c r="G1437" i="1"/>
  <c r="G894" i="1"/>
  <c r="G1260" i="1"/>
  <c r="G22" i="1"/>
  <c r="G489" i="1"/>
  <c r="G159" i="1"/>
  <c r="G712" i="1"/>
  <c r="G289" i="1"/>
  <c r="G1118" i="1"/>
  <c r="G739" i="1"/>
  <c r="G842" i="1"/>
  <c r="G1048" i="1"/>
  <c r="G880" i="1"/>
  <c r="G605" i="1"/>
  <c r="G302" i="1"/>
  <c r="G1535" i="1"/>
  <c r="G445" i="1"/>
  <c r="G1516" i="1"/>
  <c r="G365" i="1"/>
  <c r="G1166" i="1"/>
  <c r="G351" i="1"/>
  <c r="G526" i="1"/>
  <c r="G1165" i="1"/>
  <c r="G693" i="1"/>
  <c r="G371" i="1"/>
  <c r="G901" i="1"/>
  <c r="G1548" i="1"/>
  <c r="G1474" i="1"/>
  <c r="G1032" i="1"/>
  <c r="G776" i="1"/>
  <c r="G96" i="1"/>
  <c r="G200" i="1"/>
  <c r="G164" i="1"/>
  <c r="G1446" i="1"/>
  <c r="G485" i="1"/>
  <c r="G133" i="1"/>
  <c r="G710" i="1"/>
  <c r="G1466" i="1"/>
  <c r="G49" i="1"/>
  <c r="G1097" i="1"/>
  <c r="G1197" i="1"/>
  <c r="G548" i="1"/>
  <c r="G63" i="1"/>
  <c r="G1338" i="1"/>
  <c r="G990" i="1"/>
  <c r="G940" i="1"/>
  <c r="G497" i="1"/>
  <c r="G827" i="1"/>
  <c r="G882" i="1"/>
  <c r="G1399" i="1"/>
  <c r="G1159" i="1"/>
  <c r="G786" i="1"/>
  <c r="G863" i="1"/>
  <c r="G488" i="1"/>
  <c r="G1537" i="1"/>
  <c r="G575" i="1"/>
  <c r="G340" i="1"/>
  <c r="G542" i="1"/>
  <c r="G933" i="1"/>
  <c r="G1198" i="1"/>
  <c r="G1423" i="1"/>
  <c r="G1090" i="1"/>
  <c r="G412" i="1"/>
  <c r="G1045" i="1"/>
  <c r="G1269" i="1"/>
  <c r="G1410" i="1"/>
  <c r="G146" i="1"/>
  <c r="G1015" i="1"/>
  <c r="G1362" i="1"/>
  <c r="G1357" i="1"/>
  <c r="G591" i="1"/>
  <c r="G178" i="1"/>
  <c r="G787" i="1"/>
  <c r="G141" i="1"/>
  <c r="G109" i="1"/>
  <c r="G1407" i="1"/>
  <c r="G1117" i="1"/>
  <c r="G729" i="1"/>
  <c r="G467" i="1"/>
  <c r="G1221" i="1"/>
  <c r="G1069" i="1"/>
  <c r="G381" i="1"/>
  <c r="G1150" i="1"/>
  <c r="G1268" i="1"/>
  <c r="G888" i="1"/>
  <c r="G1130" i="1"/>
  <c r="G927" i="1"/>
  <c r="G273" i="1"/>
  <c r="G804" i="1"/>
  <c r="G40" i="1"/>
  <c r="G1451" i="1"/>
  <c r="G1149" i="1"/>
  <c r="G190" i="1"/>
  <c r="G812" i="1"/>
  <c r="G1235" i="1"/>
  <c r="G70" i="1"/>
  <c r="G714" i="1"/>
  <c r="G733" i="1"/>
  <c r="G1014" i="1"/>
  <c r="G931" i="1"/>
  <c r="G1340" i="1"/>
  <c r="G94" i="1"/>
  <c r="G911" i="1"/>
  <c r="G1162" i="1"/>
  <c r="G1148" i="1"/>
  <c r="G1060" i="1"/>
  <c r="G1056" i="1"/>
  <c r="G262" i="1"/>
  <c r="G1208" i="1"/>
  <c r="G1181" i="1"/>
  <c r="G1396" i="1"/>
  <c r="G183" i="1"/>
  <c r="G1511" i="1"/>
  <c r="G1495" i="1"/>
  <c r="G89" i="1"/>
  <c r="G329" i="1"/>
  <c r="G771" i="1"/>
  <c r="G168" i="1"/>
  <c r="G474" i="1"/>
  <c r="G444" i="1"/>
  <c r="G1434" i="1"/>
  <c r="G1485" i="1"/>
  <c r="G1144" i="1"/>
  <c r="G1124" i="1"/>
  <c r="G1257" i="1"/>
  <c r="G545" i="1"/>
  <c r="G388" i="1"/>
  <c r="G1076" i="1"/>
  <c r="G610" i="1"/>
  <c r="G1306" i="1"/>
  <c r="G1406" i="1"/>
  <c r="G955" i="1"/>
  <c r="G215" i="1"/>
  <c r="G1325" i="1"/>
  <c r="G1123" i="1"/>
  <c r="G521" i="1"/>
  <c r="G1262" i="1"/>
  <c r="G1236" i="1"/>
  <c r="G196" i="1"/>
  <c r="G938" i="1"/>
  <c r="G335" i="1"/>
  <c r="G224" i="1"/>
  <c r="G1079" i="1"/>
  <c r="G656" i="1"/>
  <c r="G498" i="1"/>
  <c r="G921" i="1"/>
  <c r="G246" i="1"/>
  <c r="G528" i="1"/>
  <c r="G858" i="1"/>
  <c r="G1218" i="1"/>
  <c r="G862" i="1"/>
  <c r="G362" i="1"/>
  <c r="G1295" i="1"/>
  <c r="G1232" i="1"/>
  <c r="G616" i="1"/>
  <c r="G836" i="1"/>
  <c r="G439" i="1"/>
  <c r="G1081" i="1"/>
  <c r="G156" i="1"/>
  <c r="G1394" i="1"/>
  <c r="G1075" i="1"/>
  <c r="G69" i="1"/>
  <c r="G1294" i="1"/>
  <c r="G452" i="1"/>
  <c r="G980" i="1"/>
  <c r="G1309" i="1"/>
  <c r="G161" i="1"/>
  <c r="G625" i="1"/>
  <c r="G306" i="1"/>
  <c r="G752" i="1"/>
  <c r="G60" i="1"/>
  <c r="G516" i="1"/>
  <c r="G1206" i="1"/>
  <c r="G1089" i="1"/>
  <c r="G111" i="1"/>
  <c r="G462" i="1"/>
  <c r="G832" i="1"/>
  <c r="G730" i="1"/>
  <c r="G645" i="1"/>
  <c r="G72" i="1"/>
  <c r="G624" i="1"/>
  <c r="G147" i="1"/>
  <c r="G197" i="1"/>
  <c r="G530" i="1"/>
  <c r="G76" i="1"/>
  <c r="G1523" i="1"/>
  <c r="G780" i="1"/>
  <c r="G16" i="1"/>
  <c r="G1107" i="1"/>
  <c r="G1420" i="1"/>
  <c r="G653" i="1"/>
  <c r="G125" i="1"/>
  <c r="G216" i="1"/>
  <c r="G649" i="1"/>
  <c r="G1122" i="1"/>
  <c r="G678" i="1"/>
  <c r="G250" i="1"/>
  <c r="G823" i="1"/>
  <c r="G199" i="1"/>
  <c r="G506" i="1"/>
  <c r="G226" i="1"/>
  <c r="G167" i="1"/>
  <c r="G402" i="1"/>
  <c r="G456" i="1"/>
  <c r="G93" i="1"/>
  <c r="G1350" i="1"/>
  <c r="G479" i="1"/>
  <c r="G278" i="1"/>
  <c r="G869" i="1"/>
  <c r="G405" i="1"/>
  <c r="G1261" i="1"/>
  <c r="G828" i="1"/>
  <c r="G1324" i="1"/>
  <c r="G321" i="1"/>
  <c r="G1526" i="1"/>
  <c r="G881" i="1"/>
  <c r="G993" i="1"/>
  <c r="G319" i="1"/>
  <c r="G746" i="1"/>
  <c r="G92" i="1"/>
  <c r="G426" i="1"/>
  <c r="G1229" i="1"/>
  <c r="G1216" i="1"/>
  <c r="G1278" i="1"/>
  <c r="G339" i="1"/>
  <c r="G1039" i="1"/>
  <c r="G635" i="1"/>
  <c r="G281" i="1"/>
  <c r="G217" i="1"/>
  <c r="G1073" i="1"/>
  <c r="G765" i="1"/>
  <c r="G1059" i="1"/>
  <c r="G663" i="1"/>
  <c r="G1074" i="1"/>
  <c r="G1374" i="1"/>
  <c r="G1066" i="1"/>
  <c r="G1392" i="1"/>
  <c r="G1515" i="1"/>
  <c r="G172" i="1"/>
  <c r="G134" i="1"/>
  <c r="G1053" i="1"/>
  <c r="G1457" i="1"/>
  <c r="G789" i="1"/>
  <c r="G1108" i="1"/>
  <c r="G1025" i="1"/>
  <c r="G679" i="1"/>
  <c r="G1086" i="1"/>
  <c r="G1129" i="1"/>
  <c r="G201" i="1"/>
  <c r="G315" i="1"/>
  <c r="G741" i="1"/>
  <c r="G1530" i="1"/>
  <c r="G258" i="1"/>
  <c r="G1346" i="1"/>
  <c r="G43" i="1"/>
  <c r="G1101" i="1"/>
  <c r="G1478" i="1"/>
  <c r="G1154" i="1"/>
  <c r="G587" i="1"/>
  <c r="G1384" i="1"/>
  <c r="G769" i="1"/>
  <c r="G1467" i="1"/>
  <c r="G1498" i="1"/>
  <c r="G453" i="1"/>
  <c r="G1126" i="1"/>
  <c r="G1463" i="1"/>
  <c r="G534" i="1"/>
  <c r="G643" i="1"/>
  <c r="G1170" i="1"/>
  <c r="G1441" i="1"/>
  <c r="G1513" i="1"/>
  <c r="G122" i="1"/>
  <c r="G204" i="1"/>
  <c r="G1541" i="1"/>
  <c r="G274" i="1"/>
  <c r="G1416" i="1"/>
  <c r="G819" i="1"/>
  <c r="G1077" i="1"/>
  <c r="G260" i="1"/>
  <c r="G115" i="1"/>
  <c r="G305" i="1"/>
  <c r="G239" i="1"/>
  <c r="G380" i="1"/>
  <c r="G1274" i="1"/>
  <c r="G637" i="1"/>
  <c r="G264" i="1"/>
  <c r="G720" i="1"/>
  <c r="G1352" i="1"/>
  <c r="G1471" i="1"/>
  <c r="G825" i="1"/>
  <c r="G861" i="1"/>
  <c r="G1192" i="1"/>
  <c r="G286" i="1"/>
  <c r="G692" i="1"/>
  <c r="G1065" i="1"/>
  <c r="G423" i="1"/>
  <c r="G1323" i="1"/>
  <c r="G1021" i="1"/>
  <c r="G1426" i="1"/>
  <c r="G1246" i="1"/>
  <c r="G1027" i="1"/>
  <c r="G1444" i="1"/>
  <c r="G1003" i="1"/>
  <c r="G1245" i="1"/>
  <c r="G1214" i="1"/>
  <c r="G454" i="1"/>
  <c r="G499" i="1"/>
  <c r="G77" i="1"/>
  <c r="G219" i="1"/>
  <c r="G1329" i="1"/>
  <c r="G1382" i="1"/>
  <c r="G811" i="1"/>
  <c r="G704" i="1"/>
  <c r="G311" i="1"/>
  <c r="G450" i="1"/>
  <c r="G352" i="1"/>
  <c r="G806" i="1"/>
  <c r="G1310" i="1"/>
  <c r="G145" i="1"/>
  <c r="G464" i="1"/>
  <c r="G253" i="1"/>
  <c r="G182" i="1"/>
  <c r="G581" i="1"/>
  <c r="G1203" i="1"/>
  <c r="G392" i="1"/>
  <c r="G1524" i="1"/>
  <c r="G1006" i="1"/>
  <c r="G1055" i="1"/>
  <c r="G140" i="1"/>
  <c r="G966" i="1"/>
  <c r="G202" i="1"/>
  <c r="G268" i="1"/>
  <c r="G1496" i="1"/>
  <c r="G890" i="1"/>
  <c r="G601" i="1"/>
  <c r="G53" i="1"/>
  <c r="G1071" i="1"/>
  <c r="G900" i="1"/>
  <c r="G550" i="1"/>
  <c r="G409" i="1"/>
  <c r="G29" i="1"/>
  <c r="G119" i="1"/>
  <c r="G912" i="1"/>
  <c r="G486" i="1"/>
  <c r="G1038" i="1"/>
  <c r="G614" i="1"/>
  <c r="G399" i="1"/>
  <c r="G891" i="1"/>
  <c r="G1279" i="1"/>
  <c r="G971" i="1"/>
  <c r="G760" i="1"/>
  <c r="G437" i="1"/>
  <c r="G1377" i="1"/>
  <c r="G114" i="1"/>
  <c r="G1153" i="1"/>
  <c r="G701" i="1"/>
  <c r="G1545" i="1"/>
  <c r="G1525" i="1"/>
  <c r="G334" i="1"/>
  <c r="G844" i="1"/>
  <c r="G683" i="1"/>
  <c r="G293" i="1"/>
  <c r="G783" i="1"/>
  <c r="G149" i="1"/>
  <c r="G699" i="1"/>
  <c r="G9" i="1"/>
  <c r="G640" i="1"/>
  <c r="G1301" i="1"/>
  <c r="G469" i="1"/>
  <c r="G451" i="1"/>
  <c r="G438" i="1"/>
  <c r="G1219" i="1"/>
  <c r="G562" i="1"/>
  <c r="G756" i="1"/>
  <c r="G318" i="1"/>
  <c r="G39" i="1"/>
  <c r="G1529" i="1"/>
  <c r="G1308" i="1"/>
  <c r="G1026" i="1"/>
  <c r="G1368" i="1"/>
  <c r="G1483" i="1"/>
  <c r="G883" i="1"/>
  <c r="G191" i="1"/>
  <c r="G1540" i="1"/>
  <c r="G846" i="1"/>
  <c r="G1488" i="1"/>
  <c r="G1456" i="1"/>
  <c r="G1001" i="1"/>
  <c r="G213" i="1"/>
  <c r="G414" i="1"/>
  <c r="G690" i="1"/>
  <c r="G108" i="1"/>
  <c r="G313" i="1"/>
  <c r="G853" i="1"/>
  <c r="G907" i="1"/>
  <c r="G740" i="1"/>
  <c r="G1233" i="1"/>
  <c r="G622" i="1"/>
  <c r="G818" i="1"/>
  <c r="G230" i="1"/>
  <c r="G1231" i="1"/>
  <c r="G984" i="1"/>
  <c r="G697" i="1"/>
  <c r="G1094" i="1"/>
  <c r="G1422" i="1"/>
  <c r="G1533" i="1"/>
  <c r="G533" i="1"/>
  <c r="G1298" i="1"/>
  <c r="G956" i="1"/>
  <c r="G1405" i="1"/>
  <c r="G596" i="1"/>
  <c r="G1136" i="1"/>
  <c r="G395" i="1"/>
  <c r="G537" i="1"/>
  <c r="G1103" i="1"/>
  <c r="G410" i="1"/>
  <c r="G283" i="1"/>
  <c r="G1249" i="1"/>
  <c r="G798" i="1"/>
  <c r="G773" i="1"/>
  <c r="G942" i="1"/>
  <c r="G136" i="1"/>
  <c r="G973" i="1"/>
  <c r="G361" i="1"/>
  <c r="G174" i="1"/>
  <c r="G1029" i="1"/>
  <c r="G824" i="1"/>
  <c r="G965" i="1"/>
  <c r="G700" i="1"/>
  <c r="G1321" i="1"/>
  <c r="G669" i="1"/>
  <c r="G1539" i="1"/>
  <c r="G949" i="1"/>
  <c r="G442" i="1"/>
  <c r="G1205" i="1"/>
  <c r="G1240" i="1"/>
  <c r="G919" i="1"/>
  <c r="G1418" i="1"/>
  <c r="G1435" i="1"/>
  <c r="G982" i="1"/>
  <c r="G131" i="1"/>
  <c r="G37" i="1"/>
  <c r="G972" i="1"/>
  <c r="G917" i="1"/>
  <c r="G737" i="1"/>
  <c r="G424" i="1"/>
  <c r="G10" i="1"/>
  <c r="G897" i="1"/>
  <c r="G1050" i="1"/>
  <c r="G208" i="1"/>
  <c r="G859" i="1"/>
  <c r="G661" i="1"/>
  <c r="G944" i="1"/>
  <c r="G1127" i="1"/>
  <c r="G1242" i="1"/>
  <c r="G1411" i="1"/>
  <c r="G574" i="1"/>
  <c r="G235" i="1"/>
  <c r="G1452" i="1"/>
  <c r="G379" i="1"/>
  <c r="G662" i="1"/>
  <c r="G655" i="1"/>
  <c r="G449" i="1"/>
  <c r="G401" i="1"/>
  <c r="G143" i="1"/>
  <c r="G320" i="1"/>
  <c r="G602" i="1"/>
  <c r="G569" i="1"/>
  <c r="G884" i="1"/>
  <c r="G1307" i="1"/>
  <c r="G255" i="1"/>
  <c r="G723" i="1"/>
  <c r="G1044" i="1"/>
  <c r="G1196" i="1"/>
  <c r="G1316" i="1"/>
  <c r="G1156" i="1"/>
  <c r="G660" i="1"/>
  <c r="G878" i="1"/>
  <c r="G2" i="1"/>
  <c r="G505" i="1"/>
  <c r="G1479" i="1"/>
  <c r="G28" i="1"/>
  <c r="G1366" i="1"/>
  <c r="G657" i="1"/>
  <c r="G1183" i="1"/>
  <c r="G985" i="1"/>
  <c r="G904" i="1"/>
  <c r="G879" i="1"/>
  <c r="G163" i="1"/>
  <c r="G331" i="1"/>
  <c r="G725" i="1"/>
  <c r="G418" i="1"/>
  <c r="G353" i="1"/>
  <c r="G1348" i="1"/>
  <c r="G672" i="1"/>
  <c r="G42" i="1"/>
  <c r="G1553" i="1"/>
  <c r="G169" i="1"/>
  <c r="G1305" i="1"/>
  <c r="G1286" i="1"/>
  <c r="G1490" i="1"/>
  <c r="G617" i="1"/>
  <c r="G1544" i="1"/>
  <c r="G791" i="1"/>
  <c r="G576" i="1"/>
  <c r="G1078" i="1"/>
  <c r="G547" i="1"/>
  <c r="G774" i="1"/>
  <c r="C1217" i="1"/>
  <c r="C747" i="1"/>
  <c r="C686" i="1"/>
  <c r="C254" i="1"/>
  <c r="C753" i="1"/>
  <c r="C171" i="1"/>
  <c r="C525" i="1"/>
  <c r="C1258" i="1"/>
  <c r="C1084" i="1"/>
  <c r="C45" i="1"/>
  <c r="C88" i="1"/>
  <c r="C139" i="1"/>
  <c r="C81" i="1"/>
  <c r="C165" i="1"/>
  <c r="C1157" i="1"/>
  <c r="C766" i="1"/>
  <c r="C44" i="1"/>
  <c r="C1527" i="1"/>
  <c r="C577" i="1"/>
  <c r="C1120" i="1"/>
  <c r="C135" i="1"/>
  <c r="C398" i="1"/>
  <c r="C203" i="1"/>
  <c r="C1505" i="1"/>
  <c r="C1210" i="1"/>
  <c r="C132" i="1"/>
  <c r="C483" i="1"/>
  <c r="C1328" i="1"/>
  <c r="C218" i="1"/>
  <c r="C138" i="1"/>
  <c r="C1068" i="1"/>
  <c r="C822" i="1"/>
  <c r="C54" i="1"/>
  <c r="C468" i="1"/>
  <c r="C781" i="1"/>
  <c r="C1002" i="1"/>
  <c r="C1428" i="1"/>
  <c r="C600" i="1"/>
  <c r="C1058" i="1"/>
  <c r="C223" i="1"/>
  <c r="C173" i="1"/>
  <c r="C1040" i="1"/>
  <c r="C357" i="1"/>
  <c r="C123" i="1"/>
  <c r="C271" i="1"/>
  <c r="C1507" i="1"/>
  <c r="C64" i="1"/>
  <c r="C996" i="1"/>
  <c r="C97" i="1"/>
  <c r="C1188" i="1"/>
  <c r="C1224" i="1"/>
  <c r="C1472" i="1"/>
  <c r="C428" i="1"/>
  <c r="C240" i="1"/>
  <c r="C1049" i="1"/>
  <c r="C1095" i="1"/>
  <c r="C1266" i="1"/>
  <c r="C1371" i="1"/>
  <c r="C356" i="1"/>
  <c r="C948" i="1"/>
  <c r="C144" i="1"/>
  <c r="C519" i="1"/>
  <c r="C1502" i="1"/>
  <c r="C458" i="1"/>
  <c r="C26" i="1"/>
  <c r="C630" i="1"/>
  <c r="C953" i="1"/>
  <c r="C899" i="1"/>
  <c r="C875" i="1"/>
  <c r="C52" i="1"/>
  <c r="C1013" i="1"/>
  <c r="C627" i="1"/>
  <c r="C1146" i="1"/>
  <c r="C1169" i="1"/>
  <c r="C750" i="1"/>
  <c r="C1547" i="1"/>
  <c r="C553" i="1"/>
  <c r="C346" i="1"/>
  <c r="C27" i="1"/>
  <c r="C1304" i="1"/>
  <c r="C473" i="1"/>
  <c r="C1237" i="1"/>
  <c r="C945" i="1"/>
  <c r="C1289" i="1"/>
  <c r="C568" i="1"/>
  <c r="C1250" i="1"/>
  <c r="C509" i="1"/>
  <c r="C1173" i="1"/>
  <c r="C1190" i="1"/>
  <c r="C1036" i="1"/>
  <c r="C1462" i="1"/>
  <c r="C715" i="1"/>
  <c r="C1414" i="1"/>
  <c r="C160" i="1"/>
  <c r="C15" i="1"/>
  <c r="C1172" i="1"/>
  <c r="C1061" i="1"/>
  <c r="C420" i="1"/>
  <c r="C652" i="1"/>
  <c r="C234" i="1"/>
  <c r="C639" i="1"/>
  <c r="C1380" i="1"/>
  <c r="C34" i="1"/>
  <c r="C748" i="1"/>
  <c r="C436" i="1"/>
  <c r="C839" i="1"/>
  <c r="C1439" i="1"/>
  <c r="C1200" i="1"/>
  <c r="C851" i="1"/>
  <c r="C1412" i="1"/>
  <c r="C158" i="1"/>
  <c r="C925" i="1"/>
  <c r="C866" i="1"/>
  <c r="C150" i="1"/>
  <c r="C267" i="1"/>
  <c r="C170" i="1"/>
  <c r="C323" i="1"/>
  <c r="C312" i="1"/>
  <c r="C65" i="1"/>
  <c r="C1381" i="1"/>
  <c r="C1174" i="1"/>
  <c r="C504" i="1"/>
  <c r="C778" i="1"/>
  <c r="C189" i="1"/>
  <c r="C1341" i="1"/>
  <c r="C279" i="1"/>
  <c r="C33" i="1"/>
  <c r="C432" i="1"/>
  <c r="C1080" i="1"/>
  <c r="C727" i="1"/>
  <c r="C749" i="1"/>
  <c r="C377" i="1"/>
  <c r="C1005" i="1"/>
  <c r="C85" i="1"/>
  <c r="C397" i="1"/>
  <c r="C847" i="1"/>
  <c r="C964" i="1"/>
  <c r="C1164" i="1"/>
  <c r="C963" i="1"/>
  <c r="C1230" i="1"/>
  <c r="C406" i="1"/>
  <c r="C56" i="1"/>
  <c r="C370" i="1"/>
  <c r="C946" i="1"/>
  <c r="C299" i="1"/>
  <c r="C1035" i="1"/>
  <c r="C1389" i="1"/>
  <c r="C68" i="1"/>
  <c r="C1114" i="1"/>
  <c r="C1293" i="1"/>
  <c r="C889" i="1"/>
  <c r="C472" i="1"/>
  <c r="C802" i="1"/>
  <c r="C520" i="1"/>
  <c r="C211" i="1"/>
  <c r="C1419" i="1"/>
  <c r="C934" i="1"/>
  <c r="C1239" i="1"/>
  <c r="C290" i="1"/>
  <c r="C440" i="1"/>
  <c r="C443" i="1"/>
  <c r="C908" i="1"/>
  <c r="C1425" i="1"/>
  <c r="C300" i="1"/>
  <c r="C1482" i="1"/>
  <c r="C1285" i="1"/>
  <c r="C21" i="1"/>
  <c r="C153" i="1"/>
  <c r="C546" i="1"/>
  <c r="C460" i="1"/>
  <c r="C332" i="1"/>
  <c r="C767" i="1"/>
  <c r="C954" i="1"/>
  <c r="C1517" i="1"/>
  <c r="C579" i="1"/>
  <c r="C367" i="1"/>
  <c r="C981" i="1"/>
  <c r="C1318" i="1"/>
  <c r="C1228" i="1"/>
  <c r="C573" i="1"/>
  <c r="C374" i="1"/>
  <c r="C1292" i="1"/>
  <c r="C422" i="1"/>
  <c r="C1182" i="1"/>
  <c r="C330" i="1"/>
  <c r="C475" i="1"/>
  <c r="C1313" i="1"/>
  <c r="C1000" i="1"/>
  <c r="C470" i="1"/>
  <c r="C461" i="1"/>
  <c r="C850" i="1"/>
  <c r="C344" i="1"/>
  <c r="C1244" i="1"/>
  <c r="C552" i="1"/>
  <c r="C307" i="1"/>
  <c r="C1297" i="1"/>
  <c r="C695" i="1"/>
  <c r="C386" i="1"/>
  <c r="C515" i="1"/>
  <c r="C936" i="1"/>
  <c r="C632" i="1"/>
  <c r="C435" i="1"/>
  <c r="C1369" i="1"/>
  <c r="C758" i="1"/>
  <c r="C1176" i="1"/>
  <c r="C860" i="1"/>
  <c r="C633" i="1"/>
  <c r="C394" i="1"/>
  <c r="C1454" i="1"/>
  <c r="C369" i="1"/>
  <c r="C269" i="1"/>
  <c r="C1436" i="1"/>
  <c r="C743" i="1"/>
  <c r="C928" i="1"/>
  <c r="C689" i="1"/>
  <c r="C838" i="1"/>
  <c r="C477" i="1"/>
  <c r="C1287" i="1"/>
  <c r="C71" i="1"/>
  <c r="C292" i="1"/>
  <c r="C1534" i="1"/>
  <c r="C849" i="1"/>
  <c r="C510" i="1"/>
  <c r="C430" i="1"/>
  <c r="C698" i="1"/>
  <c r="C1430" i="1"/>
  <c r="C209" i="1"/>
  <c r="C527" i="1"/>
  <c r="C1225" i="1"/>
  <c r="C1468" i="1"/>
  <c r="C86" i="1"/>
  <c r="C1291" i="1"/>
  <c r="C47" i="1"/>
  <c r="C1311" i="1"/>
  <c r="C1199" i="1"/>
  <c r="C1256" i="1"/>
  <c r="C1051" i="1"/>
  <c r="C588" i="1"/>
  <c r="C970" i="1"/>
  <c r="C1132" i="1"/>
  <c r="C66" i="1"/>
  <c r="C529" i="1"/>
  <c r="C523" i="1"/>
  <c r="C583" i="1"/>
  <c r="C809" i="1"/>
  <c r="C757" i="1"/>
  <c r="C383" i="1"/>
  <c r="C1024" i="1"/>
  <c r="C1500" i="1"/>
  <c r="C584" i="1"/>
  <c r="C87" i="1"/>
  <c r="C722" i="1"/>
  <c r="C478" i="1"/>
  <c r="C1186" i="1"/>
  <c r="C618" i="1"/>
  <c r="C1531" i="1"/>
  <c r="C252" i="1"/>
  <c r="C95" i="1"/>
  <c r="C1207" i="1"/>
  <c r="C558" i="1"/>
  <c r="C429" i="1"/>
  <c r="C1220" i="1"/>
  <c r="C713" i="1"/>
  <c r="C248" i="1"/>
  <c r="C1473" i="1"/>
  <c r="C555" i="1"/>
  <c r="C496" i="1"/>
  <c r="C285" i="1"/>
  <c r="C983" i="1"/>
  <c r="C536" i="1"/>
  <c r="C284" i="1"/>
  <c r="C1072" i="1"/>
  <c r="C1099" i="1"/>
  <c r="C1445" i="1"/>
  <c r="C1133" i="1"/>
  <c r="C242" i="1"/>
  <c r="C673" i="1"/>
  <c r="C364" i="1"/>
  <c r="C407" i="1"/>
  <c r="C522" i="1"/>
  <c r="C251" i="1"/>
  <c r="C1011" i="1"/>
  <c r="C991" i="1"/>
  <c r="C157" i="1"/>
  <c r="C987" i="1"/>
  <c r="C126" i="1"/>
  <c r="C1202" i="1"/>
  <c r="C127" i="1"/>
  <c r="C1184" i="1"/>
  <c r="C1424" i="1"/>
  <c r="C206" i="1"/>
  <c r="C261" i="1"/>
  <c r="C694" i="1"/>
  <c r="C186" i="1"/>
  <c r="C492" i="1"/>
  <c r="C20" i="1"/>
  <c r="C233" i="1"/>
  <c r="C1209" i="1"/>
  <c r="C154" i="1"/>
  <c r="C8" i="1"/>
  <c r="C1009" i="1"/>
  <c r="C631" i="1"/>
  <c r="C830" i="1"/>
  <c r="C1469" i="1"/>
  <c r="C845" i="1"/>
  <c r="C604" i="1"/>
  <c r="C1345" i="1"/>
  <c r="C1147" i="1"/>
  <c r="C228" i="1"/>
  <c r="C852" i="1"/>
  <c r="C400" i="1"/>
  <c r="C909" i="1"/>
  <c r="C910" i="1"/>
  <c r="C914" i="1"/>
  <c r="C926" i="1"/>
  <c r="C947" i="1"/>
  <c r="C799" i="1"/>
  <c r="C1519" i="1"/>
  <c r="C1512" i="1"/>
  <c r="C706" i="1"/>
  <c r="C843" i="1"/>
  <c r="C1332" i="1"/>
  <c r="C1365" i="1"/>
  <c r="C805" i="1"/>
  <c r="C1273" i="1"/>
  <c r="C646" i="1"/>
  <c r="C1342" i="1"/>
  <c r="C658" i="1"/>
  <c r="C549" i="1"/>
  <c r="C368" i="1"/>
  <c r="C751" i="1"/>
  <c r="C403" i="1"/>
  <c r="C1349" i="1"/>
  <c r="C408" i="1"/>
  <c r="C951" i="1"/>
  <c r="C567" i="1"/>
  <c r="C1234" i="1"/>
  <c r="C1142" i="1"/>
  <c r="C989" i="1"/>
  <c r="C952" i="1"/>
  <c r="C736" i="1"/>
  <c r="C768" i="1"/>
  <c r="C1213" i="1"/>
  <c r="C112" i="1"/>
  <c r="C763" i="1"/>
  <c r="C425" i="1"/>
  <c r="C457" i="1"/>
  <c r="C276" i="1"/>
  <c r="C1201" i="1"/>
  <c r="C1141" i="1"/>
  <c r="C175" i="1"/>
  <c r="C923" i="1"/>
  <c r="C1064" i="1"/>
  <c r="C1421" i="1"/>
  <c r="C570" i="1"/>
  <c r="C232" i="1"/>
  <c r="C103" i="1"/>
  <c r="C1270" i="1"/>
  <c r="C676" i="1"/>
  <c r="C1194" i="1"/>
  <c r="C556" i="1"/>
  <c r="C1504" i="1"/>
  <c r="C1408" i="1"/>
  <c r="C1082" i="1"/>
  <c r="C80" i="1"/>
  <c r="C762" i="1"/>
  <c r="C803" i="1"/>
  <c r="C935" i="1"/>
  <c r="C1409" i="1"/>
  <c r="C129" i="1"/>
  <c r="C243" i="1"/>
  <c r="C829" i="1"/>
  <c r="C48" i="1"/>
  <c r="C385" i="1"/>
  <c r="C431" i="1"/>
  <c r="C848" i="1"/>
  <c r="C977" i="1"/>
  <c r="C1489" i="1"/>
  <c r="C539" i="1"/>
  <c r="C1171" i="1"/>
  <c r="C1465" i="1"/>
  <c r="C272" i="1"/>
  <c r="C1402" i="1"/>
  <c r="C1281" i="1"/>
  <c r="C1387" i="1"/>
  <c r="C886" i="1"/>
  <c r="C1255" i="1"/>
  <c r="C1252" i="1"/>
  <c r="C800" i="1"/>
  <c r="C857" i="1"/>
  <c r="C1459" i="1"/>
  <c r="C151" i="1"/>
  <c r="C259" i="1"/>
  <c r="C185" i="1"/>
  <c r="C1215" i="1"/>
  <c r="C1284" i="1"/>
  <c r="C1054" i="1"/>
  <c r="C998" i="1"/>
  <c r="C117" i="1"/>
  <c r="C297" i="1"/>
  <c r="C1300" i="1"/>
  <c r="C1062" i="1"/>
  <c r="C595" i="1"/>
  <c r="C1391" i="1"/>
  <c r="C590" i="1"/>
  <c r="C184" i="1"/>
  <c r="C14" i="1"/>
  <c r="C1359" i="1"/>
  <c r="C564" i="1"/>
  <c r="C1017" i="1"/>
  <c r="C621" i="1"/>
  <c r="C1023" i="1"/>
  <c r="C994" i="1"/>
  <c r="C177" i="1"/>
  <c r="C1265" i="1"/>
  <c r="C1282" i="1"/>
  <c r="C1106" i="1"/>
  <c r="C23" i="1"/>
  <c r="C1433" i="1"/>
  <c r="C1367" i="1"/>
  <c r="C214" i="1"/>
  <c r="C1314" i="1"/>
  <c r="C104" i="1"/>
  <c r="C181" i="1"/>
  <c r="C1385" i="1"/>
  <c r="C898" i="1"/>
  <c r="C808" i="1"/>
  <c r="C130" i="1"/>
  <c r="C179" i="1"/>
  <c r="C1016" i="1"/>
  <c r="C482" i="1"/>
  <c r="C877" i="1"/>
  <c r="C309" i="1"/>
  <c r="C1432" i="1"/>
  <c r="C1312" i="1"/>
  <c r="C742" i="1"/>
  <c r="C650" i="1"/>
  <c r="C1449" i="1"/>
  <c r="C1139" i="1"/>
  <c r="C349" i="1"/>
  <c r="C716" i="1"/>
  <c r="C738" i="1"/>
  <c r="C1247" i="1"/>
  <c r="C986" i="1"/>
  <c r="C876" i="1"/>
  <c r="C176" i="1"/>
  <c r="C1189" i="1"/>
  <c r="C1464" i="1"/>
  <c r="C734" i="1"/>
  <c r="C1288" i="1"/>
  <c r="C350" i="1"/>
  <c r="C1195" i="1"/>
  <c r="C1128" i="1"/>
  <c r="C770" i="1"/>
  <c r="C1470" i="1"/>
  <c r="C785" i="1"/>
  <c r="C611" i="1"/>
  <c r="C507" i="1"/>
  <c r="C1356" i="1"/>
  <c r="C1390" i="1"/>
  <c r="C316" i="1"/>
  <c r="C342" i="1"/>
  <c r="C895" i="1"/>
  <c r="C906" i="1"/>
  <c r="C691" i="1"/>
  <c r="C465" i="1"/>
  <c r="C1137" i="1"/>
  <c r="C1521" i="1"/>
  <c r="C322" i="1"/>
  <c r="C303" i="1"/>
  <c r="C1175" i="1"/>
  <c r="C229" i="1"/>
  <c r="C941" i="1"/>
  <c r="C137" i="1"/>
  <c r="C761" i="1"/>
  <c r="C619" i="1"/>
  <c r="C1052" i="1"/>
  <c r="C1160" i="1"/>
  <c r="C1372" i="1"/>
  <c r="C36" i="1"/>
  <c r="C390" i="1"/>
  <c r="C1020" i="1"/>
  <c r="C120" i="1"/>
  <c r="C348" i="1"/>
  <c r="C1212" i="1"/>
  <c r="C1484" i="1"/>
  <c r="C241" i="1"/>
  <c r="C1063" i="1"/>
  <c r="C667" i="1"/>
  <c r="C503" i="1"/>
  <c r="C501" i="1"/>
  <c r="C817" i="1"/>
  <c r="C1460" i="1"/>
  <c r="C959" i="1"/>
  <c r="C1222" i="1"/>
  <c r="C256" i="1"/>
  <c r="C363" i="1"/>
  <c r="C807" i="1"/>
  <c r="C696" i="1"/>
  <c r="C277" i="1"/>
  <c r="C565" i="1"/>
  <c r="C1057" i="1"/>
  <c r="C1497" i="1"/>
  <c r="C795" i="1"/>
  <c r="C671" i="1"/>
  <c r="C355" i="1"/>
  <c r="C1110" i="1"/>
  <c r="C121" i="1"/>
  <c r="C1264" i="1"/>
  <c r="C91" i="1"/>
  <c r="C918" i="1"/>
  <c r="C997" i="1"/>
  <c r="C535" i="1"/>
  <c r="C514" i="1"/>
  <c r="C61" i="1"/>
  <c r="C308" i="1"/>
  <c r="C124" i="1"/>
  <c r="C55" i="1"/>
  <c r="C1022" i="1"/>
  <c r="C1299" i="1"/>
  <c r="C1360" i="1"/>
  <c r="C815" i="1"/>
  <c r="C188" i="1"/>
  <c r="C1336" i="1"/>
  <c r="C674" i="1"/>
  <c r="C12" i="1"/>
  <c r="C1475" i="1"/>
  <c r="C708" i="1"/>
  <c r="C1378" i="1"/>
  <c r="C995" i="1"/>
  <c r="C709" i="1"/>
  <c r="C1461" i="1"/>
  <c r="C1450" i="1"/>
  <c r="C777" i="1"/>
  <c r="C1398" i="1"/>
  <c r="C1549" i="1"/>
  <c r="C373" i="1"/>
  <c r="C902" i="1"/>
  <c r="C976" i="1"/>
  <c r="C1334" i="1"/>
  <c r="C288" i="1"/>
  <c r="C102" i="1"/>
  <c r="C99" i="1"/>
  <c r="C18" i="1"/>
  <c r="C90" i="1"/>
  <c r="C1431" i="1"/>
  <c r="C198" i="1"/>
  <c r="C557" i="1"/>
  <c r="C636" i="1"/>
  <c r="C864" i="1"/>
  <c r="C287" i="1"/>
  <c r="C484" i="1"/>
  <c r="C1163" i="1"/>
  <c r="C615" i="1"/>
  <c r="C360" i="1"/>
  <c r="C670" i="1"/>
  <c r="C107" i="1"/>
  <c r="C543" i="1"/>
  <c r="C593" i="1"/>
  <c r="C1440" i="1"/>
  <c r="C718" i="1"/>
  <c r="C3" i="1"/>
  <c r="C872" i="1"/>
  <c r="C524" i="1"/>
  <c r="C495" i="1"/>
  <c r="C266" i="1"/>
  <c r="C1542" i="1"/>
  <c r="C1354" i="1"/>
  <c r="C310" i="1"/>
  <c r="C376" i="1"/>
  <c r="C417" i="1"/>
  <c r="C1296" i="1"/>
  <c r="C1333" i="1"/>
  <c r="C1112" i="1"/>
  <c r="C1272" i="1"/>
  <c r="C1093" i="1"/>
  <c r="C1322" i="1"/>
  <c r="C835" i="1"/>
  <c r="C1383" i="1"/>
  <c r="C638" i="1"/>
  <c r="C871" i="1"/>
  <c r="C1337" i="1"/>
  <c r="C1448" i="1"/>
  <c r="C372" i="1"/>
  <c r="C1429" i="1"/>
  <c r="C1538" i="1"/>
  <c r="C999" i="1"/>
  <c r="C648" i="1"/>
  <c r="C922" i="1"/>
  <c r="C493" i="1"/>
  <c r="C35" i="1"/>
  <c r="C1320" i="1"/>
  <c r="C668" i="1"/>
  <c r="C831" i="1"/>
  <c r="C687" i="1"/>
  <c r="C32" i="1"/>
  <c r="C755" i="1"/>
  <c r="C1518" i="1"/>
  <c r="C1178" i="1"/>
  <c r="C1487" i="1"/>
  <c r="C1140" i="1"/>
  <c r="C1343" i="1"/>
  <c r="C419" i="1"/>
  <c r="C282" i="1"/>
  <c r="C1096" i="1"/>
  <c r="C225" i="1"/>
  <c r="C554" i="1"/>
  <c r="C1241" i="1"/>
  <c r="C732" i="1"/>
  <c r="C1481" i="1"/>
  <c r="C1143" i="1"/>
  <c r="C924" i="1"/>
  <c r="C856" i="1"/>
  <c r="C30" i="1"/>
  <c r="C82" i="1"/>
  <c r="C1100" i="1"/>
  <c r="C865" i="1"/>
  <c r="C1254" i="1"/>
  <c r="C724" i="1"/>
  <c r="C561" i="1"/>
  <c r="C1327" i="1"/>
  <c r="C1145" i="1"/>
  <c r="C578" i="1"/>
  <c r="C893" i="1"/>
  <c r="C1290" i="1"/>
  <c r="C988" i="1"/>
  <c r="C1187" i="1"/>
  <c r="C207" i="1"/>
  <c r="C599" i="1"/>
  <c r="C192" i="1"/>
  <c r="C1453" i="1"/>
  <c r="C6" i="1"/>
  <c r="C1494" i="1"/>
  <c r="C1443" i="1"/>
  <c r="C960" i="1"/>
  <c r="C1275" i="1"/>
  <c r="C1046" i="1"/>
  <c r="C1253" i="1"/>
  <c r="C1102" i="1"/>
  <c r="C1226" i="1"/>
  <c r="C792" i="1"/>
  <c r="C563" i="1"/>
  <c r="C502" i="1"/>
  <c r="C187" i="1"/>
  <c r="C868" i="1"/>
  <c r="C1455" i="1"/>
  <c r="C1111" i="1"/>
  <c r="C433" i="1"/>
  <c r="C1087" i="1"/>
  <c r="C1335" i="1"/>
  <c r="C447" i="1"/>
  <c r="C427" i="1"/>
  <c r="C810" i="1"/>
  <c r="C680" i="1"/>
  <c r="C294" i="1"/>
  <c r="C586" i="1"/>
  <c r="C1204" i="1"/>
  <c r="C544" i="1"/>
  <c r="C1121" i="1"/>
  <c r="C744" i="1"/>
  <c r="C915" i="1"/>
  <c r="C1364" i="1"/>
  <c r="C391" i="1"/>
  <c r="C532" i="1"/>
  <c r="C684" i="1"/>
  <c r="C1104" i="1"/>
  <c r="C682" i="1"/>
  <c r="C905" i="1"/>
  <c r="C210" i="1"/>
  <c r="C317" i="1"/>
  <c r="C1091" i="1"/>
  <c r="C416" i="1"/>
  <c r="C613" i="1"/>
  <c r="C326" i="1"/>
  <c r="C566" i="1"/>
  <c r="C101" i="1"/>
  <c r="C314" i="1"/>
  <c r="C1043" i="1"/>
  <c r="C24" i="1"/>
  <c r="C1400" i="1"/>
  <c r="C772" i="1"/>
  <c r="C1393" i="1"/>
  <c r="C969" i="1"/>
  <c r="C801" i="1"/>
  <c r="C494" i="1"/>
  <c r="C227" i="1"/>
  <c r="C1331" i="1"/>
  <c r="C1004" i="1"/>
  <c r="C642" i="1"/>
  <c r="C1105" i="1"/>
  <c r="C5" i="1"/>
  <c r="C612" i="1"/>
  <c r="C328" i="1"/>
  <c r="C571" i="1"/>
  <c r="C585" i="1"/>
  <c r="C840" i="1"/>
  <c r="C855" i="1"/>
  <c r="C116" i="1"/>
  <c r="C1248" i="1"/>
  <c r="C1347" i="1"/>
  <c r="C263" i="1"/>
  <c r="C1330" i="1"/>
  <c r="C634" i="1"/>
  <c r="C705" i="1"/>
  <c r="C347" i="1"/>
  <c r="C796" i="1"/>
  <c r="C389" i="1"/>
  <c r="C1115" i="1"/>
  <c r="C46" i="1"/>
  <c r="C1047" i="1"/>
  <c r="C441" i="1"/>
  <c r="C245" i="1"/>
  <c r="C685" i="1"/>
  <c r="C247" i="1"/>
  <c r="C1546" i="1"/>
  <c r="C531" i="1"/>
  <c r="C1125" i="1"/>
  <c r="C664" i="1"/>
  <c r="C19" i="1"/>
  <c r="C885" i="1"/>
  <c r="C589" i="1"/>
  <c r="C790" i="1"/>
  <c r="C222" i="1"/>
  <c r="C1503" i="1"/>
  <c r="C13" i="1"/>
  <c r="C1388" i="1"/>
  <c r="C1493" i="1"/>
  <c r="C455" i="1"/>
  <c r="C797" i="1"/>
  <c r="C735" i="1"/>
  <c r="C721" i="1"/>
  <c r="C336" i="1"/>
  <c r="C623" i="1"/>
  <c r="C1551" i="1"/>
  <c r="C1458" i="1"/>
  <c r="C110" i="1"/>
  <c r="C1477" i="1"/>
  <c r="C1376" i="1"/>
  <c r="C1138" i="1"/>
  <c r="C1119" i="1"/>
  <c r="C105" i="1"/>
  <c r="C152" i="1"/>
  <c r="C1037" i="1"/>
  <c r="C1302" i="1"/>
  <c r="C559" i="1"/>
  <c r="C1486" i="1"/>
  <c r="C249" i="1"/>
  <c r="C341" i="1"/>
  <c r="C629" i="1"/>
  <c r="C932" i="1"/>
  <c r="C1109" i="1"/>
  <c r="C958" i="1"/>
  <c r="C1508" i="1"/>
  <c r="C644" i="1"/>
  <c r="C707" i="1"/>
  <c r="C903" i="1"/>
  <c r="C784" i="1"/>
  <c r="C1501" i="1"/>
  <c r="C1070" i="1"/>
  <c r="C212" i="1"/>
  <c r="C338" i="1"/>
  <c r="C1401" i="1"/>
  <c r="C471" i="1"/>
  <c r="C142" i="1"/>
  <c r="C930" i="1"/>
  <c r="C719" i="1"/>
  <c r="C1404" i="1"/>
  <c r="C298" i="1"/>
  <c r="C1155" i="1"/>
  <c r="C1161" i="1"/>
  <c r="C148" i="1"/>
  <c r="C396" i="1"/>
  <c r="C560" i="1"/>
  <c r="C892" i="1"/>
  <c r="C582" i="1"/>
  <c r="C1041" i="1"/>
  <c r="C1395" i="1"/>
  <c r="C1008" i="1"/>
  <c r="C1168" i="1"/>
  <c r="C974" i="1"/>
  <c r="C1379" i="1"/>
  <c r="C257" i="1"/>
  <c r="C162" i="1"/>
  <c r="C1363" i="1"/>
  <c r="C1514" i="1"/>
  <c r="C79" i="1"/>
  <c r="C1370" i="1"/>
  <c r="C794" i="1"/>
  <c r="C620" i="1"/>
  <c r="C1238" i="1"/>
  <c r="C607" i="1"/>
  <c r="C237" i="1"/>
  <c r="C896" i="1"/>
  <c r="C1375" i="1"/>
  <c r="C459" i="1"/>
  <c r="C1158" i="1"/>
  <c r="C31" i="1"/>
  <c r="C337" i="1"/>
  <c r="C717" i="1"/>
  <c r="C11" i="1"/>
  <c r="C1135" i="1"/>
  <c r="C1532" i="1"/>
  <c r="C1447" i="1"/>
  <c r="C920" i="1"/>
  <c r="C626" i="1"/>
  <c r="C551" i="1"/>
  <c r="C205" i="1"/>
  <c r="C937" i="1"/>
  <c r="C75" i="1"/>
  <c r="C375" i="1"/>
  <c r="C448" i="1"/>
  <c r="C1361" i="1"/>
  <c r="C359" i="1"/>
  <c r="C491" i="1"/>
  <c r="C580" i="1"/>
  <c r="C788" i="1"/>
  <c r="C378" i="1"/>
  <c r="C1480" i="1"/>
  <c r="C517" i="1"/>
  <c r="C1152" i="1"/>
  <c r="C1283" i="1"/>
  <c r="C118" i="1"/>
  <c r="C236" i="1"/>
  <c r="C1358" i="1"/>
  <c r="C195" i="1"/>
  <c r="C487" i="1"/>
  <c r="C1277" i="1"/>
  <c r="C1355" i="1"/>
  <c r="C511" i="1"/>
  <c r="C57" i="1"/>
  <c r="C1113" i="1"/>
  <c r="C466" i="1"/>
  <c r="C540" i="1"/>
  <c r="C916" i="1"/>
  <c r="C270" i="1"/>
  <c r="C961" i="1"/>
  <c r="C873" i="1"/>
  <c r="C17" i="1"/>
  <c r="C572" i="1"/>
  <c r="C793" i="1"/>
  <c r="C1552" i="1"/>
  <c r="C628" i="1"/>
  <c r="C324" i="1"/>
  <c r="C1010" i="1"/>
  <c r="C434" i="1"/>
  <c r="C666" i="1"/>
  <c r="C813" i="1"/>
  <c r="C220" i="1"/>
  <c r="C1417" i="1"/>
  <c r="C1092" i="1"/>
  <c r="C231" i="1"/>
  <c r="C490" i="1"/>
  <c r="C1098" i="1"/>
  <c r="C1227" i="1"/>
  <c r="C1319" i="1"/>
  <c r="C1180" i="1"/>
  <c r="C1030" i="1"/>
  <c r="C513" i="1"/>
  <c r="C764" i="1"/>
  <c r="C325" i="1"/>
  <c r="C782" i="1"/>
  <c r="C1543" i="1"/>
  <c r="C74" i="1"/>
  <c r="C654" i="1"/>
  <c r="C943" i="1"/>
  <c r="C354" i="1"/>
  <c r="C1315" i="1"/>
  <c r="C598" i="1"/>
  <c r="C929" i="1"/>
  <c r="C854" i="1"/>
  <c r="C1344" i="1"/>
  <c r="C1007" i="1"/>
  <c r="C609" i="1"/>
  <c r="C333" i="1"/>
  <c r="C1373" i="1"/>
  <c r="C1386" i="1"/>
  <c r="C78" i="1"/>
  <c r="C38" i="1"/>
  <c r="C180" i="1"/>
  <c r="C41" i="1"/>
  <c r="C754" i="1"/>
  <c r="C166" i="1"/>
  <c r="C128" i="1"/>
  <c r="C592" i="1"/>
  <c r="C1211" i="1"/>
  <c r="C1085" i="1"/>
  <c r="C814" i="1"/>
  <c r="C950" i="1"/>
  <c r="C841" i="1"/>
  <c r="C413" i="1"/>
  <c r="C84" i="1"/>
  <c r="C1193" i="1"/>
  <c r="C1031" i="1"/>
  <c r="C481" i="1"/>
  <c r="C411" i="1"/>
  <c r="C597" i="1"/>
  <c r="C404" i="1"/>
  <c r="C500" i="1"/>
  <c r="C98" i="1"/>
  <c r="C155" i="1"/>
  <c r="C1177" i="1"/>
  <c r="C594" i="1"/>
  <c r="C1263" i="1"/>
  <c r="C1339" i="1"/>
  <c r="C968" i="1"/>
  <c r="C975" i="1"/>
  <c r="C1397" i="1"/>
  <c r="C193" i="1"/>
  <c r="C1509" i="1"/>
  <c r="C651" i="1"/>
  <c r="C1550" i="1"/>
  <c r="C1506" i="1"/>
  <c r="C1033" i="1"/>
  <c r="C1438" i="1"/>
  <c r="C1019" i="1"/>
  <c r="C1317" i="1"/>
  <c r="C238" i="1"/>
  <c r="C1018" i="1"/>
  <c r="C647" i="1"/>
  <c r="C775" i="1"/>
  <c r="C1042" i="1"/>
  <c r="C1185" i="1"/>
  <c r="C1326" i="1"/>
  <c r="C463" i="1"/>
  <c r="C1028" i="1"/>
  <c r="C1223" i="1"/>
  <c r="C1528" i="1"/>
  <c r="C967" i="1"/>
  <c r="C837" i="1"/>
  <c r="C62" i="1"/>
  <c r="C291" i="1"/>
  <c r="C833" i="1"/>
  <c r="C415" i="1"/>
  <c r="C1151" i="1"/>
  <c r="C100" i="1"/>
  <c r="C979" i="1"/>
  <c r="C957" i="1"/>
  <c r="C1167" i="1"/>
  <c r="C508" i="1"/>
  <c r="C1427" i="1"/>
  <c r="C541" i="1"/>
  <c r="C1303" i="1"/>
  <c r="C73" i="1"/>
  <c r="C1034" i="1"/>
  <c r="C67" i="1"/>
  <c r="C83" i="1"/>
  <c r="C343" i="1"/>
  <c r="C962" i="1"/>
  <c r="C759" i="1"/>
  <c r="C512" i="1"/>
  <c r="C50" i="1"/>
  <c r="C779" i="1"/>
  <c r="C1536" i="1"/>
  <c r="C327" i="1"/>
  <c r="C194" i="1"/>
  <c r="C51" i="1"/>
  <c r="C1191" i="1"/>
  <c r="C681" i="1"/>
  <c r="C731" i="1"/>
  <c r="C1491" i="1"/>
  <c r="C275" i="1"/>
  <c r="C221" i="1"/>
  <c r="C867" i="1"/>
  <c r="C665" i="1"/>
  <c r="C1442" i="1"/>
  <c r="C1012" i="1"/>
  <c r="C826" i="1"/>
  <c r="C113" i="1"/>
  <c r="C295" i="1"/>
  <c r="C393" i="1"/>
  <c r="C4" i="1"/>
  <c r="C358" i="1"/>
  <c r="C1067" i="1"/>
  <c r="C1280" i="1"/>
  <c r="C1499" i="1"/>
  <c r="C296" i="1"/>
  <c r="C1415" i="1"/>
  <c r="C480" i="1"/>
  <c r="C820" i="1"/>
  <c r="C608" i="1"/>
  <c r="C1134" i="1"/>
  <c r="C874" i="1"/>
  <c r="C1131" i="1"/>
  <c r="C1259" i="1"/>
  <c r="C301" i="1"/>
  <c r="C834" i="1"/>
  <c r="C1510" i="1"/>
  <c r="C603" i="1"/>
  <c r="C382" i="1"/>
  <c r="C366" i="1"/>
  <c r="C280" i="1"/>
  <c r="C1243" i="1"/>
  <c r="C1522" i="1"/>
  <c r="C1413" i="1"/>
  <c r="C606" i="1"/>
  <c r="C25" i="1"/>
  <c r="C387" i="1"/>
  <c r="C745" i="1"/>
  <c r="C384" i="1"/>
  <c r="C1179" i="1"/>
  <c r="C1267" i="1"/>
  <c r="C688" i="1"/>
  <c r="C446" i="1"/>
  <c r="C816" i="1"/>
  <c r="C304" i="1"/>
  <c r="C641" i="1"/>
  <c r="C58" i="1"/>
  <c r="C1353" i="1"/>
  <c r="C1351" i="1"/>
  <c r="C538" i="1"/>
  <c r="C702" i="1"/>
  <c r="C59" i="1"/>
  <c r="C1276" i="1"/>
  <c r="C476" i="1"/>
  <c r="C244" i="1"/>
  <c r="C677" i="1"/>
  <c r="C1083" i="1"/>
  <c r="C7" i="1"/>
  <c r="C1476" i="1"/>
  <c r="C1271" i="1"/>
  <c r="C913" i="1"/>
  <c r="C1116" i="1"/>
  <c r="C728" i="1"/>
  <c r="C675" i="1"/>
  <c r="C939" i="1"/>
  <c r="C518" i="1"/>
  <c r="C992" i="1"/>
  <c r="C659" i="1"/>
  <c r="C421" i="1"/>
  <c r="C1251" i="1"/>
  <c r="C703" i="1"/>
  <c r="C1403" i="1"/>
  <c r="C106" i="1"/>
  <c r="C978" i="1"/>
  <c r="C1520" i="1"/>
  <c r="C726" i="1"/>
  <c r="C711" i="1"/>
  <c r="C345" i="1"/>
  <c r="C1492" i="1"/>
  <c r="C887" i="1"/>
  <c r="C265" i="1"/>
  <c r="C821" i="1"/>
  <c r="C1088" i="1"/>
  <c r="C870" i="1"/>
  <c r="C1437" i="1"/>
  <c r="C894" i="1"/>
  <c r="C1260" i="1"/>
  <c r="C22" i="1"/>
  <c r="C489" i="1"/>
  <c r="C159" i="1"/>
  <c r="C712" i="1"/>
  <c r="C289" i="1"/>
  <c r="C1118" i="1"/>
  <c r="C739" i="1"/>
  <c r="C842" i="1"/>
  <c r="C1048" i="1"/>
  <c r="C880" i="1"/>
  <c r="C605" i="1"/>
  <c r="C302" i="1"/>
  <c r="C1535" i="1"/>
  <c r="C445" i="1"/>
  <c r="C1516" i="1"/>
  <c r="C365" i="1"/>
  <c r="C1166" i="1"/>
  <c r="C351" i="1"/>
  <c r="C526" i="1"/>
  <c r="C1165" i="1"/>
  <c r="C693" i="1"/>
  <c r="C371" i="1"/>
  <c r="C901" i="1"/>
  <c r="C1548" i="1"/>
  <c r="C1474" i="1"/>
  <c r="C1032" i="1"/>
  <c r="C776" i="1"/>
  <c r="C96" i="1"/>
  <c r="C200" i="1"/>
  <c r="C164" i="1"/>
  <c r="C1446" i="1"/>
  <c r="C485" i="1"/>
  <c r="C133" i="1"/>
  <c r="C710" i="1"/>
  <c r="C1466" i="1"/>
  <c r="C49" i="1"/>
  <c r="C1097" i="1"/>
  <c r="C1197" i="1"/>
  <c r="C548" i="1"/>
  <c r="C63" i="1"/>
  <c r="C1338" i="1"/>
  <c r="C990" i="1"/>
  <c r="C940" i="1"/>
  <c r="C497" i="1"/>
  <c r="C827" i="1"/>
  <c r="C882" i="1"/>
  <c r="C1399" i="1"/>
  <c r="C1159" i="1"/>
  <c r="C786" i="1"/>
  <c r="C863" i="1"/>
  <c r="C488" i="1"/>
  <c r="C1537" i="1"/>
  <c r="C575" i="1"/>
  <c r="C340" i="1"/>
  <c r="C542" i="1"/>
  <c r="C933" i="1"/>
  <c r="C1198" i="1"/>
  <c r="C1423" i="1"/>
  <c r="C1090" i="1"/>
  <c r="C412" i="1"/>
  <c r="C1045" i="1"/>
  <c r="C1269" i="1"/>
  <c r="C1410" i="1"/>
  <c r="C146" i="1"/>
  <c r="C1015" i="1"/>
  <c r="C1362" i="1"/>
  <c r="C1357" i="1"/>
  <c r="C591" i="1"/>
  <c r="C178" i="1"/>
  <c r="C787" i="1"/>
  <c r="C141" i="1"/>
  <c r="C109" i="1"/>
  <c r="C1407" i="1"/>
  <c r="C1117" i="1"/>
  <c r="C729" i="1"/>
  <c r="C467" i="1"/>
  <c r="C1221" i="1"/>
  <c r="C1069" i="1"/>
  <c r="C381" i="1"/>
  <c r="C1150" i="1"/>
  <c r="C1268" i="1"/>
  <c r="C888" i="1"/>
  <c r="C1130" i="1"/>
  <c r="C927" i="1"/>
  <c r="C273" i="1"/>
  <c r="C804" i="1"/>
  <c r="C40" i="1"/>
  <c r="C1451" i="1"/>
  <c r="C1149" i="1"/>
  <c r="C190" i="1"/>
  <c r="C812" i="1"/>
  <c r="C1235" i="1"/>
  <c r="C70" i="1"/>
  <c r="C714" i="1"/>
  <c r="C733" i="1"/>
  <c r="C1014" i="1"/>
  <c r="C931" i="1"/>
  <c r="C1340" i="1"/>
  <c r="C94" i="1"/>
  <c r="C911" i="1"/>
  <c r="C1162" i="1"/>
  <c r="C1148" i="1"/>
  <c r="C1060" i="1"/>
  <c r="C1056" i="1"/>
  <c r="C262" i="1"/>
  <c r="C1208" i="1"/>
  <c r="C1181" i="1"/>
  <c r="C1396" i="1"/>
  <c r="C183" i="1"/>
  <c r="C1511" i="1"/>
  <c r="C1495" i="1"/>
  <c r="C89" i="1"/>
  <c r="C329" i="1"/>
  <c r="C771" i="1"/>
  <c r="C168" i="1"/>
  <c r="C474" i="1"/>
  <c r="C444" i="1"/>
  <c r="C1434" i="1"/>
  <c r="C1485" i="1"/>
  <c r="C1144" i="1"/>
  <c r="C1124" i="1"/>
  <c r="C1257" i="1"/>
  <c r="C545" i="1"/>
  <c r="C388" i="1"/>
  <c r="C1076" i="1"/>
  <c r="C610" i="1"/>
  <c r="C1306" i="1"/>
  <c r="C1406" i="1"/>
  <c r="C955" i="1"/>
  <c r="C215" i="1"/>
  <c r="C1325" i="1"/>
  <c r="C1123" i="1"/>
  <c r="C521" i="1"/>
  <c r="C1262" i="1"/>
  <c r="C1236" i="1"/>
  <c r="C196" i="1"/>
  <c r="C938" i="1"/>
  <c r="C335" i="1"/>
  <c r="C224" i="1"/>
  <c r="C1079" i="1"/>
  <c r="C656" i="1"/>
  <c r="C498" i="1"/>
  <c r="C921" i="1"/>
  <c r="C246" i="1"/>
  <c r="C528" i="1"/>
  <c r="C858" i="1"/>
  <c r="C1218" i="1"/>
  <c r="C862" i="1"/>
  <c r="C362" i="1"/>
  <c r="C1295" i="1"/>
  <c r="C1232" i="1"/>
  <c r="C616" i="1"/>
  <c r="C836" i="1"/>
  <c r="C439" i="1"/>
  <c r="C1081" i="1"/>
  <c r="C156" i="1"/>
  <c r="C1394" i="1"/>
  <c r="C1075" i="1"/>
  <c r="C69" i="1"/>
  <c r="C1294" i="1"/>
  <c r="C452" i="1"/>
  <c r="C980" i="1"/>
  <c r="C1309" i="1"/>
  <c r="C161" i="1"/>
  <c r="C625" i="1"/>
  <c r="C306" i="1"/>
  <c r="C752" i="1"/>
  <c r="C60" i="1"/>
  <c r="C516" i="1"/>
  <c r="C1206" i="1"/>
  <c r="C1089" i="1"/>
  <c r="C111" i="1"/>
  <c r="C462" i="1"/>
  <c r="C832" i="1"/>
  <c r="C730" i="1"/>
  <c r="C645" i="1"/>
  <c r="C72" i="1"/>
  <c r="C624" i="1"/>
  <c r="C147" i="1"/>
  <c r="C197" i="1"/>
  <c r="C530" i="1"/>
  <c r="C76" i="1"/>
  <c r="C1523" i="1"/>
  <c r="C780" i="1"/>
  <c r="C16" i="1"/>
  <c r="C1107" i="1"/>
  <c r="C1420" i="1"/>
  <c r="C653" i="1"/>
  <c r="C125" i="1"/>
  <c r="C216" i="1"/>
  <c r="C649" i="1"/>
  <c r="C1122" i="1"/>
  <c r="C678" i="1"/>
  <c r="C250" i="1"/>
  <c r="C823" i="1"/>
  <c r="C199" i="1"/>
  <c r="C506" i="1"/>
  <c r="C226" i="1"/>
  <c r="C167" i="1"/>
  <c r="C402" i="1"/>
  <c r="C456" i="1"/>
  <c r="C93" i="1"/>
  <c r="C1350" i="1"/>
  <c r="C479" i="1"/>
  <c r="C278" i="1"/>
  <c r="C869" i="1"/>
  <c r="C405" i="1"/>
  <c r="C1261" i="1"/>
  <c r="C828" i="1"/>
  <c r="C1324" i="1"/>
  <c r="C321" i="1"/>
  <c r="C1526" i="1"/>
  <c r="C881" i="1"/>
  <c r="C993" i="1"/>
  <c r="C319" i="1"/>
  <c r="C746" i="1"/>
  <c r="C92" i="1"/>
  <c r="C426" i="1"/>
  <c r="C1229" i="1"/>
  <c r="C1216" i="1"/>
  <c r="C1278" i="1"/>
  <c r="C339" i="1"/>
  <c r="C1039" i="1"/>
  <c r="C635" i="1"/>
  <c r="C281" i="1"/>
  <c r="C217" i="1"/>
  <c r="C1073" i="1"/>
  <c r="C765" i="1"/>
  <c r="C1059" i="1"/>
  <c r="C663" i="1"/>
  <c r="C1074" i="1"/>
  <c r="C1374" i="1"/>
  <c r="C1066" i="1"/>
  <c r="C1392" i="1"/>
  <c r="C1515" i="1"/>
  <c r="C172" i="1"/>
  <c r="C134" i="1"/>
  <c r="C1053" i="1"/>
  <c r="C1457" i="1"/>
  <c r="C789" i="1"/>
  <c r="C1108" i="1"/>
  <c r="C1025" i="1"/>
  <c r="C679" i="1"/>
  <c r="C1086" i="1"/>
  <c r="C1129" i="1"/>
  <c r="C201" i="1"/>
  <c r="C315" i="1"/>
  <c r="C741" i="1"/>
  <c r="C1530" i="1"/>
  <c r="C258" i="1"/>
  <c r="C1346" i="1"/>
  <c r="C43" i="1"/>
  <c r="C1101" i="1"/>
  <c r="C1478" i="1"/>
  <c r="C1154" i="1"/>
  <c r="C587" i="1"/>
  <c r="C1384" i="1"/>
  <c r="C769" i="1"/>
  <c r="C1467" i="1"/>
  <c r="C1498" i="1"/>
  <c r="C453" i="1"/>
  <c r="C1126" i="1"/>
  <c r="C1463" i="1"/>
  <c r="C534" i="1"/>
  <c r="C643" i="1"/>
  <c r="C1170" i="1"/>
  <c r="C1441" i="1"/>
  <c r="C1513" i="1"/>
  <c r="C122" i="1"/>
  <c r="C204" i="1"/>
  <c r="C1541" i="1"/>
  <c r="C274" i="1"/>
  <c r="C1416" i="1"/>
  <c r="C819" i="1"/>
  <c r="C1077" i="1"/>
  <c r="C260" i="1"/>
  <c r="C115" i="1"/>
  <c r="C305" i="1"/>
  <c r="C239" i="1"/>
  <c r="C380" i="1"/>
  <c r="C1274" i="1"/>
  <c r="C637" i="1"/>
  <c r="C264" i="1"/>
  <c r="C720" i="1"/>
  <c r="C1352" i="1"/>
  <c r="C1471" i="1"/>
  <c r="C825" i="1"/>
  <c r="C861" i="1"/>
  <c r="C1192" i="1"/>
  <c r="C286" i="1"/>
  <c r="C692" i="1"/>
  <c r="C1065" i="1"/>
  <c r="C423" i="1"/>
  <c r="C1323" i="1"/>
  <c r="C1021" i="1"/>
  <c r="C1426" i="1"/>
  <c r="C1246" i="1"/>
  <c r="C1027" i="1"/>
  <c r="C1444" i="1"/>
  <c r="C1003" i="1"/>
  <c r="C1245" i="1"/>
  <c r="C1214" i="1"/>
  <c r="C454" i="1"/>
  <c r="C499" i="1"/>
  <c r="C77" i="1"/>
  <c r="C219" i="1"/>
  <c r="C1329" i="1"/>
  <c r="C1382" i="1"/>
  <c r="C811" i="1"/>
  <c r="C704" i="1"/>
  <c r="C311" i="1"/>
  <c r="C450" i="1"/>
  <c r="C352" i="1"/>
  <c r="C806" i="1"/>
  <c r="C1310" i="1"/>
  <c r="C145" i="1"/>
  <c r="C464" i="1"/>
  <c r="C253" i="1"/>
  <c r="C182" i="1"/>
  <c r="C581" i="1"/>
  <c r="C1203" i="1"/>
  <c r="C392" i="1"/>
  <c r="C1524" i="1"/>
  <c r="C1006" i="1"/>
  <c r="C1055" i="1"/>
  <c r="C140" i="1"/>
  <c r="C966" i="1"/>
  <c r="C202" i="1"/>
  <c r="C268" i="1"/>
  <c r="C1496" i="1"/>
  <c r="C890" i="1"/>
  <c r="C601" i="1"/>
  <c r="C53" i="1"/>
  <c r="C1071" i="1"/>
  <c r="C900" i="1"/>
  <c r="C550" i="1"/>
  <c r="C409" i="1"/>
  <c r="C29" i="1"/>
  <c r="C119" i="1"/>
  <c r="C912" i="1"/>
  <c r="C486" i="1"/>
  <c r="C1038" i="1"/>
  <c r="C614" i="1"/>
  <c r="C399" i="1"/>
  <c r="C891" i="1"/>
  <c r="C1279" i="1"/>
  <c r="C971" i="1"/>
  <c r="C760" i="1"/>
  <c r="C437" i="1"/>
  <c r="C1377" i="1"/>
  <c r="C114" i="1"/>
  <c r="C1153" i="1"/>
  <c r="C701" i="1"/>
  <c r="C1545" i="1"/>
  <c r="C1525" i="1"/>
  <c r="C334" i="1"/>
  <c r="C844" i="1"/>
  <c r="C683" i="1"/>
  <c r="C293" i="1"/>
  <c r="C783" i="1"/>
  <c r="C149" i="1"/>
  <c r="C699" i="1"/>
  <c r="C9" i="1"/>
  <c r="C640" i="1"/>
  <c r="C1301" i="1"/>
  <c r="C469" i="1"/>
  <c r="C451" i="1"/>
  <c r="C438" i="1"/>
  <c r="C1219" i="1"/>
  <c r="C562" i="1"/>
  <c r="C756" i="1"/>
  <c r="C318" i="1"/>
  <c r="C39" i="1"/>
  <c r="C1529" i="1"/>
  <c r="C1308" i="1"/>
  <c r="C1026" i="1"/>
  <c r="C1368" i="1"/>
  <c r="C1483" i="1"/>
  <c r="C883" i="1"/>
  <c r="C191" i="1"/>
  <c r="C1540" i="1"/>
  <c r="C846" i="1"/>
  <c r="C1488" i="1"/>
  <c r="C1456" i="1"/>
  <c r="C1001" i="1"/>
  <c r="C213" i="1"/>
  <c r="C414" i="1"/>
  <c r="C690" i="1"/>
  <c r="C108" i="1"/>
  <c r="C313" i="1"/>
  <c r="C853" i="1"/>
  <c r="C907" i="1"/>
  <c r="C740" i="1"/>
  <c r="C1233" i="1"/>
  <c r="C622" i="1"/>
  <c r="C818" i="1"/>
  <c r="C230" i="1"/>
  <c r="C1231" i="1"/>
  <c r="C984" i="1"/>
  <c r="C697" i="1"/>
  <c r="C1094" i="1"/>
  <c r="C1422" i="1"/>
  <c r="C1533" i="1"/>
  <c r="C533" i="1"/>
  <c r="C1298" i="1"/>
  <c r="C956" i="1"/>
  <c r="C1405" i="1"/>
  <c r="C596" i="1"/>
  <c r="C1136" i="1"/>
  <c r="C395" i="1"/>
  <c r="C537" i="1"/>
  <c r="C1103" i="1"/>
  <c r="C410" i="1"/>
  <c r="C283" i="1"/>
  <c r="C1249" i="1"/>
  <c r="C798" i="1"/>
  <c r="C773" i="1"/>
  <c r="C942" i="1"/>
  <c r="C136" i="1"/>
  <c r="C973" i="1"/>
  <c r="C361" i="1"/>
  <c r="C174" i="1"/>
  <c r="C1029" i="1"/>
  <c r="C824" i="1"/>
  <c r="C965" i="1"/>
  <c r="C700" i="1"/>
  <c r="C1321" i="1"/>
  <c r="C669" i="1"/>
  <c r="C1539" i="1"/>
  <c r="C949" i="1"/>
  <c r="C442" i="1"/>
  <c r="C1205" i="1"/>
  <c r="C1240" i="1"/>
  <c r="C919" i="1"/>
  <c r="C1418" i="1"/>
  <c r="C1435" i="1"/>
  <c r="C982" i="1"/>
  <c r="C131" i="1"/>
  <c r="C37" i="1"/>
  <c r="C972" i="1"/>
  <c r="C917" i="1"/>
  <c r="C737" i="1"/>
  <c r="C424" i="1"/>
  <c r="C10" i="1"/>
  <c r="C897" i="1"/>
  <c r="C1050" i="1"/>
  <c r="C208" i="1"/>
  <c r="C859" i="1"/>
  <c r="C661" i="1"/>
  <c r="C944" i="1"/>
  <c r="C1127" i="1"/>
  <c r="C1242" i="1"/>
  <c r="C1411" i="1"/>
  <c r="C574" i="1"/>
  <c r="C235" i="1"/>
  <c r="C1452" i="1"/>
  <c r="C379" i="1"/>
  <c r="C662" i="1"/>
  <c r="C655" i="1"/>
  <c r="C449" i="1"/>
  <c r="C401" i="1"/>
  <c r="C143" i="1"/>
  <c r="C320" i="1"/>
  <c r="C602" i="1"/>
  <c r="C569" i="1"/>
  <c r="C884" i="1"/>
  <c r="C1307" i="1"/>
  <c r="C255" i="1"/>
  <c r="C723" i="1"/>
  <c r="C1044" i="1"/>
  <c r="C1196" i="1"/>
  <c r="C1316" i="1"/>
  <c r="C1156" i="1"/>
  <c r="C660" i="1"/>
  <c r="C878" i="1"/>
  <c r="C2" i="1"/>
  <c r="D2" i="1" s="1"/>
  <c r="D3" i="1" s="1"/>
  <c r="D4" i="1" s="1"/>
  <c r="D5" i="1" s="1"/>
  <c r="C505" i="1"/>
  <c r="C1479" i="1"/>
  <c r="C28" i="1"/>
  <c r="C1366" i="1"/>
  <c r="C657" i="1"/>
  <c r="C1183" i="1"/>
  <c r="C985" i="1"/>
  <c r="C904" i="1"/>
  <c r="C879" i="1"/>
  <c r="C163" i="1"/>
  <c r="C331" i="1"/>
  <c r="C725" i="1"/>
  <c r="C418" i="1"/>
  <c r="C353" i="1"/>
  <c r="C1348" i="1"/>
  <c r="C672" i="1"/>
  <c r="C42" i="1"/>
  <c r="C1553" i="1"/>
  <c r="C169" i="1"/>
  <c r="C1305" i="1"/>
  <c r="C1286" i="1"/>
  <c r="C1490" i="1"/>
  <c r="C617" i="1"/>
  <c r="C1544" i="1"/>
  <c r="C791" i="1"/>
  <c r="C576" i="1"/>
  <c r="C1078" i="1"/>
  <c r="C547" i="1"/>
  <c r="C774" i="1"/>
  <c r="B1217" i="1"/>
  <c r="B747" i="1"/>
  <c r="B686" i="1"/>
  <c r="B254" i="1"/>
  <c r="B753" i="1"/>
  <c r="B171" i="1"/>
  <c r="B525" i="1"/>
  <c r="B1258" i="1"/>
  <c r="B1084" i="1"/>
  <c r="B45" i="1"/>
  <c r="B88" i="1"/>
  <c r="B139" i="1"/>
  <c r="B81" i="1"/>
  <c r="B165" i="1"/>
  <c r="B1157" i="1"/>
  <c r="B766" i="1"/>
  <c r="B44" i="1"/>
  <c r="B1527" i="1"/>
  <c r="B577" i="1"/>
  <c r="B1120" i="1"/>
  <c r="B135" i="1"/>
  <c r="B398" i="1"/>
  <c r="B203" i="1"/>
  <c r="B1505" i="1"/>
  <c r="B1210" i="1"/>
  <c r="B132" i="1"/>
  <c r="B483" i="1"/>
  <c r="B1328" i="1"/>
  <c r="B218" i="1"/>
  <c r="B138" i="1"/>
  <c r="B1068" i="1"/>
  <c r="B822" i="1"/>
  <c r="B54" i="1"/>
  <c r="B468" i="1"/>
  <c r="B781" i="1"/>
  <c r="B1002" i="1"/>
  <c r="B1428" i="1"/>
  <c r="B600" i="1"/>
  <c r="B1058" i="1"/>
  <c r="B223" i="1"/>
  <c r="B173" i="1"/>
  <c r="B1040" i="1"/>
  <c r="B357" i="1"/>
  <c r="B123" i="1"/>
  <c r="B271" i="1"/>
  <c r="B1507" i="1"/>
  <c r="B64" i="1"/>
  <c r="B996" i="1"/>
  <c r="B97" i="1"/>
  <c r="B1188" i="1"/>
  <c r="B1224" i="1"/>
  <c r="B1472" i="1"/>
  <c r="B428" i="1"/>
  <c r="B240" i="1"/>
  <c r="B1049" i="1"/>
  <c r="B1095" i="1"/>
  <c r="B1266" i="1"/>
  <c r="B1371" i="1"/>
  <c r="B356" i="1"/>
  <c r="B948" i="1"/>
  <c r="B144" i="1"/>
  <c r="B519" i="1"/>
  <c r="B1502" i="1"/>
  <c r="B458" i="1"/>
  <c r="B26" i="1"/>
  <c r="B630" i="1"/>
  <c r="B953" i="1"/>
  <c r="B899" i="1"/>
  <c r="B875" i="1"/>
  <c r="B52" i="1"/>
  <c r="B1013" i="1"/>
  <c r="B627" i="1"/>
  <c r="B1146" i="1"/>
  <c r="B1169" i="1"/>
  <c r="B750" i="1"/>
  <c r="B1547" i="1"/>
  <c r="B553" i="1"/>
  <c r="B346" i="1"/>
  <c r="B27" i="1"/>
  <c r="B1304" i="1"/>
  <c r="B473" i="1"/>
  <c r="B1237" i="1"/>
  <c r="B945" i="1"/>
  <c r="B1289" i="1"/>
  <c r="B568" i="1"/>
  <c r="B1250" i="1"/>
  <c r="B509" i="1"/>
  <c r="B1173" i="1"/>
  <c r="B1190" i="1"/>
  <c r="B1036" i="1"/>
  <c r="B1462" i="1"/>
  <c r="B715" i="1"/>
  <c r="B1414" i="1"/>
  <c r="B160" i="1"/>
  <c r="B15" i="1"/>
  <c r="B1172" i="1"/>
  <c r="B1061" i="1"/>
  <c r="B420" i="1"/>
  <c r="B652" i="1"/>
  <c r="B234" i="1"/>
  <c r="B639" i="1"/>
  <c r="B1380" i="1"/>
  <c r="B34" i="1"/>
  <c r="B748" i="1"/>
  <c r="B436" i="1"/>
  <c r="B839" i="1"/>
  <c r="B1439" i="1"/>
  <c r="B1200" i="1"/>
  <c r="B851" i="1"/>
  <c r="B1412" i="1"/>
  <c r="B158" i="1"/>
  <c r="B925" i="1"/>
  <c r="B866" i="1"/>
  <c r="B150" i="1"/>
  <c r="B267" i="1"/>
  <c r="B170" i="1"/>
  <c r="B323" i="1"/>
  <c r="B312" i="1"/>
  <c r="B65" i="1"/>
  <c r="B1381" i="1"/>
  <c r="B1174" i="1"/>
  <c r="B504" i="1"/>
  <c r="B778" i="1"/>
  <c r="B189" i="1"/>
  <c r="B1341" i="1"/>
  <c r="B279" i="1"/>
  <c r="B33" i="1"/>
  <c r="B432" i="1"/>
  <c r="B1080" i="1"/>
  <c r="B727" i="1"/>
  <c r="B749" i="1"/>
  <c r="B377" i="1"/>
  <c r="B1005" i="1"/>
  <c r="B85" i="1"/>
  <c r="B397" i="1"/>
  <c r="B847" i="1"/>
  <c r="B964" i="1"/>
  <c r="B1164" i="1"/>
  <c r="B963" i="1"/>
  <c r="B1230" i="1"/>
  <c r="B406" i="1"/>
  <c r="B56" i="1"/>
  <c r="B370" i="1"/>
  <c r="B946" i="1"/>
  <c r="B299" i="1"/>
  <c r="B1035" i="1"/>
  <c r="B1389" i="1"/>
  <c r="B68" i="1"/>
  <c r="B1114" i="1"/>
  <c r="B1293" i="1"/>
  <c r="B889" i="1"/>
  <c r="B472" i="1"/>
  <c r="B802" i="1"/>
  <c r="B520" i="1"/>
  <c r="B211" i="1"/>
  <c r="B1419" i="1"/>
  <c r="B934" i="1"/>
  <c r="B1239" i="1"/>
  <c r="B290" i="1"/>
  <c r="B440" i="1"/>
  <c r="B443" i="1"/>
  <c r="B908" i="1"/>
  <c r="B1425" i="1"/>
  <c r="B300" i="1"/>
  <c r="B1482" i="1"/>
  <c r="B1285" i="1"/>
  <c r="B21" i="1"/>
  <c r="B153" i="1"/>
  <c r="B546" i="1"/>
  <c r="B460" i="1"/>
  <c r="B332" i="1"/>
  <c r="B767" i="1"/>
  <c r="B954" i="1"/>
  <c r="B1517" i="1"/>
  <c r="B579" i="1"/>
  <c r="B367" i="1"/>
  <c r="B981" i="1"/>
  <c r="B1318" i="1"/>
  <c r="B1228" i="1"/>
  <c r="B573" i="1"/>
  <c r="B374" i="1"/>
  <c r="B1292" i="1"/>
  <c r="B422" i="1"/>
  <c r="B1182" i="1"/>
  <c r="B330" i="1"/>
  <c r="B475" i="1"/>
  <c r="B1313" i="1"/>
  <c r="B1000" i="1"/>
  <c r="B470" i="1"/>
  <c r="B461" i="1"/>
  <c r="B850" i="1"/>
  <c r="B344" i="1"/>
  <c r="B1244" i="1"/>
  <c r="B552" i="1"/>
  <c r="B307" i="1"/>
  <c r="B1297" i="1"/>
  <c r="B695" i="1"/>
  <c r="B386" i="1"/>
  <c r="B515" i="1"/>
  <c r="B936" i="1"/>
  <c r="B632" i="1"/>
  <c r="B435" i="1"/>
  <c r="B1369" i="1"/>
  <c r="B758" i="1"/>
  <c r="B1176" i="1"/>
  <c r="B860" i="1"/>
  <c r="B633" i="1"/>
  <c r="B394" i="1"/>
  <c r="B1454" i="1"/>
  <c r="B369" i="1"/>
  <c r="B269" i="1"/>
  <c r="B1436" i="1"/>
  <c r="B743" i="1"/>
  <c r="B928" i="1"/>
  <c r="B689" i="1"/>
  <c r="B838" i="1"/>
  <c r="B477" i="1"/>
  <c r="B1287" i="1"/>
  <c r="B71" i="1"/>
  <c r="B292" i="1"/>
  <c r="B1534" i="1"/>
  <c r="B849" i="1"/>
  <c r="B510" i="1"/>
  <c r="B430" i="1"/>
  <c r="B698" i="1"/>
  <c r="B1430" i="1"/>
  <c r="B209" i="1"/>
  <c r="B527" i="1"/>
  <c r="B1225" i="1"/>
  <c r="B1468" i="1"/>
  <c r="B86" i="1"/>
  <c r="B1291" i="1"/>
  <c r="B47" i="1"/>
  <c r="B1311" i="1"/>
  <c r="B1199" i="1"/>
  <c r="B1256" i="1"/>
  <c r="B1051" i="1"/>
  <c r="B588" i="1"/>
  <c r="B970" i="1"/>
  <c r="B1132" i="1"/>
  <c r="B66" i="1"/>
  <c r="B529" i="1"/>
  <c r="B523" i="1"/>
  <c r="B583" i="1"/>
  <c r="B809" i="1"/>
  <c r="B757" i="1"/>
  <c r="B383" i="1"/>
  <c r="B1024" i="1"/>
  <c r="B1500" i="1"/>
  <c r="B584" i="1"/>
  <c r="B87" i="1"/>
  <c r="B722" i="1"/>
  <c r="B478" i="1"/>
  <c r="B1186" i="1"/>
  <c r="B618" i="1"/>
  <c r="B1531" i="1"/>
  <c r="B252" i="1"/>
  <c r="B95" i="1"/>
  <c r="B1207" i="1"/>
  <c r="B558" i="1"/>
  <c r="B429" i="1"/>
  <c r="B1220" i="1"/>
  <c r="B713" i="1"/>
  <c r="B248" i="1"/>
  <c r="B1473" i="1"/>
  <c r="B555" i="1"/>
  <c r="B496" i="1"/>
  <c r="B285" i="1"/>
  <c r="B983" i="1"/>
  <c r="B536" i="1"/>
  <c r="B284" i="1"/>
  <c r="B1072" i="1"/>
  <c r="B1099" i="1"/>
  <c r="B1445" i="1"/>
  <c r="B1133" i="1"/>
  <c r="B242" i="1"/>
  <c r="B673" i="1"/>
  <c r="B364" i="1"/>
  <c r="B407" i="1"/>
  <c r="B522" i="1"/>
  <c r="B251" i="1"/>
  <c r="B1011" i="1"/>
  <c r="B991" i="1"/>
  <c r="B157" i="1"/>
  <c r="B987" i="1"/>
  <c r="B126" i="1"/>
  <c r="B1202" i="1"/>
  <c r="B127" i="1"/>
  <c r="B1184" i="1"/>
  <c r="B1424" i="1"/>
  <c r="B206" i="1"/>
  <c r="B261" i="1"/>
  <c r="B694" i="1"/>
  <c r="B186" i="1"/>
  <c r="B492" i="1"/>
  <c r="B20" i="1"/>
  <c r="B233" i="1"/>
  <c r="B1209" i="1"/>
  <c r="B154" i="1"/>
  <c r="B8" i="1"/>
  <c r="B1009" i="1"/>
  <c r="B631" i="1"/>
  <c r="B830" i="1"/>
  <c r="B1469" i="1"/>
  <c r="B845" i="1"/>
  <c r="B604" i="1"/>
  <c r="B1345" i="1"/>
  <c r="B1147" i="1"/>
  <c r="B228" i="1"/>
  <c r="B852" i="1"/>
  <c r="B400" i="1"/>
  <c r="B909" i="1"/>
  <c r="B910" i="1"/>
  <c r="B914" i="1"/>
  <c r="B926" i="1"/>
  <c r="B947" i="1"/>
  <c r="B799" i="1"/>
  <c r="B1519" i="1"/>
  <c r="B1512" i="1"/>
  <c r="B706" i="1"/>
  <c r="B843" i="1"/>
  <c r="B1332" i="1"/>
  <c r="B1365" i="1"/>
  <c r="B805" i="1"/>
  <c r="B1273" i="1"/>
  <c r="B646" i="1"/>
  <c r="B1342" i="1"/>
  <c r="B658" i="1"/>
  <c r="B549" i="1"/>
  <c r="B368" i="1"/>
  <c r="B751" i="1"/>
  <c r="B403" i="1"/>
  <c r="B1349" i="1"/>
  <c r="B408" i="1"/>
  <c r="B951" i="1"/>
  <c r="B567" i="1"/>
  <c r="B1234" i="1"/>
  <c r="B1142" i="1"/>
  <c r="B989" i="1"/>
  <c r="B952" i="1"/>
  <c r="B736" i="1"/>
  <c r="B768" i="1"/>
  <c r="B1213" i="1"/>
  <c r="B112" i="1"/>
  <c r="B763" i="1"/>
  <c r="B425" i="1"/>
  <c r="B457" i="1"/>
  <c r="B276" i="1"/>
  <c r="B1201" i="1"/>
  <c r="B1141" i="1"/>
  <c r="B175" i="1"/>
  <c r="B923" i="1"/>
  <c r="B1064" i="1"/>
  <c r="B1421" i="1"/>
  <c r="B570" i="1"/>
  <c r="B232" i="1"/>
  <c r="B103" i="1"/>
  <c r="B1270" i="1"/>
  <c r="B676" i="1"/>
  <c r="B1194" i="1"/>
  <c r="B556" i="1"/>
  <c r="B1504" i="1"/>
  <c r="B1408" i="1"/>
  <c r="B1082" i="1"/>
  <c r="B80" i="1"/>
  <c r="B762" i="1"/>
  <c r="B803" i="1"/>
  <c r="B935" i="1"/>
  <c r="B1409" i="1"/>
  <c r="B129" i="1"/>
  <c r="B243" i="1"/>
  <c r="B829" i="1"/>
  <c r="B48" i="1"/>
  <c r="B385" i="1"/>
  <c r="B431" i="1"/>
  <c r="B848" i="1"/>
  <c r="B977" i="1"/>
  <c r="B1489" i="1"/>
  <c r="B539" i="1"/>
  <c r="B1171" i="1"/>
  <c r="B1465" i="1"/>
  <c r="B272" i="1"/>
  <c r="B1402" i="1"/>
  <c r="B1281" i="1"/>
  <c r="B1387" i="1"/>
  <c r="B886" i="1"/>
  <c r="B1255" i="1"/>
  <c r="B1252" i="1"/>
  <c r="B800" i="1"/>
  <c r="B857" i="1"/>
  <c r="B1459" i="1"/>
  <c r="B151" i="1"/>
  <c r="B259" i="1"/>
  <c r="B185" i="1"/>
  <c r="B1215" i="1"/>
  <c r="B1284" i="1"/>
  <c r="B1054" i="1"/>
  <c r="B998" i="1"/>
  <c r="B117" i="1"/>
  <c r="B297" i="1"/>
  <c r="B1300" i="1"/>
  <c r="B1062" i="1"/>
  <c r="B595" i="1"/>
  <c r="B1391" i="1"/>
  <c r="B590" i="1"/>
  <c r="B184" i="1"/>
  <c r="B14" i="1"/>
  <c r="B1359" i="1"/>
  <c r="B564" i="1"/>
  <c r="B1017" i="1"/>
  <c r="B621" i="1"/>
  <c r="B1023" i="1"/>
  <c r="B994" i="1"/>
  <c r="B177" i="1"/>
  <c r="B1265" i="1"/>
  <c r="B1282" i="1"/>
  <c r="B1106" i="1"/>
  <c r="B23" i="1"/>
  <c r="B1433" i="1"/>
  <c r="B1367" i="1"/>
  <c r="B214" i="1"/>
  <c r="B1314" i="1"/>
  <c r="B104" i="1"/>
  <c r="B181" i="1"/>
  <c r="B1385" i="1"/>
  <c r="B898" i="1"/>
  <c r="B808" i="1"/>
  <c r="B130" i="1"/>
  <c r="B179" i="1"/>
  <c r="B1016" i="1"/>
  <c r="B482" i="1"/>
  <c r="B877" i="1"/>
  <c r="B309" i="1"/>
  <c r="B1432" i="1"/>
  <c r="B1312" i="1"/>
  <c r="B742" i="1"/>
  <c r="B650" i="1"/>
  <c r="B1449" i="1"/>
  <c r="B1139" i="1"/>
  <c r="B349" i="1"/>
  <c r="B716" i="1"/>
  <c r="B738" i="1"/>
  <c r="B1247" i="1"/>
  <c r="B986" i="1"/>
  <c r="B876" i="1"/>
  <c r="B176" i="1"/>
  <c r="B1189" i="1"/>
  <c r="B1464" i="1"/>
  <c r="B734" i="1"/>
  <c r="B1288" i="1"/>
  <c r="B350" i="1"/>
  <c r="B1195" i="1"/>
  <c r="B1128" i="1"/>
  <c r="B770" i="1"/>
  <c r="B1470" i="1"/>
  <c r="B785" i="1"/>
  <c r="B611" i="1"/>
  <c r="B507" i="1"/>
  <c r="B1356" i="1"/>
  <c r="B1390" i="1"/>
  <c r="B316" i="1"/>
  <c r="B342" i="1"/>
  <c r="B895" i="1"/>
  <c r="B906" i="1"/>
  <c r="B691" i="1"/>
  <c r="B465" i="1"/>
  <c r="B1137" i="1"/>
  <c r="B1521" i="1"/>
  <c r="B322" i="1"/>
  <c r="B303" i="1"/>
  <c r="B1175" i="1"/>
  <c r="B229" i="1"/>
  <c r="B941" i="1"/>
  <c r="B137" i="1"/>
  <c r="B761" i="1"/>
  <c r="B619" i="1"/>
  <c r="B1052" i="1"/>
  <c r="B1160" i="1"/>
  <c r="B1372" i="1"/>
  <c r="B36" i="1"/>
  <c r="B390" i="1"/>
  <c r="B1020" i="1"/>
  <c r="B120" i="1"/>
  <c r="B348" i="1"/>
  <c r="B1212" i="1"/>
  <c r="B1484" i="1"/>
  <c r="B241" i="1"/>
  <c r="B1063" i="1"/>
  <c r="B667" i="1"/>
  <c r="B503" i="1"/>
  <c r="B501" i="1"/>
  <c r="B817" i="1"/>
  <c r="B1460" i="1"/>
  <c r="B959" i="1"/>
  <c r="B1222" i="1"/>
  <c r="B256" i="1"/>
  <c r="B363" i="1"/>
  <c r="B807" i="1"/>
  <c r="B696" i="1"/>
  <c r="B277" i="1"/>
  <c r="B565" i="1"/>
  <c r="B1057" i="1"/>
  <c r="B1497" i="1"/>
  <c r="B795" i="1"/>
  <c r="B671" i="1"/>
  <c r="B355" i="1"/>
  <c r="B1110" i="1"/>
  <c r="B121" i="1"/>
  <c r="B1264" i="1"/>
  <c r="B91" i="1"/>
  <c r="B918" i="1"/>
  <c r="B997" i="1"/>
  <c r="B535" i="1"/>
  <c r="B514" i="1"/>
  <c r="B61" i="1"/>
  <c r="B308" i="1"/>
  <c r="B124" i="1"/>
  <c r="B55" i="1"/>
  <c r="B1022" i="1"/>
  <c r="B1299" i="1"/>
  <c r="B1360" i="1"/>
  <c r="B815" i="1"/>
  <c r="B188" i="1"/>
  <c r="B1336" i="1"/>
  <c r="B674" i="1"/>
  <c r="B12" i="1"/>
  <c r="B1475" i="1"/>
  <c r="B708" i="1"/>
  <c r="B1378" i="1"/>
  <c r="B995" i="1"/>
  <c r="B709" i="1"/>
  <c r="B1461" i="1"/>
  <c r="B1450" i="1"/>
  <c r="B777" i="1"/>
  <c r="B1398" i="1"/>
  <c r="B1549" i="1"/>
  <c r="B373" i="1"/>
  <c r="B902" i="1"/>
  <c r="B976" i="1"/>
  <c r="B1334" i="1"/>
  <c r="B288" i="1"/>
  <c r="B102" i="1"/>
  <c r="B99" i="1"/>
  <c r="B18" i="1"/>
  <c r="B90" i="1"/>
  <c r="B1431" i="1"/>
  <c r="B198" i="1"/>
  <c r="B557" i="1"/>
  <c r="B636" i="1"/>
  <c r="B864" i="1"/>
  <c r="B287" i="1"/>
  <c r="B484" i="1"/>
  <c r="B1163" i="1"/>
  <c r="B615" i="1"/>
  <c r="B360" i="1"/>
  <c r="B670" i="1"/>
  <c r="B107" i="1"/>
  <c r="B543" i="1"/>
  <c r="B593" i="1"/>
  <c r="B1440" i="1"/>
  <c r="B718" i="1"/>
  <c r="B3" i="1"/>
  <c r="B872" i="1"/>
  <c r="B524" i="1"/>
  <c r="B495" i="1"/>
  <c r="B266" i="1"/>
  <c r="B1542" i="1"/>
  <c r="B1354" i="1"/>
  <c r="B310" i="1"/>
  <c r="B376" i="1"/>
  <c r="B417" i="1"/>
  <c r="B1296" i="1"/>
  <c r="B1333" i="1"/>
  <c r="B1112" i="1"/>
  <c r="B1272" i="1"/>
  <c r="B1093" i="1"/>
  <c r="B1322" i="1"/>
  <c r="B835" i="1"/>
  <c r="B1383" i="1"/>
  <c r="B638" i="1"/>
  <c r="B871" i="1"/>
  <c r="B1337" i="1"/>
  <c r="B1448" i="1"/>
  <c r="B372" i="1"/>
  <c r="B1429" i="1"/>
  <c r="B1538" i="1"/>
  <c r="B999" i="1"/>
  <c r="B648" i="1"/>
  <c r="B922" i="1"/>
  <c r="B493" i="1"/>
  <c r="B35" i="1"/>
  <c r="B1320" i="1"/>
  <c r="B668" i="1"/>
  <c r="B831" i="1"/>
  <c r="B687" i="1"/>
  <c r="B32" i="1"/>
  <c r="B755" i="1"/>
  <c r="B1518" i="1"/>
  <c r="B1178" i="1"/>
  <c r="B1487" i="1"/>
  <c r="B1140" i="1"/>
  <c r="B1343" i="1"/>
  <c r="B419" i="1"/>
  <c r="B282" i="1"/>
  <c r="B1096" i="1"/>
  <c r="B225" i="1"/>
  <c r="B554" i="1"/>
  <c r="B1241" i="1"/>
  <c r="B732" i="1"/>
  <c r="B1481" i="1"/>
  <c r="B1143" i="1"/>
  <c r="B924" i="1"/>
  <c r="B856" i="1"/>
  <c r="B30" i="1"/>
  <c r="B82" i="1"/>
  <c r="B1100" i="1"/>
  <c r="B865" i="1"/>
  <c r="B1254" i="1"/>
  <c r="B724" i="1"/>
  <c r="B561" i="1"/>
  <c r="B1327" i="1"/>
  <c r="B1145" i="1"/>
  <c r="B578" i="1"/>
  <c r="B893" i="1"/>
  <c r="B1290" i="1"/>
  <c r="B988" i="1"/>
  <c r="B1187" i="1"/>
  <c r="B207" i="1"/>
  <c r="B599" i="1"/>
  <c r="B192" i="1"/>
  <c r="B1453" i="1"/>
  <c r="B6" i="1"/>
  <c r="B1494" i="1"/>
  <c r="B1443" i="1"/>
  <c r="B960" i="1"/>
  <c r="B1275" i="1"/>
  <c r="B1046" i="1"/>
  <c r="B1253" i="1"/>
  <c r="B1102" i="1"/>
  <c r="B1226" i="1"/>
  <c r="B792" i="1"/>
  <c r="B563" i="1"/>
  <c r="B502" i="1"/>
  <c r="B187" i="1"/>
  <c r="B868" i="1"/>
  <c r="B1455" i="1"/>
  <c r="B1111" i="1"/>
  <c r="B433" i="1"/>
  <c r="B1087" i="1"/>
  <c r="B1335" i="1"/>
  <c r="B447" i="1"/>
  <c r="B427" i="1"/>
  <c r="B810" i="1"/>
  <c r="B680" i="1"/>
  <c r="B294" i="1"/>
  <c r="B586" i="1"/>
  <c r="B1204" i="1"/>
  <c r="B544" i="1"/>
  <c r="B1121" i="1"/>
  <c r="B744" i="1"/>
  <c r="B915" i="1"/>
  <c r="B1364" i="1"/>
  <c r="B391" i="1"/>
  <c r="B532" i="1"/>
  <c r="B684" i="1"/>
  <c r="B1104" i="1"/>
  <c r="B682" i="1"/>
  <c r="B905" i="1"/>
  <c r="B210" i="1"/>
  <c r="B317" i="1"/>
  <c r="B1091" i="1"/>
  <c r="B416" i="1"/>
  <c r="B613" i="1"/>
  <c r="B326" i="1"/>
  <c r="B566" i="1"/>
  <c r="B101" i="1"/>
  <c r="B314" i="1"/>
  <c r="B1043" i="1"/>
  <c r="B24" i="1"/>
  <c r="B1400" i="1"/>
  <c r="B772" i="1"/>
  <c r="B1393" i="1"/>
  <c r="B969" i="1"/>
  <c r="B801" i="1"/>
  <c r="B494" i="1"/>
  <c r="B227" i="1"/>
  <c r="B1331" i="1"/>
  <c r="B1004" i="1"/>
  <c r="B642" i="1"/>
  <c r="B1105" i="1"/>
  <c r="B5" i="1"/>
  <c r="B612" i="1"/>
  <c r="B328" i="1"/>
  <c r="B571" i="1"/>
  <c r="B585" i="1"/>
  <c r="B840" i="1"/>
  <c r="B855" i="1"/>
  <c r="B116" i="1"/>
  <c r="B1248" i="1"/>
  <c r="B1347" i="1"/>
  <c r="B263" i="1"/>
  <c r="B1330" i="1"/>
  <c r="B634" i="1"/>
  <c r="B705" i="1"/>
  <c r="B347" i="1"/>
  <c r="B796" i="1"/>
  <c r="B389" i="1"/>
  <c r="B1115" i="1"/>
  <c r="B46" i="1"/>
  <c r="B1047" i="1"/>
  <c r="B441" i="1"/>
  <c r="B245" i="1"/>
  <c r="B685" i="1"/>
  <c r="B247" i="1"/>
  <c r="B1546" i="1"/>
  <c r="B531" i="1"/>
  <c r="B1125" i="1"/>
  <c r="B664" i="1"/>
  <c r="B19" i="1"/>
  <c r="B885" i="1"/>
  <c r="B589" i="1"/>
  <c r="B790" i="1"/>
  <c r="B222" i="1"/>
  <c r="B1503" i="1"/>
  <c r="B13" i="1"/>
  <c r="B1388" i="1"/>
  <c r="B1493" i="1"/>
  <c r="B455" i="1"/>
  <c r="B797" i="1"/>
  <c r="B735" i="1"/>
  <c r="B721" i="1"/>
  <c r="B336" i="1"/>
  <c r="B623" i="1"/>
  <c r="B1551" i="1"/>
  <c r="B1458" i="1"/>
  <c r="B110" i="1"/>
  <c r="B1477" i="1"/>
  <c r="B1376" i="1"/>
  <c r="B1138" i="1"/>
  <c r="B1119" i="1"/>
  <c r="B105" i="1"/>
  <c r="B152" i="1"/>
  <c r="B1037" i="1"/>
  <c r="B1302" i="1"/>
  <c r="B559" i="1"/>
  <c r="B1486" i="1"/>
  <c r="B249" i="1"/>
  <c r="B341" i="1"/>
  <c r="B629" i="1"/>
  <c r="B932" i="1"/>
  <c r="B1109" i="1"/>
  <c r="B958" i="1"/>
  <c r="B1508" i="1"/>
  <c r="B644" i="1"/>
  <c r="B707" i="1"/>
  <c r="B903" i="1"/>
  <c r="B784" i="1"/>
  <c r="B1501" i="1"/>
  <c r="B1070" i="1"/>
  <c r="B212" i="1"/>
  <c r="B338" i="1"/>
  <c r="B1401" i="1"/>
  <c r="B471" i="1"/>
  <c r="B142" i="1"/>
  <c r="B930" i="1"/>
  <c r="B719" i="1"/>
  <c r="B1404" i="1"/>
  <c r="B298" i="1"/>
  <c r="B1155" i="1"/>
  <c r="B1161" i="1"/>
  <c r="B148" i="1"/>
  <c r="B396" i="1"/>
  <c r="B560" i="1"/>
  <c r="B892" i="1"/>
  <c r="B582" i="1"/>
  <c r="B1041" i="1"/>
  <c r="B1395" i="1"/>
  <c r="B1008" i="1"/>
  <c r="B1168" i="1"/>
  <c r="B974" i="1"/>
  <c r="B1379" i="1"/>
  <c r="B257" i="1"/>
  <c r="B162" i="1"/>
  <c r="B1363" i="1"/>
  <c r="B1514" i="1"/>
  <c r="B79" i="1"/>
  <c r="B1370" i="1"/>
  <c r="B794" i="1"/>
  <c r="B620" i="1"/>
  <c r="B1238" i="1"/>
  <c r="B607" i="1"/>
  <c r="B237" i="1"/>
  <c r="B896" i="1"/>
  <c r="B1375" i="1"/>
  <c r="B459" i="1"/>
  <c r="B1158" i="1"/>
  <c r="B31" i="1"/>
  <c r="B337" i="1"/>
  <c r="B717" i="1"/>
  <c r="B11" i="1"/>
  <c r="B1135" i="1"/>
  <c r="B1532" i="1"/>
  <c r="B1447" i="1"/>
  <c r="B920" i="1"/>
  <c r="B626" i="1"/>
  <c r="B551" i="1"/>
  <c r="B205" i="1"/>
  <c r="B937" i="1"/>
  <c r="B75" i="1"/>
  <c r="B375" i="1"/>
  <c r="B448" i="1"/>
  <c r="B1361" i="1"/>
  <c r="B359" i="1"/>
  <c r="B491" i="1"/>
  <c r="B580" i="1"/>
  <c r="B788" i="1"/>
  <c r="B378" i="1"/>
  <c r="B1480" i="1"/>
  <c r="B517" i="1"/>
  <c r="B1152" i="1"/>
  <c r="B1283" i="1"/>
  <c r="B118" i="1"/>
  <c r="B236" i="1"/>
  <c r="B1358" i="1"/>
  <c r="B195" i="1"/>
  <c r="B487" i="1"/>
  <c r="B1277" i="1"/>
  <c r="B1355" i="1"/>
  <c r="B511" i="1"/>
  <c r="B57" i="1"/>
  <c r="B1113" i="1"/>
  <c r="B466" i="1"/>
  <c r="B540" i="1"/>
  <c r="B916" i="1"/>
  <c r="B270" i="1"/>
  <c r="B961" i="1"/>
  <c r="B873" i="1"/>
  <c r="B17" i="1"/>
  <c r="B572" i="1"/>
  <c r="B793" i="1"/>
  <c r="B1552" i="1"/>
  <c r="B628" i="1"/>
  <c r="B324" i="1"/>
  <c r="B1010" i="1"/>
  <c r="B434" i="1"/>
  <c r="B666" i="1"/>
  <c r="B813" i="1"/>
  <c r="B220" i="1"/>
  <c r="B1417" i="1"/>
  <c r="B1092" i="1"/>
  <c r="B231" i="1"/>
  <c r="B490" i="1"/>
  <c r="B1098" i="1"/>
  <c r="B1227" i="1"/>
  <c r="B1319" i="1"/>
  <c r="B1180" i="1"/>
  <c r="B1030" i="1"/>
  <c r="B513" i="1"/>
  <c r="B764" i="1"/>
  <c r="B325" i="1"/>
  <c r="B782" i="1"/>
  <c r="B1543" i="1"/>
  <c r="B74" i="1"/>
  <c r="B654" i="1"/>
  <c r="B943" i="1"/>
  <c r="B354" i="1"/>
  <c r="B1315" i="1"/>
  <c r="B598" i="1"/>
  <c r="B929" i="1"/>
  <c r="B854" i="1"/>
  <c r="B1344" i="1"/>
  <c r="B1007" i="1"/>
  <c r="B609" i="1"/>
  <c r="B333" i="1"/>
  <c r="B1373" i="1"/>
  <c r="B1386" i="1"/>
  <c r="B78" i="1"/>
  <c r="B38" i="1"/>
  <c r="B180" i="1"/>
  <c r="B41" i="1"/>
  <c r="B754" i="1"/>
  <c r="B166" i="1"/>
  <c r="B128" i="1"/>
  <c r="B592" i="1"/>
  <c r="B1211" i="1"/>
  <c r="B1085" i="1"/>
  <c r="B814" i="1"/>
  <c r="B950" i="1"/>
  <c r="B841" i="1"/>
  <c r="B413" i="1"/>
  <c r="B84" i="1"/>
  <c r="B1193" i="1"/>
  <c r="B1031" i="1"/>
  <c r="B481" i="1"/>
  <c r="B411" i="1"/>
  <c r="B597" i="1"/>
  <c r="B404" i="1"/>
  <c r="B500" i="1"/>
  <c r="B98" i="1"/>
  <c r="B155" i="1"/>
  <c r="B1177" i="1"/>
  <c r="B594" i="1"/>
  <c r="B1263" i="1"/>
  <c r="B1339" i="1"/>
  <c r="B968" i="1"/>
  <c r="B975" i="1"/>
  <c r="B1397" i="1"/>
  <c r="B193" i="1"/>
  <c r="B1509" i="1"/>
  <c r="B651" i="1"/>
  <c r="B1550" i="1"/>
  <c r="B1506" i="1"/>
  <c r="B1033" i="1"/>
  <c r="B1438" i="1"/>
  <c r="B1019" i="1"/>
  <c r="B1317" i="1"/>
  <c r="B238" i="1"/>
  <c r="B1018" i="1"/>
  <c r="B647" i="1"/>
  <c r="B775" i="1"/>
  <c r="B1042" i="1"/>
  <c r="B1185" i="1"/>
  <c r="B1326" i="1"/>
  <c r="B463" i="1"/>
  <c r="B1028" i="1"/>
  <c r="B1223" i="1"/>
  <c r="B1528" i="1"/>
  <c r="B967" i="1"/>
  <c r="B837" i="1"/>
  <c r="B62" i="1"/>
  <c r="B291" i="1"/>
  <c r="B833" i="1"/>
  <c r="B415" i="1"/>
  <c r="B1151" i="1"/>
  <c r="B100" i="1"/>
  <c r="B979" i="1"/>
  <c r="B957" i="1"/>
  <c r="B1167" i="1"/>
  <c r="B508" i="1"/>
  <c r="B1427" i="1"/>
  <c r="B541" i="1"/>
  <c r="B1303" i="1"/>
  <c r="B73" i="1"/>
  <c r="B1034" i="1"/>
  <c r="B67" i="1"/>
  <c r="B83" i="1"/>
  <c r="B343" i="1"/>
  <c r="B962" i="1"/>
  <c r="B759" i="1"/>
  <c r="B512" i="1"/>
  <c r="B50" i="1"/>
  <c r="B779" i="1"/>
  <c r="B1536" i="1"/>
  <c r="B327" i="1"/>
  <c r="B194" i="1"/>
  <c r="B51" i="1"/>
  <c r="B1191" i="1"/>
  <c r="B681" i="1"/>
  <c r="B731" i="1"/>
  <c r="B1491" i="1"/>
  <c r="B275" i="1"/>
  <c r="B221" i="1"/>
  <c r="B867" i="1"/>
  <c r="B665" i="1"/>
  <c r="B1442" i="1"/>
  <c r="B1012" i="1"/>
  <c r="B826" i="1"/>
  <c r="B113" i="1"/>
  <c r="B295" i="1"/>
  <c r="B393" i="1"/>
  <c r="B4" i="1"/>
  <c r="B358" i="1"/>
  <c r="B1067" i="1"/>
  <c r="B1280" i="1"/>
  <c r="B1499" i="1"/>
  <c r="B296" i="1"/>
  <c r="B1415" i="1"/>
  <c r="B480" i="1"/>
  <c r="B820" i="1"/>
  <c r="B608" i="1"/>
  <c r="B1134" i="1"/>
  <c r="B874" i="1"/>
  <c r="B1131" i="1"/>
  <c r="B1259" i="1"/>
  <c r="B301" i="1"/>
  <c r="B834" i="1"/>
  <c r="B1510" i="1"/>
  <c r="B603" i="1"/>
  <c r="B382" i="1"/>
  <c r="B366" i="1"/>
  <c r="B280" i="1"/>
  <c r="B1243" i="1"/>
  <c r="B1522" i="1"/>
  <c r="B1413" i="1"/>
  <c r="B606" i="1"/>
  <c r="B25" i="1"/>
  <c r="B387" i="1"/>
  <c r="B745" i="1"/>
  <c r="B384" i="1"/>
  <c r="B1179" i="1"/>
  <c r="B1267" i="1"/>
  <c r="B688" i="1"/>
  <c r="B446" i="1"/>
  <c r="B816" i="1"/>
  <c r="B304" i="1"/>
  <c r="B641" i="1"/>
  <c r="B58" i="1"/>
  <c r="B1353" i="1"/>
  <c r="B1351" i="1"/>
  <c r="B538" i="1"/>
  <c r="B702" i="1"/>
  <c r="B59" i="1"/>
  <c r="B1276" i="1"/>
  <c r="B476" i="1"/>
  <c r="B244" i="1"/>
  <c r="B677" i="1"/>
  <c r="B1083" i="1"/>
  <c r="B7" i="1"/>
  <c r="B1476" i="1"/>
  <c r="B1271" i="1"/>
  <c r="B913" i="1"/>
  <c r="B1116" i="1"/>
  <c r="B728" i="1"/>
  <c r="B675" i="1"/>
  <c r="B939" i="1"/>
  <c r="B518" i="1"/>
  <c r="B992" i="1"/>
  <c r="B659" i="1"/>
  <c r="B421" i="1"/>
  <c r="B1251" i="1"/>
  <c r="B703" i="1"/>
  <c r="B1403" i="1"/>
  <c r="B106" i="1"/>
  <c r="B978" i="1"/>
  <c r="B1520" i="1"/>
  <c r="B726" i="1"/>
  <c r="B711" i="1"/>
  <c r="B345" i="1"/>
  <c r="B1492" i="1"/>
  <c r="B887" i="1"/>
  <c r="B265" i="1"/>
  <c r="B821" i="1"/>
  <c r="B1088" i="1"/>
  <c r="B870" i="1"/>
  <c r="B1437" i="1"/>
  <c r="B894" i="1"/>
  <c r="B1260" i="1"/>
  <c r="B22" i="1"/>
  <c r="B489" i="1"/>
  <c r="B159" i="1"/>
  <c r="B712" i="1"/>
  <c r="B289" i="1"/>
  <c r="B1118" i="1"/>
  <c r="B739" i="1"/>
  <c r="B842" i="1"/>
  <c r="B1048" i="1"/>
  <c r="B880" i="1"/>
  <c r="B605" i="1"/>
  <c r="B302" i="1"/>
  <c r="B1535" i="1"/>
  <c r="B445" i="1"/>
  <c r="B1516" i="1"/>
  <c r="B365" i="1"/>
  <c r="B1166" i="1"/>
  <c r="B351" i="1"/>
  <c r="B526" i="1"/>
  <c r="B1165" i="1"/>
  <c r="B693" i="1"/>
  <c r="B371" i="1"/>
  <c r="B901" i="1"/>
  <c r="B1548" i="1"/>
  <c r="B1474" i="1"/>
  <c r="B1032" i="1"/>
  <c r="B776" i="1"/>
  <c r="B96" i="1"/>
  <c r="B200" i="1"/>
  <c r="B164" i="1"/>
  <c r="B1446" i="1"/>
  <c r="B485" i="1"/>
  <c r="B133" i="1"/>
  <c r="B710" i="1"/>
  <c r="B1466" i="1"/>
  <c r="B49" i="1"/>
  <c r="B1097" i="1"/>
  <c r="B1197" i="1"/>
  <c r="B548" i="1"/>
  <c r="B63" i="1"/>
  <c r="B1338" i="1"/>
  <c r="B990" i="1"/>
  <c r="B940" i="1"/>
  <c r="B497" i="1"/>
  <c r="B827" i="1"/>
  <c r="B882" i="1"/>
  <c r="B1399" i="1"/>
  <c r="B1159" i="1"/>
  <c r="B786" i="1"/>
  <c r="B863" i="1"/>
  <c r="B488" i="1"/>
  <c r="B1537" i="1"/>
  <c r="B575" i="1"/>
  <c r="B340" i="1"/>
  <c r="B542" i="1"/>
  <c r="B933" i="1"/>
  <c r="B1198" i="1"/>
  <c r="B1423" i="1"/>
  <c r="B1090" i="1"/>
  <c r="B412" i="1"/>
  <c r="B1045" i="1"/>
  <c r="B1269" i="1"/>
  <c r="B1410" i="1"/>
  <c r="B146" i="1"/>
  <c r="B1015" i="1"/>
  <c r="B1362" i="1"/>
  <c r="B1357" i="1"/>
  <c r="B591" i="1"/>
  <c r="B178" i="1"/>
  <c r="B787" i="1"/>
  <c r="B141" i="1"/>
  <c r="B109" i="1"/>
  <c r="B1407" i="1"/>
  <c r="B1117" i="1"/>
  <c r="B729" i="1"/>
  <c r="B467" i="1"/>
  <c r="B1221" i="1"/>
  <c r="B1069" i="1"/>
  <c r="B381" i="1"/>
  <c r="B1150" i="1"/>
  <c r="B1268" i="1"/>
  <c r="B888" i="1"/>
  <c r="B1130" i="1"/>
  <c r="B927" i="1"/>
  <c r="B273" i="1"/>
  <c r="B804" i="1"/>
  <c r="B40" i="1"/>
  <c r="B1451" i="1"/>
  <c r="B1149" i="1"/>
  <c r="B190" i="1"/>
  <c r="B812" i="1"/>
  <c r="B1235" i="1"/>
  <c r="B70" i="1"/>
  <c r="B714" i="1"/>
  <c r="B733" i="1"/>
  <c r="B1014" i="1"/>
  <c r="B931" i="1"/>
  <c r="B1340" i="1"/>
  <c r="B94" i="1"/>
  <c r="B911" i="1"/>
  <c r="B1162" i="1"/>
  <c r="B1148" i="1"/>
  <c r="B1060" i="1"/>
  <c r="B1056" i="1"/>
  <c r="B262" i="1"/>
  <c r="B1208" i="1"/>
  <c r="B1181" i="1"/>
  <c r="B1396" i="1"/>
  <c r="B183" i="1"/>
  <c r="B1511" i="1"/>
  <c r="B1495" i="1"/>
  <c r="B89" i="1"/>
  <c r="B329" i="1"/>
  <c r="B771" i="1"/>
  <c r="B168" i="1"/>
  <c r="B474" i="1"/>
  <c r="B444" i="1"/>
  <c r="B1434" i="1"/>
  <c r="B1485" i="1"/>
  <c r="B1144" i="1"/>
  <c r="B1124" i="1"/>
  <c r="B1257" i="1"/>
  <c r="B545" i="1"/>
  <c r="B388" i="1"/>
  <c r="B1076" i="1"/>
  <c r="B610" i="1"/>
  <c r="B1306" i="1"/>
  <c r="B1406" i="1"/>
  <c r="B955" i="1"/>
  <c r="B215" i="1"/>
  <c r="B1325" i="1"/>
  <c r="B1123" i="1"/>
  <c r="B521" i="1"/>
  <c r="B1262" i="1"/>
  <c r="B1236" i="1"/>
  <c r="B196" i="1"/>
  <c r="B938" i="1"/>
  <c r="B335" i="1"/>
  <c r="B224" i="1"/>
  <c r="B1079" i="1"/>
  <c r="B656" i="1"/>
  <c r="B498" i="1"/>
  <c r="B921" i="1"/>
  <c r="B246" i="1"/>
  <c r="B528" i="1"/>
  <c r="B858" i="1"/>
  <c r="B1218" i="1"/>
  <c r="B862" i="1"/>
  <c r="B362" i="1"/>
  <c r="B1295" i="1"/>
  <c r="B1232" i="1"/>
  <c r="B616" i="1"/>
  <c r="B836" i="1"/>
  <c r="B439" i="1"/>
  <c r="B1081" i="1"/>
  <c r="B156" i="1"/>
  <c r="B1394" i="1"/>
  <c r="B1075" i="1"/>
  <c r="B69" i="1"/>
  <c r="B1294" i="1"/>
  <c r="B452" i="1"/>
  <c r="B980" i="1"/>
  <c r="B1309" i="1"/>
  <c r="B161" i="1"/>
  <c r="B625" i="1"/>
  <c r="B306" i="1"/>
  <c r="B752" i="1"/>
  <c r="B60" i="1"/>
  <c r="B516" i="1"/>
  <c r="B1206" i="1"/>
  <c r="B1089" i="1"/>
  <c r="B111" i="1"/>
  <c r="B462" i="1"/>
  <c r="B832" i="1"/>
  <c r="B730" i="1"/>
  <c r="B645" i="1"/>
  <c r="B72" i="1"/>
  <c r="B624" i="1"/>
  <c r="B147" i="1"/>
  <c r="B197" i="1"/>
  <c r="B530" i="1"/>
  <c r="B76" i="1"/>
  <c r="B1523" i="1"/>
  <c r="B780" i="1"/>
  <c r="B16" i="1"/>
  <c r="B1107" i="1"/>
  <c r="B1420" i="1"/>
  <c r="B653" i="1"/>
  <c r="B125" i="1"/>
  <c r="B216" i="1"/>
  <c r="B649" i="1"/>
  <c r="B1122" i="1"/>
  <c r="B678" i="1"/>
  <c r="B250" i="1"/>
  <c r="B823" i="1"/>
  <c r="B199" i="1"/>
  <c r="B506" i="1"/>
  <c r="B226" i="1"/>
  <c r="B167" i="1"/>
  <c r="B402" i="1"/>
  <c r="B456" i="1"/>
  <c r="B93" i="1"/>
  <c r="B1350" i="1"/>
  <c r="B479" i="1"/>
  <c r="B278" i="1"/>
  <c r="B869" i="1"/>
  <c r="B405" i="1"/>
  <c r="B1261" i="1"/>
  <c r="B828" i="1"/>
  <c r="B1324" i="1"/>
  <c r="B321" i="1"/>
  <c r="B1526" i="1"/>
  <c r="B881" i="1"/>
  <c r="B993" i="1"/>
  <c r="B319" i="1"/>
  <c r="B746" i="1"/>
  <c r="B92" i="1"/>
  <c r="B426" i="1"/>
  <c r="B1229" i="1"/>
  <c r="B1216" i="1"/>
  <c r="B1278" i="1"/>
  <c r="B339" i="1"/>
  <c r="B1039" i="1"/>
  <c r="B635" i="1"/>
  <c r="B281" i="1"/>
  <c r="B217" i="1"/>
  <c r="B1073" i="1"/>
  <c r="B765" i="1"/>
  <c r="B1059" i="1"/>
  <c r="B663" i="1"/>
  <c r="B1074" i="1"/>
  <c r="B1374" i="1"/>
  <c r="B1066" i="1"/>
  <c r="B1392" i="1"/>
  <c r="B1515" i="1"/>
  <c r="B172" i="1"/>
  <c r="B134" i="1"/>
  <c r="B1053" i="1"/>
  <c r="B1457" i="1"/>
  <c r="B789" i="1"/>
  <c r="B1108" i="1"/>
  <c r="B1025" i="1"/>
  <c r="B679" i="1"/>
  <c r="B1086" i="1"/>
  <c r="B1129" i="1"/>
  <c r="B201" i="1"/>
  <c r="B315" i="1"/>
  <c r="B741" i="1"/>
  <c r="B1530" i="1"/>
  <c r="B258" i="1"/>
  <c r="B1346" i="1"/>
  <c r="B43" i="1"/>
  <c r="B1101" i="1"/>
  <c r="B1478" i="1"/>
  <c r="B1154" i="1"/>
  <c r="B587" i="1"/>
  <c r="B1384" i="1"/>
  <c r="B769" i="1"/>
  <c r="B1467" i="1"/>
  <c r="B1498" i="1"/>
  <c r="B453" i="1"/>
  <c r="B1126" i="1"/>
  <c r="B1463" i="1"/>
  <c r="B534" i="1"/>
  <c r="B643" i="1"/>
  <c r="B1170" i="1"/>
  <c r="B1441" i="1"/>
  <c r="B1513" i="1"/>
  <c r="B122" i="1"/>
  <c r="B204" i="1"/>
  <c r="B1541" i="1"/>
  <c r="B274" i="1"/>
  <c r="B1416" i="1"/>
  <c r="B819" i="1"/>
  <c r="B1077" i="1"/>
  <c r="B260" i="1"/>
  <c r="B115" i="1"/>
  <c r="B305" i="1"/>
  <c r="B239" i="1"/>
  <c r="B380" i="1"/>
  <c r="B1274" i="1"/>
  <c r="B637" i="1"/>
  <c r="B264" i="1"/>
  <c r="B720" i="1"/>
  <c r="B1352" i="1"/>
  <c r="B1471" i="1"/>
  <c r="B825" i="1"/>
  <c r="B861" i="1"/>
  <c r="B1192" i="1"/>
  <c r="B286" i="1"/>
  <c r="B692" i="1"/>
  <c r="B1065" i="1"/>
  <c r="B423" i="1"/>
  <c r="B1323" i="1"/>
  <c r="B1021" i="1"/>
  <c r="B1426" i="1"/>
  <c r="B1246" i="1"/>
  <c r="B1027" i="1"/>
  <c r="B1444" i="1"/>
  <c r="B1003" i="1"/>
  <c r="B1245" i="1"/>
  <c r="B1214" i="1"/>
  <c r="B454" i="1"/>
  <c r="B499" i="1"/>
  <c r="B77" i="1"/>
  <c r="B219" i="1"/>
  <c r="B1329" i="1"/>
  <c r="B1382" i="1"/>
  <c r="B811" i="1"/>
  <c r="B704" i="1"/>
  <c r="B311" i="1"/>
  <c r="B450" i="1"/>
  <c r="B352" i="1"/>
  <c r="B806" i="1"/>
  <c r="B1310" i="1"/>
  <c r="B145" i="1"/>
  <c r="B464" i="1"/>
  <c r="B253" i="1"/>
  <c r="B182" i="1"/>
  <c r="B581" i="1"/>
  <c r="B1203" i="1"/>
  <c r="B392" i="1"/>
  <c r="B1524" i="1"/>
  <c r="B1006" i="1"/>
  <c r="B1055" i="1"/>
  <c r="B140" i="1"/>
  <c r="B966" i="1"/>
  <c r="B202" i="1"/>
  <c r="B268" i="1"/>
  <c r="B1496" i="1"/>
  <c r="B890" i="1"/>
  <c r="B601" i="1"/>
  <c r="B53" i="1"/>
  <c r="B1071" i="1"/>
  <c r="B900" i="1"/>
  <c r="B550" i="1"/>
  <c r="B409" i="1"/>
  <c r="B29" i="1"/>
  <c r="B119" i="1"/>
  <c r="B912" i="1"/>
  <c r="B486" i="1"/>
  <c r="B1038" i="1"/>
  <c r="B614" i="1"/>
  <c r="B399" i="1"/>
  <c r="B891" i="1"/>
  <c r="B1279" i="1"/>
  <c r="B971" i="1"/>
  <c r="B760" i="1"/>
  <c r="B437" i="1"/>
  <c r="B1377" i="1"/>
  <c r="B114" i="1"/>
  <c r="B1153" i="1"/>
  <c r="B701" i="1"/>
  <c r="B1545" i="1"/>
  <c r="B1525" i="1"/>
  <c r="B334" i="1"/>
  <c r="B844" i="1"/>
  <c r="B683" i="1"/>
  <c r="B293" i="1"/>
  <c r="B783" i="1"/>
  <c r="B149" i="1"/>
  <c r="B699" i="1"/>
  <c r="B9" i="1"/>
  <c r="B640" i="1"/>
  <c r="B1301" i="1"/>
  <c r="B469" i="1"/>
  <c r="B451" i="1"/>
  <c r="B438" i="1"/>
  <c r="B1219" i="1"/>
  <c r="B562" i="1"/>
  <c r="B756" i="1"/>
  <c r="B318" i="1"/>
  <c r="B39" i="1"/>
  <c r="B1529" i="1"/>
  <c r="B1308" i="1"/>
  <c r="B1026" i="1"/>
  <c r="B1368" i="1"/>
  <c r="B1483" i="1"/>
  <c r="B883" i="1"/>
  <c r="B191" i="1"/>
  <c r="B1540" i="1"/>
  <c r="B846" i="1"/>
  <c r="B1488" i="1"/>
  <c r="B1456" i="1"/>
  <c r="B1001" i="1"/>
  <c r="B213" i="1"/>
  <c r="B414" i="1"/>
  <c r="B690" i="1"/>
  <c r="B108" i="1"/>
  <c r="B313" i="1"/>
  <c r="B853" i="1"/>
  <c r="B907" i="1"/>
  <c r="B740" i="1"/>
  <c r="B1233" i="1"/>
  <c r="B622" i="1"/>
  <c r="B818" i="1"/>
  <c r="B230" i="1"/>
  <c r="B1231" i="1"/>
  <c r="B984" i="1"/>
  <c r="B697" i="1"/>
  <c r="B1094" i="1"/>
  <c r="B1422" i="1"/>
  <c r="B1533" i="1"/>
  <c r="B533" i="1"/>
  <c r="B1298" i="1"/>
  <c r="B956" i="1"/>
  <c r="B1405" i="1"/>
  <c r="B596" i="1"/>
  <c r="B1136" i="1"/>
  <c r="B395" i="1"/>
  <c r="B537" i="1"/>
  <c r="B1103" i="1"/>
  <c r="B410" i="1"/>
  <c r="B283" i="1"/>
  <c r="B1249" i="1"/>
  <c r="B798" i="1"/>
  <c r="B773" i="1"/>
  <c r="B942" i="1"/>
  <c r="B136" i="1"/>
  <c r="B973" i="1"/>
  <c r="B361" i="1"/>
  <c r="B174" i="1"/>
  <c r="B1029" i="1"/>
  <c r="B824" i="1"/>
  <c r="B965" i="1"/>
  <c r="B700" i="1"/>
  <c r="B1321" i="1"/>
  <c r="B669" i="1"/>
  <c r="B1539" i="1"/>
  <c r="B949" i="1"/>
  <c r="B442" i="1"/>
  <c r="B1205" i="1"/>
  <c r="B1240" i="1"/>
  <c r="B919" i="1"/>
  <c r="B1418" i="1"/>
  <c r="B1435" i="1"/>
  <c r="B982" i="1"/>
  <c r="B131" i="1"/>
  <c r="B37" i="1"/>
  <c r="B972" i="1"/>
  <c r="B917" i="1"/>
  <c r="B737" i="1"/>
  <c r="B424" i="1"/>
  <c r="B10" i="1"/>
  <c r="B897" i="1"/>
  <c r="B1050" i="1"/>
  <c r="B208" i="1"/>
  <c r="B859" i="1"/>
  <c r="B661" i="1"/>
  <c r="B944" i="1"/>
  <c r="B1127" i="1"/>
  <c r="B1242" i="1"/>
  <c r="B1411" i="1"/>
  <c r="B574" i="1"/>
  <c r="B235" i="1"/>
  <c r="B1452" i="1"/>
  <c r="B379" i="1"/>
  <c r="B662" i="1"/>
  <c r="B655" i="1"/>
  <c r="B449" i="1"/>
  <c r="B401" i="1"/>
  <c r="B143" i="1"/>
  <c r="B320" i="1"/>
  <c r="B602" i="1"/>
  <c r="B569" i="1"/>
  <c r="B884" i="1"/>
  <c r="B1307" i="1"/>
  <c r="B255" i="1"/>
  <c r="B723" i="1"/>
  <c r="B1044" i="1"/>
  <c r="B1196" i="1"/>
  <c r="B1316" i="1"/>
  <c r="B1156" i="1"/>
  <c r="B660" i="1"/>
  <c r="B878" i="1"/>
  <c r="B2" i="1"/>
  <c r="B505" i="1"/>
  <c r="B1479" i="1"/>
  <c r="B28" i="1"/>
  <c r="B1366" i="1"/>
  <c r="B657" i="1"/>
  <c r="B1183" i="1"/>
  <c r="B985" i="1"/>
  <c r="B904" i="1"/>
  <c r="B879" i="1"/>
  <c r="B163" i="1"/>
  <c r="B331" i="1"/>
  <c r="B725" i="1"/>
  <c r="B418" i="1"/>
  <c r="B353" i="1"/>
  <c r="B1348" i="1"/>
  <c r="B672" i="1"/>
  <c r="B42" i="1"/>
  <c r="B1553" i="1"/>
  <c r="B169" i="1"/>
  <c r="B1305" i="1"/>
  <c r="B1286" i="1"/>
  <c r="B1490" i="1"/>
  <c r="B617" i="1"/>
  <c r="B1544" i="1"/>
  <c r="B791" i="1"/>
  <c r="B576" i="1"/>
  <c r="B1078" i="1"/>
  <c r="B547" i="1"/>
  <c r="B774" i="1"/>
  <c r="D15" i="3"/>
  <c r="C15" i="3"/>
  <c r="B15" i="3"/>
  <c r="D15" i="2"/>
  <c r="C15" i="2"/>
  <c r="B15" i="2"/>
  <c r="H1246" i="1" l="1"/>
  <c r="H950" i="1"/>
  <c r="H705" i="1"/>
  <c r="H1249" i="1"/>
  <c r="H1544" i="1"/>
  <c r="H672" i="1"/>
  <c r="H904" i="1"/>
  <c r="H507" i="1"/>
  <c r="H669" i="1"/>
  <c r="H1086" i="1"/>
  <c r="H1537" i="1"/>
  <c r="H1121" i="1"/>
  <c r="H1345" i="1"/>
  <c r="H1313" i="1"/>
  <c r="H1310" i="1"/>
  <c r="H1441" i="1"/>
  <c r="H488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H255" i="1"/>
  <c r="H1103" i="1"/>
  <c r="H640" i="1"/>
  <c r="H1006" i="1"/>
  <c r="H1513" i="1"/>
  <c r="H1526" i="1"/>
  <c r="H653" i="1"/>
  <c r="H1079" i="1"/>
  <c r="H1235" i="1"/>
  <c r="H96" i="1"/>
  <c r="H1088" i="1"/>
  <c r="H4" i="1"/>
  <c r="H291" i="1"/>
  <c r="H1373" i="1"/>
  <c r="H1447" i="1"/>
  <c r="H1138" i="1"/>
  <c r="H566" i="1"/>
  <c r="H724" i="1"/>
  <c r="H419" i="1"/>
  <c r="H360" i="1"/>
  <c r="H120" i="1"/>
  <c r="H808" i="1"/>
  <c r="H457" i="1"/>
  <c r="H206" i="1"/>
  <c r="H523" i="1"/>
  <c r="H1228" i="1"/>
  <c r="H1439" i="1"/>
  <c r="H577" i="1"/>
  <c r="H791" i="1"/>
  <c r="H42" i="1"/>
  <c r="H879" i="1"/>
  <c r="H897" i="1"/>
  <c r="H982" i="1"/>
  <c r="H1129" i="1"/>
  <c r="H656" i="1"/>
  <c r="H1097" i="1"/>
  <c r="H1473" i="1"/>
  <c r="H1217" i="1"/>
  <c r="H1089" i="1"/>
  <c r="H833" i="1"/>
  <c r="H1435" i="1"/>
  <c r="H334" i="1"/>
  <c r="H1003" i="1"/>
  <c r="H479" i="1"/>
  <c r="H862" i="1"/>
  <c r="H1396" i="1"/>
  <c r="H49" i="1"/>
  <c r="H446" i="1"/>
  <c r="H194" i="1"/>
  <c r="H98" i="1"/>
  <c r="H324" i="1"/>
  <c r="H471" i="1"/>
  <c r="H1546" i="1"/>
  <c r="H447" i="1"/>
  <c r="H1383" i="1"/>
  <c r="H188" i="1"/>
  <c r="H350" i="1"/>
  <c r="H1255" i="1"/>
  <c r="H926" i="1"/>
  <c r="H87" i="1"/>
  <c r="H1369" i="1"/>
  <c r="H1425" i="1"/>
  <c r="H267" i="1"/>
  <c r="H953" i="1"/>
  <c r="H1224" i="1"/>
  <c r="H88" i="1"/>
  <c r="H617" i="1"/>
  <c r="H1348" i="1"/>
  <c r="H985" i="1"/>
  <c r="H878" i="1"/>
  <c r="H1307" i="1"/>
  <c r="H655" i="1"/>
  <c r="H1127" i="1"/>
  <c r="H424" i="1"/>
  <c r="H1418" i="1"/>
  <c r="H1321" i="1"/>
  <c r="H136" i="1"/>
  <c r="H537" i="1"/>
  <c r="H1533" i="1"/>
  <c r="H622" i="1"/>
  <c r="H414" i="1"/>
  <c r="H883" i="1"/>
  <c r="H756" i="1"/>
  <c r="H9" i="1"/>
  <c r="H1525" i="1"/>
  <c r="H971" i="1"/>
  <c r="H119" i="1"/>
  <c r="H890" i="1"/>
  <c r="H1524" i="1"/>
  <c r="H1329" i="1"/>
  <c r="H1444" i="1"/>
  <c r="H692" i="1"/>
  <c r="H264" i="1"/>
  <c r="H1077" i="1"/>
  <c r="H1467" i="1"/>
  <c r="H1346" i="1"/>
  <c r="H679" i="1"/>
  <c r="H1515" i="1"/>
  <c r="H1073" i="1"/>
  <c r="H1229" i="1"/>
  <c r="H321" i="1"/>
  <c r="H1350" i="1"/>
  <c r="H823" i="1"/>
  <c r="H1420" i="1"/>
  <c r="H147" i="1"/>
  <c r="H1309" i="1"/>
  <c r="H1081" i="1"/>
  <c r="H1218" i="1"/>
  <c r="H224" i="1"/>
  <c r="H1325" i="1"/>
  <c r="H545" i="1"/>
  <c r="H168" i="1"/>
  <c r="H1181" i="1"/>
  <c r="H94" i="1"/>
  <c r="H812" i="1"/>
  <c r="H1130" i="1"/>
  <c r="H729" i="1"/>
  <c r="H1357" i="1"/>
  <c r="H1090" i="1"/>
  <c r="H940" i="1"/>
  <c r="H1466" i="1"/>
  <c r="H1413" i="1"/>
  <c r="H1167" i="1"/>
  <c r="H1092" i="1"/>
  <c r="H1480" i="1"/>
  <c r="H1532" i="1"/>
  <c r="H1375" i="1"/>
  <c r="H1008" i="1"/>
  <c r="H1376" i="1"/>
  <c r="H1104" i="1"/>
  <c r="H1335" i="1"/>
  <c r="H1443" i="1"/>
  <c r="H1343" i="1"/>
  <c r="H1538" i="1"/>
  <c r="H376" i="1"/>
  <c r="H1431" i="1"/>
  <c r="H902" i="1"/>
  <c r="H1020" i="1"/>
  <c r="H1288" i="1"/>
  <c r="H1432" i="1"/>
  <c r="H1504" i="1"/>
  <c r="H1421" i="1"/>
  <c r="H1332" i="1"/>
  <c r="H1424" i="1"/>
  <c r="H1011" i="1"/>
  <c r="H1445" i="1"/>
  <c r="H555" i="1"/>
  <c r="H584" i="1"/>
  <c r="H1311" i="1"/>
  <c r="H1287" i="1"/>
  <c r="H475" i="1"/>
  <c r="H520" i="1"/>
  <c r="H1035" i="1"/>
  <c r="H1164" i="1"/>
  <c r="H504" i="1"/>
  <c r="H1036" i="1"/>
  <c r="H1237" i="1"/>
  <c r="H630" i="1"/>
  <c r="H1371" i="1"/>
  <c r="H1188" i="1"/>
  <c r="H1040" i="1"/>
  <c r="H1527" i="1"/>
  <c r="H1185" i="1"/>
  <c r="H1057" i="1"/>
  <c r="H449" i="1"/>
  <c r="H973" i="1"/>
  <c r="H191" i="1"/>
  <c r="H601" i="1"/>
  <c r="H260" i="1"/>
  <c r="H1498" i="1"/>
  <c r="H199" i="1"/>
  <c r="H1123" i="1"/>
  <c r="H927" i="1"/>
  <c r="H1165" i="1"/>
  <c r="H702" i="1"/>
  <c r="H343" i="1"/>
  <c r="H1397" i="1"/>
  <c r="H231" i="1"/>
  <c r="H448" i="1"/>
  <c r="H1370" i="1"/>
  <c r="H721" i="1"/>
  <c r="H1248" i="1"/>
  <c r="H502" i="1"/>
  <c r="H1143" i="1"/>
  <c r="H198" i="1"/>
  <c r="H761" i="1"/>
  <c r="H1247" i="1"/>
  <c r="H539" i="1"/>
  <c r="H154" i="1"/>
  <c r="H1199" i="1"/>
  <c r="H778" i="1"/>
  <c r="H822" i="1"/>
  <c r="H1490" i="1"/>
  <c r="H353" i="1"/>
  <c r="H1183" i="1"/>
  <c r="H660" i="1"/>
  <c r="H884" i="1"/>
  <c r="H662" i="1"/>
  <c r="H944" i="1"/>
  <c r="H737" i="1"/>
  <c r="H919" i="1"/>
  <c r="H1422" i="1"/>
  <c r="H1233" i="1"/>
  <c r="H1545" i="1"/>
  <c r="H769" i="1"/>
  <c r="H1206" i="1"/>
  <c r="H1257" i="1"/>
  <c r="H1438" i="1"/>
  <c r="H1182" i="1"/>
  <c r="H1054" i="1"/>
  <c r="H694" i="1"/>
  <c r="H10" i="1"/>
  <c r="H690" i="1"/>
  <c r="H760" i="1"/>
  <c r="H1382" i="1"/>
  <c r="H172" i="1"/>
  <c r="H111" i="1"/>
  <c r="H388" i="1"/>
  <c r="H467" i="1"/>
  <c r="H302" i="1"/>
  <c r="H1520" i="1"/>
  <c r="H1510" i="1"/>
  <c r="H1019" i="1"/>
  <c r="H1315" i="1"/>
  <c r="H270" i="1"/>
  <c r="H148" i="1"/>
  <c r="H222" i="1"/>
  <c r="H682" i="1"/>
  <c r="H687" i="1"/>
  <c r="H976" i="1"/>
  <c r="H1110" i="1"/>
  <c r="H1137" i="1"/>
  <c r="H595" i="1"/>
  <c r="H243" i="1"/>
  <c r="H751" i="1"/>
  <c r="H496" i="1"/>
  <c r="H269" i="1"/>
  <c r="H1389" i="1"/>
  <c r="H750" i="1"/>
  <c r="H483" i="1"/>
  <c r="H1342" i="1"/>
  <c r="H774" i="1"/>
  <c r="H1286" i="1"/>
  <c r="H418" i="1"/>
  <c r="H657" i="1"/>
  <c r="H1156" i="1"/>
  <c r="H569" i="1"/>
  <c r="H379" i="1"/>
  <c r="H661" i="1"/>
  <c r="H917" i="1"/>
  <c r="H1240" i="1"/>
  <c r="H965" i="1"/>
  <c r="H773" i="1"/>
  <c r="H1136" i="1"/>
  <c r="H1094" i="1"/>
  <c r="H740" i="1"/>
  <c r="H1001" i="1"/>
  <c r="H1368" i="1"/>
  <c r="H1219" i="1"/>
  <c r="H149" i="1"/>
  <c r="H701" i="1"/>
  <c r="H891" i="1"/>
  <c r="H409" i="1"/>
  <c r="H268" i="1"/>
  <c r="H1203" i="1"/>
  <c r="H352" i="1"/>
  <c r="H77" i="1"/>
  <c r="H1192" i="1"/>
  <c r="H1274" i="1"/>
  <c r="H1416" i="1"/>
  <c r="H643" i="1"/>
  <c r="H1384" i="1"/>
  <c r="H1530" i="1"/>
  <c r="H1108" i="1"/>
  <c r="H1066" i="1"/>
  <c r="H281" i="1"/>
  <c r="H92" i="1"/>
  <c r="H828" i="1"/>
  <c r="H456" i="1"/>
  <c r="H678" i="1"/>
  <c r="H16" i="1"/>
  <c r="H72" i="1"/>
  <c r="H516" i="1"/>
  <c r="H452" i="1"/>
  <c r="H836" i="1"/>
  <c r="H528" i="1"/>
  <c r="H938" i="1"/>
  <c r="H955" i="1"/>
  <c r="H1124" i="1"/>
  <c r="H329" i="1"/>
  <c r="H262" i="1"/>
  <c r="H931" i="1"/>
  <c r="H1149" i="1"/>
  <c r="H1268" i="1"/>
  <c r="H1407" i="1"/>
  <c r="H1015" i="1"/>
  <c r="H1198" i="1"/>
  <c r="H786" i="1"/>
  <c r="H1338" i="1"/>
  <c r="H133" i="1"/>
  <c r="H1474" i="1"/>
  <c r="H1166" i="1"/>
  <c r="H1048" i="1"/>
  <c r="H22" i="1"/>
  <c r="H887" i="1"/>
  <c r="H1403" i="1"/>
  <c r="H675" i="1"/>
  <c r="H677" i="1"/>
  <c r="H1353" i="1"/>
  <c r="H1179" i="1"/>
  <c r="H1243" i="1"/>
  <c r="H1259" i="1"/>
  <c r="H296" i="1"/>
  <c r="H113" i="1"/>
  <c r="H1491" i="1"/>
  <c r="H779" i="1"/>
  <c r="H1034" i="1"/>
  <c r="H979" i="1"/>
  <c r="H967" i="1"/>
  <c r="H775" i="1"/>
  <c r="H1506" i="1"/>
  <c r="H1339" i="1"/>
  <c r="H597" i="1"/>
  <c r="H41" i="1"/>
  <c r="H1007" i="1"/>
  <c r="H654" i="1"/>
  <c r="H1180" i="1"/>
  <c r="H220" i="1"/>
  <c r="H793" i="1"/>
  <c r="H466" i="1"/>
  <c r="H1358" i="1"/>
  <c r="H788" i="1"/>
  <c r="H937" i="1"/>
  <c r="H11" i="1"/>
  <c r="H237" i="1"/>
  <c r="H1363" i="1"/>
  <c r="H1041" i="1"/>
  <c r="H298" i="1"/>
  <c r="H212" i="1"/>
  <c r="H958" i="1"/>
  <c r="H1302" i="1"/>
  <c r="H110" i="1"/>
  <c r="H455" i="1"/>
  <c r="H885" i="1"/>
  <c r="H245" i="1"/>
  <c r="H840" i="1"/>
  <c r="H1004" i="1"/>
  <c r="H1400" i="1"/>
  <c r="H416" i="1"/>
  <c r="H532" i="1"/>
  <c r="H586" i="1"/>
  <c r="H433" i="1"/>
  <c r="H1226" i="1"/>
  <c r="H6" i="1"/>
  <c r="H893" i="1"/>
  <c r="H1100" i="1"/>
  <c r="H1241" i="1"/>
  <c r="H1487" i="1"/>
  <c r="H1320" i="1"/>
  <c r="H372" i="1"/>
  <c r="H1093" i="1"/>
  <c r="H1354" i="1"/>
  <c r="H1440" i="1"/>
  <c r="H484" i="1"/>
  <c r="H18" i="1"/>
  <c r="H1549" i="1"/>
  <c r="H1409" i="1"/>
  <c r="H1281" i="1"/>
  <c r="H1153" i="1"/>
  <c r="H1025" i="1"/>
  <c r="H2" i="1"/>
  <c r="I2" i="1" s="1"/>
  <c r="H552" i="1"/>
  <c r="H726" i="1"/>
  <c r="H854" i="1"/>
  <c r="H1030" i="1"/>
  <c r="H1062" i="1"/>
  <c r="H1158" i="1"/>
  <c r="H1190" i="1"/>
  <c r="H1222" i="1"/>
  <c r="H1254" i="1"/>
  <c r="H1318" i="1"/>
  <c r="H1414" i="1"/>
  <c r="H1446" i="1"/>
  <c r="H1542" i="1"/>
  <c r="H59" i="1"/>
  <c r="H865" i="1"/>
  <c r="H1033" i="1"/>
  <c r="H1161" i="1"/>
  <c r="H1193" i="1"/>
  <c r="H1225" i="1"/>
  <c r="H1289" i="1"/>
  <c r="H1385" i="1"/>
  <c r="H1417" i="1"/>
  <c r="H1449" i="1"/>
  <c r="H1481" i="1"/>
  <c r="H104" i="1"/>
  <c r="H603" i="1"/>
  <c r="H758" i="1"/>
  <c r="H886" i="1"/>
  <c r="H1070" i="1"/>
  <c r="H1102" i="1"/>
  <c r="H1134" i="1"/>
  <c r="H1230" i="1"/>
  <c r="H1390" i="1"/>
  <c r="H1454" i="1"/>
  <c r="H1486" i="1"/>
  <c r="H1518" i="1"/>
  <c r="H1550" i="1"/>
  <c r="H123" i="1"/>
  <c r="H1009" i="1"/>
  <c r="H1105" i="1"/>
  <c r="H1169" i="1"/>
  <c r="H1201" i="1"/>
  <c r="H1265" i="1"/>
  <c r="H1297" i="1"/>
  <c r="H1361" i="1"/>
  <c r="H1393" i="1"/>
  <c r="H1489" i="1"/>
  <c r="H1521" i="1"/>
  <c r="H790" i="1"/>
  <c r="H918" i="1"/>
  <c r="H1046" i="1"/>
  <c r="H1142" i="1"/>
  <c r="H1174" i="1"/>
  <c r="H1238" i="1"/>
  <c r="H1270" i="1"/>
  <c r="H1334" i="1"/>
  <c r="H1398" i="1"/>
  <c r="H1430" i="1"/>
  <c r="H1494" i="1"/>
  <c r="H187" i="1"/>
  <c r="H443" i="1"/>
  <c r="H673" i="1"/>
  <c r="H801" i="1"/>
  <c r="H929" i="1"/>
  <c r="H1017" i="1"/>
  <c r="H1049" i="1"/>
  <c r="H1113" i="1"/>
  <c r="H1145" i="1"/>
  <c r="H1177" i="1"/>
  <c r="H1209" i="1"/>
  <c r="H1273" i="1"/>
  <c r="H1337" i="1"/>
  <c r="H1401" i="1"/>
  <c r="H1465" i="1"/>
  <c r="H1497" i="1"/>
  <c r="H818" i="1"/>
  <c r="H145" i="1"/>
  <c r="H43" i="1"/>
  <c r="H161" i="1"/>
  <c r="H591" i="1"/>
  <c r="H712" i="1"/>
  <c r="H606" i="1"/>
  <c r="H1326" i="1"/>
  <c r="H764" i="1"/>
  <c r="H1277" i="1"/>
  <c r="H1168" i="1"/>
  <c r="H389" i="1"/>
  <c r="H1187" i="1"/>
  <c r="H872" i="1"/>
  <c r="H696" i="1"/>
  <c r="H1433" i="1"/>
  <c r="H570" i="1"/>
  <c r="H991" i="1"/>
  <c r="H209" i="1"/>
  <c r="H211" i="1"/>
  <c r="H652" i="1"/>
  <c r="H781" i="1"/>
  <c r="H686" i="1"/>
  <c r="H1305" i="1"/>
  <c r="H1366" i="1"/>
  <c r="H1294" i="1"/>
  <c r="H1014" i="1"/>
  <c r="H1534" i="1"/>
  <c r="H1406" i="1"/>
  <c r="H1278" i="1"/>
  <c r="H1150" i="1"/>
  <c r="H1022" i="1"/>
  <c r="H1242" i="1"/>
  <c r="H533" i="1"/>
  <c r="H912" i="1"/>
  <c r="H720" i="1"/>
  <c r="H765" i="1"/>
  <c r="H197" i="1"/>
  <c r="H474" i="1"/>
  <c r="H412" i="1"/>
  <c r="H1476" i="1"/>
  <c r="H867" i="1"/>
  <c r="H84" i="1"/>
  <c r="H517" i="1"/>
  <c r="H707" i="1"/>
  <c r="H5" i="1"/>
  <c r="H960" i="1"/>
  <c r="H417" i="1"/>
  <c r="H709" i="1"/>
  <c r="H501" i="1"/>
  <c r="H1356" i="1"/>
  <c r="H621" i="1"/>
  <c r="H1215" i="1"/>
  <c r="H1408" i="1"/>
  <c r="H1365" i="1"/>
  <c r="H1133" i="1"/>
  <c r="H71" i="1"/>
  <c r="H749" i="1"/>
  <c r="H945" i="1"/>
  <c r="H357" i="1"/>
  <c r="H1214" i="1"/>
  <c r="H1078" i="1"/>
  <c r="H169" i="1"/>
  <c r="H331" i="1"/>
  <c r="H28" i="1"/>
  <c r="H1196" i="1"/>
  <c r="H320" i="1"/>
  <c r="H235" i="1"/>
  <c r="H208" i="1"/>
  <c r="H37" i="1"/>
  <c r="H442" i="1"/>
  <c r="H1029" i="1"/>
  <c r="H1405" i="1"/>
  <c r="H984" i="1"/>
  <c r="H853" i="1"/>
  <c r="H1488" i="1"/>
  <c r="H1308" i="1"/>
  <c r="H451" i="1"/>
  <c r="H293" i="1"/>
  <c r="H114" i="1"/>
  <c r="H614" i="1"/>
  <c r="H900" i="1"/>
  <c r="H966" i="1"/>
  <c r="H182" i="1"/>
  <c r="H311" i="1"/>
  <c r="H454" i="1"/>
  <c r="H1021" i="1"/>
  <c r="H825" i="1"/>
  <c r="H315" i="1"/>
  <c r="H1457" i="1"/>
  <c r="H40" i="1"/>
  <c r="H1505" i="1"/>
  <c r="H1377" i="1"/>
  <c r="H961" i="1"/>
  <c r="H251" i="1"/>
  <c r="H318" i="1"/>
  <c r="H1065" i="1"/>
  <c r="H1216" i="1"/>
  <c r="H156" i="1"/>
  <c r="H911" i="1"/>
  <c r="H497" i="1"/>
  <c r="H992" i="1"/>
  <c r="H820" i="1"/>
  <c r="H508" i="1"/>
  <c r="H128" i="1"/>
  <c r="H459" i="1"/>
  <c r="H249" i="1"/>
  <c r="H969" i="1"/>
  <c r="H999" i="1"/>
  <c r="H61" i="1"/>
  <c r="H1312" i="1"/>
  <c r="H989" i="1"/>
  <c r="H1207" i="1"/>
  <c r="H307" i="1"/>
  <c r="H332" i="1"/>
  <c r="H963" i="1"/>
  <c r="H1462" i="1"/>
  <c r="H356" i="1"/>
  <c r="H1470" i="1"/>
  <c r="H576" i="1"/>
  <c r="H1553" i="1"/>
  <c r="H1529" i="1"/>
  <c r="H1038" i="1"/>
  <c r="H1126" i="1"/>
  <c r="H1478" i="1"/>
  <c r="H993" i="1"/>
  <c r="H1262" i="1"/>
  <c r="H1502" i="1"/>
  <c r="H1374" i="1"/>
  <c r="H1118" i="1"/>
  <c r="H232" i="1"/>
  <c r="H700" i="1"/>
  <c r="H942" i="1"/>
  <c r="H395" i="1"/>
  <c r="H213" i="1"/>
  <c r="H1483" i="1"/>
  <c r="H562" i="1"/>
  <c r="H699" i="1"/>
  <c r="H1279" i="1"/>
  <c r="H29" i="1"/>
  <c r="H1496" i="1"/>
  <c r="H392" i="1"/>
  <c r="H806" i="1"/>
  <c r="H219" i="1"/>
  <c r="H1027" i="1"/>
  <c r="H286" i="1"/>
  <c r="H637" i="1"/>
  <c r="H819" i="1"/>
  <c r="H1170" i="1"/>
  <c r="H258" i="1"/>
  <c r="H1392" i="1"/>
  <c r="H217" i="1"/>
  <c r="H426" i="1"/>
  <c r="H1324" i="1"/>
  <c r="H93" i="1"/>
  <c r="H250" i="1"/>
  <c r="H1107" i="1"/>
  <c r="H624" i="1"/>
  <c r="H980" i="1"/>
  <c r="H439" i="1"/>
  <c r="H858" i="1"/>
  <c r="H335" i="1"/>
  <c r="H215" i="1"/>
  <c r="H771" i="1"/>
  <c r="H1208" i="1"/>
  <c r="H1340" i="1"/>
  <c r="H190" i="1"/>
  <c r="H888" i="1"/>
  <c r="H1117" i="1"/>
  <c r="H1362" i="1"/>
  <c r="H1423" i="1"/>
  <c r="H990" i="1"/>
  <c r="H710" i="1"/>
  <c r="H1032" i="1"/>
  <c r="H1083" i="1"/>
  <c r="H1351" i="1"/>
  <c r="H1267" i="1"/>
  <c r="H1522" i="1"/>
  <c r="H1415" i="1"/>
  <c r="H1536" i="1"/>
  <c r="H1042" i="1"/>
  <c r="H841" i="1"/>
  <c r="H609" i="1"/>
  <c r="H1552" i="1"/>
  <c r="H75" i="1"/>
  <c r="H1135" i="1"/>
  <c r="H1514" i="1"/>
  <c r="H1395" i="1"/>
  <c r="H1155" i="1"/>
  <c r="H1508" i="1"/>
  <c r="H1477" i="1"/>
  <c r="H347" i="1"/>
  <c r="H642" i="1"/>
  <c r="H1204" i="1"/>
  <c r="H1087" i="1"/>
  <c r="H1290" i="1"/>
  <c r="H1140" i="1"/>
  <c r="H1429" i="1"/>
  <c r="H1322" i="1"/>
  <c r="H718" i="1"/>
  <c r="H1163" i="1"/>
  <c r="H1378" i="1"/>
  <c r="H1360" i="1"/>
  <c r="H363" i="1"/>
  <c r="H667" i="1"/>
  <c r="H734" i="1"/>
  <c r="H1106" i="1"/>
  <c r="H1300" i="1"/>
  <c r="H1387" i="1"/>
  <c r="H977" i="1"/>
  <c r="H1064" i="1"/>
  <c r="H1234" i="1"/>
  <c r="H910" i="1"/>
  <c r="H1184" i="1"/>
  <c r="H1099" i="1"/>
  <c r="H1500" i="1"/>
  <c r="H1244" i="1"/>
  <c r="H299" i="1"/>
  <c r="H1080" i="1"/>
  <c r="H1061" i="1"/>
  <c r="H1146" i="1"/>
  <c r="H1266" i="1"/>
  <c r="H1210" i="1"/>
  <c r="H1084" i="1"/>
  <c r="H708" i="1"/>
  <c r="H1299" i="1"/>
  <c r="H997" i="1"/>
  <c r="H795" i="1"/>
  <c r="H256" i="1"/>
  <c r="H1063" i="1"/>
  <c r="H36" i="1"/>
  <c r="H229" i="1"/>
  <c r="H906" i="1"/>
  <c r="H785" i="1"/>
  <c r="H1464" i="1"/>
  <c r="H349" i="1"/>
  <c r="H877" i="1"/>
  <c r="H181" i="1"/>
  <c r="H1282" i="1"/>
  <c r="H1359" i="1"/>
  <c r="H297" i="1"/>
  <c r="H151" i="1"/>
  <c r="H848" i="1"/>
  <c r="H935" i="1"/>
  <c r="H1194" i="1"/>
  <c r="H923" i="1"/>
  <c r="H112" i="1"/>
  <c r="H567" i="1"/>
  <c r="H658" i="1"/>
  <c r="H706" i="1"/>
  <c r="H909" i="1"/>
  <c r="H1469" i="1"/>
  <c r="H20" i="1"/>
  <c r="H127" i="1"/>
  <c r="H522" i="1"/>
  <c r="H1072" i="1"/>
  <c r="H248" i="1"/>
  <c r="H1531" i="1"/>
  <c r="H1024" i="1"/>
  <c r="H1132" i="1"/>
  <c r="H1291" i="1"/>
  <c r="H430" i="1"/>
  <c r="H838" i="1"/>
  <c r="H394" i="1"/>
  <c r="H936" i="1"/>
  <c r="H344" i="1"/>
  <c r="H367" i="1"/>
  <c r="H153" i="1"/>
  <c r="H440" i="1"/>
  <c r="H472" i="1"/>
  <c r="H946" i="1"/>
  <c r="H847" i="1"/>
  <c r="H432" i="1"/>
  <c r="H1381" i="1"/>
  <c r="H925" i="1"/>
  <c r="H748" i="1"/>
  <c r="H1172" i="1"/>
  <c r="H1173" i="1"/>
  <c r="H1304" i="1"/>
  <c r="H627" i="1"/>
  <c r="H458" i="1"/>
  <c r="H1095" i="1"/>
  <c r="H996" i="1"/>
  <c r="H223" i="1"/>
  <c r="H766" i="1"/>
  <c r="H1258" i="1"/>
  <c r="H547" i="1"/>
  <c r="H725" i="1"/>
  <c r="H1316" i="1"/>
  <c r="H602" i="1"/>
  <c r="H1452" i="1"/>
  <c r="H859" i="1"/>
  <c r="H972" i="1"/>
  <c r="H1205" i="1"/>
  <c r="H824" i="1"/>
  <c r="H798" i="1"/>
  <c r="H596" i="1"/>
  <c r="H697" i="1"/>
  <c r="H907" i="1"/>
  <c r="H1456" i="1"/>
  <c r="H1026" i="1"/>
  <c r="H438" i="1"/>
  <c r="H783" i="1"/>
  <c r="H399" i="1"/>
  <c r="H550" i="1"/>
  <c r="H202" i="1"/>
  <c r="H581" i="1"/>
  <c r="H450" i="1"/>
  <c r="H499" i="1"/>
  <c r="H1426" i="1"/>
  <c r="H861" i="1"/>
  <c r="H380" i="1"/>
  <c r="H274" i="1"/>
  <c r="H534" i="1"/>
  <c r="H587" i="1"/>
  <c r="H741" i="1"/>
  <c r="H789" i="1"/>
  <c r="H635" i="1"/>
  <c r="H746" i="1"/>
  <c r="H1261" i="1"/>
  <c r="H402" i="1"/>
  <c r="H1122" i="1"/>
  <c r="H780" i="1"/>
  <c r="H645" i="1"/>
  <c r="H60" i="1"/>
  <c r="H616" i="1"/>
  <c r="H246" i="1"/>
  <c r="H196" i="1"/>
  <c r="H1144" i="1"/>
  <c r="H89" i="1"/>
  <c r="H1056" i="1"/>
  <c r="H1451" i="1"/>
  <c r="H109" i="1"/>
  <c r="H146" i="1"/>
  <c r="H1159" i="1"/>
  <c r="H1548" i="1"/>
  <c r="H1260" i="1"/>
  <c r="H1492" i="1"/>
  <c r="H280" i="1"/>
  <c r="H1131" i="1"/>
  <c r="H1499" i="1"/>
  <c r="H1528" i="1"/>
  <c r="H1263" i="1"/>
  <c r="H411" i="1"/>
  <c r="H814" i="1"/>
  <c r="H1344" i="1"/>
  <c r="H1319" i="1"/>
  <c r="H1404" i="1"/>
  <c r="H1109" i="1"/>
  <c r="H1037" i="1"/>
  <c r="H1458" i="1"/>
  <c r="H1493" i="1"/>
  <c r="H634" i="1"/>
  <c r="H1331" i="1"/>
  <c r="H1091" i="1"/>
  <c r="H1111" i="1"/>
  <c r="H1453" i="1"/>
  <c r="H578" i="1"/>
  <c r="H1178" i="1"/>
  <c r="H1448" i="1"/>
  <c r="H1272" i="1"/>
  <c r="H1475" i="1"/>
  <c r="H1372" i="1"/>
  <c r="H1175" i="1"/>
  <c r="H1189" i="1"/>
  <c r="H1139" i="1"/>
  <c r="H1459" i="1"/>
  <c r="H1402" i="1"/>
  <c r="H1213" i="1"/>
  <c r="H1512" i="1"/>
  <c r="H830" i="1"/>
  <c r="H1202" i="1"/>
  <c r="H713" i="1"/>
  <c r="H689" i="1"/>
  <c r="H889" i="1"/>
  <c r="H1013" i="1"/>
  <c r="H1058" i="1"/>
  <c r="H1068" i="1"/>
  <c r="H203" i="1"/>
  <c r="H1157" i="1"/>
  <c r="H239" i="1"/>
  <c r="H1541" i="1"/>
  <c r="H1463" i="1"/>
  <c r="H1154" i="1"/>
  <c r="H1074" i="1"/>
  <c r="H1039" i="1"/>
  <c r="H319" i="1"/>
  <c r="H405" i="1"/>
  <c r="H167" i="1"/>
  <c r="H649" i="1"/>
  <c r="H1523" i="1"/>
  <c r="H730" i="1"/>
  <c r="H752" i="1"/>
  <c r="H69" i="1"/>
  <c r="H1232" i="1"/>
  <c r="H921" i="1"/>
  <c r="H1236" i="1"/>
  <c r="H1306" i="1"/>
  <c r="H1485" i="1"/>
  <c r="H1495" i="1"/>
  <c r="H1060" i="1"/>
  <c r="H733" i="1"/>
  <c r="H381" i="1"/>
  <c r="H141" i="1"/>
  <c r="H1410" i="1"/>
  <c r="H1399" i="1"/>
  <c r="H1516" i="1"/>
  <c r="H894" i="1"/>
  <c r="H1251" i="1"/>
  <c r="H1116" i="1"/>
  <c r="H745" i="1"/>
  <c r="H1280" i="1"/>
  <c r="H1012" i="1"/>
  <c r="H681" i="1"/>
  <c r="H1303" i="1"/>
  <c r="H1151" i="1"/>
  <c r="H1223" i="1"/>
  <c r="H1018" i="1"/>
  <c r="H1085" i="1"/>
  <c r="H1543" i="1"/>
  <c r="H1227" i="1"/>
  <c r="H491" i="1"/>
  <c r="H1501" i="1"/>
  <c r="H152" i="1"/>
  <c r="H1551" i="1"/>
  <c r="H1388" i="1"/>
  <c r="H1047" i="1"/>
  <c r="H1330" i="1"/>
  <c r="H1043" i="1"/>
  <c r="H1364" i="1"/>
  <c r="H1455" i="1"/>
  <c r="H1253" i="1"/>
  <c r="H1112" i="1"/>
  <c r="H777" i="1"/>
  <c r="H91" i="1"/>
  <c r="H1484" i="1"/>
  <c r="H1160" i="1"/>
  <c r="H1016" i="1"/>
  <c r="H1314" i="1"/>
  <c r="H184" i="1"/>
  <c r="H998" i="1"/>
  <c r="H857" i="1"/>
  <c r="H1141" i="1"/>
  <c r="H408" i="1"/>
  <c r="H1519" i="1"/>
  <c r="H536" i="1"/>
  <c r="H1220" i="1"/>
  <c r="H1186" i="1"/>
  <c r="H1468" i="1"/>
  <c r="H849" i="1"/>
  <c r="H1292" i="1"/>
  <c r="H1517" i="1"/>
  <c r="H1285" i="1"/>
  <c r="H1239" i="1"/>
  <c r="H1293" i="1"/>
  <c r="H56" i="1"/>
  <c r="H312" i="1"/>
  <c r="H1412" i="1"/>
  <c r="H1380" i="1"/>
  <c r="H1250" i="1"/>
  <c r="H1507" i="1"/>
  <c r="H171" i="1"/>
  <c r="H163" i="1"/>
  <c r="H1479" i="1"/>
  <c r="H1044" i="1"/>
  <c r="H143" i="1"/>
  <c r="H574" i="1"/>
  <c r="H1050" i="1"/>
  <c r="H131" i="1"/>
  <c r="H949" i="1"/>
  <c r="H174" i="1"/>
  <c r="H283" i="1"/>
  <c r="H956" i="1"/>
  <c r="H1231" i="1"/>
  <c r="H313" i="1"/>
  <c r="H846" i="1"/>
  <c r="H469" i="1"/>
  <c r="H683" i="1"/>
  <c r="H1071" i="1"/>
  <c r="H140" i="1"/>
  <c r="H253" i="1"/>
  <c r="H704" i="1"/>
  <c r="H1323" i="1"/>
  <c r="H1471" i="1"/>
  <c r="H305" i="1"/>
  <c r="H204" i="1"/>
  <c r="H201" i="1"/>
  <c r="H1053" i="1"/>
  <c r="H663" i="1"/>
  <c r="H339" i="1"/>
  <c r="H869" i="1"/>
  <c r="H226" i="1"/>
  <c r="H216" i="1"/>
  <c r="H76" i="1"/>
  <c r="H832" i="1"/>
  <c r="H306" i="1"/>
  <c r="H1075" i="1"/>
  <c r="H1295" i="1"/>
  <c r="H498" i="1"/>
  <c r="H610" i="1"/>
  <c r="H1434" i="1"/>
  <c r="H1511" i="1"/>
  <c r="H1148" i="1"/>
  <c r="H714" i="1"/>
  <c r="H804" i="1"/>
  <c r="H1069" i="1"/>
  <c r="H787" i="1"/>
  <c r="H1269" i="1"/>
  <c r="H340" i="1"/>
  <c r="H882" i="1"/>
  <c r="H1197" i="1"/>
  <c r="H164" i="1"/>
  <c r="H371" i="1"/>
  <c r="H445" i="1"/>
  <c r="H1437" i="1"/>
  <c r="H711" i="1"/>
  <c r="H913" i="1"/>
  <c r="H1276" i="1"/>
  <c r="H1067" i="1"/>
  <c r="H1442" i="1"/>
  <c r="H1191" i="1"/>
  <c r="H1028" i="1"/>
  <c r="H1509" i="1"/>
  <c r="H1031" i="1"/>
  <c r="H1211" i="1"/>
  <c r="H782" i="1"/>
  <c r="H1098" i="1"/>
  <c r="H873" i="1"/>
  <c r="H1283" i="1"/>
  <c r="H1379" i="1"/>
  <c r="H1125" i="1"/>
  <c r="H328" i="1"/>
  <c r="H1327" i="1"/>
  <c r="H1096" i="1"/>
  <c r="H1333" i="1"/>
  <c r="H107" i="1"/>
  <c r="H1450" i="1"/>
  <c r="H1264" i="1"/>
  <c r="H1460" i="1"/>
  <c r="H1212" i="1"/>
  <c r="H1052" i="1"/>
  <c r="H1128" i="1"/>
  <c r="H1349" i="1"/>
  <c r="H809" i="1"/>
  <c r="H1051" i="1"/>
  <c r="H1176" i="1"/>
  <c r="H1482" i="1"/>
  <c r="H934" i="1"/>
  <c r="H1114" i="1"/>
  <c r="H1341" i="1"/>
  <c r="H1428" i="1"/>
  <c r="H753" i="1"/>
  <c r="H505" i="1"/>
  <c r="H723" i="1"/>
  <c r="H401" i="1"/>
  <c r="H1411" i="1"/>
  <c r="H1539" i="1"/>
  <c r="H361" i="1"/>
  <c r="H410" i="1"/>
  <c r="H1298" i="1"/>
  <c r="H230" i="1"/>
  <c r="H108" i="1"/>
  <c r="H1540" i="1"/>
  <c r="H39" i="1"/>
  <c r="H1301" i="1"/>
  <c r="H844" i="1"/>
  <c r="H437" i="1"/>
  <c r="H486" i="1"/>
  <c r="H53" i="1"/>
  <c r="H1055" i="1"/>
  <c r="H464" i="1"/>
  <c r="H811" i="1"/>
  <c r="H1245" i="1"/>
  <c r="H423" i="1"/>
  <c r="H1352" i="1"/>
  <c r="H115" i="1"/>
  <c r="H122" i="1"/>
  <c r="H453" i="1"/>
  <c r="H1101" i="1"/>
  <c r="H134" i="1"/>
  <c r="H1059" i="1"/>
  <c r="H881" i="1"/>
  <c r="H278" i="1"/>
  <c r="H506" i="1"/>
  <c r="H125" i="1"/>
  <c r="H530" i="1"/>
  <c r="H462" i="1"/>
  <c r="H625" i="1"/>
  <c r="H1394" i="1"/>
  <c r="H362" i="1"/>
  <c r="H521" i="1"/>
  <c r="H1076" i="1"/>
  <c r="H444" i="1"/>
  <c r="H183" i="1"/>
  <c r="H1162" i="1"/>
  <c r="H70" i="1"/>
  <c r="H273" i="1"/>
  <c r="H1221" i="1"/>
  <c r="H178" i="1"/>
  <c r="H1045" i="1"/>
  <c r="H575" i="1"/>
  <c r="H827" i="1"/>
  <c r="H200" i="1"/>
  <c r="H693" i="1"/>
  <c r="H1535" i="1"/>
  <c r="H870" i="1"/>
  <c r="H659" i="1"/>
  <c r="H1271" i="1"/>
  <c r="H25" i="1"/>
  <c r="H1427" i="1"/>
  <c r="H1317" i="1"/>
  <c r="H155" i="1"/>
  <c r="H592" i="1"/>
  <c r="H1386" i="1"/>
  <c r="H1010" i="1"/>
  <c r="H1355" i="1"/>
  <c r="H1152" i="1"/>
  <c r="H974" i="1"/>
  <c r="H1119" i="1"/>
  <c r="H1503" i="1"/>
  <c r="H1115" i="1"/>
  <c r="H1347" i="1"/>
  <c r="H905" i="1"/>
  <c r="H427" i="1"/>
  <c r="H1275" i="1"/>
  <c r="H648" i="1"/>
  <c r="H1296" i="1"/>
  <c r="H1461" i="1"/>
  <c r="H1336" i="1"/>
  <c r="H817" i="1"/>
  <c r="H1195" i="1"/>
  <c r="H742" i="1"/>
  <c r="H1367" i="1"/>
  <c r="H1023" i="1"/>
  <c r="H1391" i="1"/>
  <c r="H1284" i="1"/>
  <c r="H1252" i="1"/>
  <c r="H1171" i="1"/>
  <c r="H1082" i="1"/>
  <c r="H1147" i="1"/>
  <c r="H8" i="1"/>
  <c r="H1256" i="1"/>
  <c r="H1436" i="1"/>
  <c r="H1419" i="1"/>
  <c r="H1200" i="1"/>
  <c r="H1547" i="1"/>
  <c r="H1472" i="1"/>
  <c r="H1328" i="1"/>
  <c r="H1120" i="1"/>
  <c r="H139" i="1"/>
  <c r="H776" i="1"/>
  <c r="H526" i="1"/>
  <c r="H605" i="1"/>
  <c r="H159" i="1"/>
  <c r="H821" i="1"/>
  <c r="H978" i="1"/>
  <c r="H518" i="1"/>
  <c r="H7" i="1"/>
  <c r="H538" i="1"/>
  <c r="H688" i="1"/>
  <c r="H834" i="1"/>
  <c r="H480" i="1"/>
  <c r="H393" i="1"/>
  <c r="H221" i="1"/>
  <c r="H327" i="1"/>
  <c r="H83" i="1"/>
  <c r="H62" i="1"/>
  <c r="H975" i="1"/>
  <c r="H500" i="1"/>
  <c r="H413" i="1"/>
  <c r="H166" i="1"/>
  <c r="H333" i="1"/>
  <c r="H354" i="1"/>
  <c r="H513" i="1"/>
  <c r="H628" i="1"/>
  <c r="H916" i="1"/>
  <c r="H487" i="1"/>
  <c r="H375" i="1"/>
  <c r="H79" i="1"/>
  <c r="H644" i="1"/>
  <c r="H735" i="1"/>
  <c r="H247" i="1"/>
  <c r="H796" i="1"/>
  <c r="H116" i="1"/>
  <c r="H326" i="1"/>
  <c r="H544" i="1"/>
  <c r="H563" i="1"/>
  <c r="H988" i="1"/>
  <c r="H831" i="1"/>
  <c r="H835" i="1"/>
  <c r="H3" i="1"/>
  <c r="H615" i="1"/>
  <c r="H995" i="1"/>
  <c r="H815" i="1"/>
  <c r="H514" i="1"/>
  <c r="H355" i="1"/>
  <c r="H807" i="1"/>
  <c r="H503" i="1"/>
  <c r="H137" i="1"/>
  <c r="H465" i="1"/>
  <c r="H738" i="1"/>
  <c r="H898" i="1"/>
  <c r="H23" i="1"/>
  <c r="H185" i="1"/>
  <c r="H129" i="1"/>
  <c r="H425" i="1"/>
  <c r="H368" i="1"/>
  <c r="H914" i="1"/>
  <c r="H604" i="1"/>
  <c r="H95" i="1"/>
  <c r="H529" i="1"/>
  <c r="H369" i="1"/>
  <c r="H435" i="1"/>
  <c r="H460" i="1"/>
  <c r="H908" i="1"/>
  <c r="H727" i="1"/>
  <c r="H150" i="1"/>
  <c r="H839" i="1"/>
  <c r="H420" i="1"/>
  <c r="H468" i="1"/>
  <c r="H132" i="1"/>
  <c r="H45" i="1"/>
  <c r="H747" i="1"/>
  <c r="H863" i="1"/>
  <c r="H351" i="1"/>
  <c r="H880" i="1"/>
  <c r="H489" i="1"/>
  <c r="H265" i="1"/>
  <c r="H106" i="1"/>
  <c r="H939" i="1"/>
  <c r="H301" i="1"/>
  <c r="H295" i="1"/>
  <c r="H275" i="1"/>
  <c r="H67" i="1"/>
  <c r="H957" i="1"/>
  <c r="H837" i="1"/>
  <c r="H968" i="1"/>
  <c r="H404" i="1"/>
  <c r="H754" i="1"/>
  <c r="H943" i="1"/>
  <c r="H540" i="1"/>
  <c r="H195" i="1"/>
  <c r="H378" i="1"/>
  <c r="H896" i="1"/>
  <c r="H338" i="1"/>
  <c r="H559" i="1"/>
  <c r="H797" i="1"/>
  <c r="H589" i="1"/>
  <c r="H685" i="1"/>
  <c r="H855" i="1"/>
  <c r="H772" i="1"/>
  <c r="H613" i="1"/>
  <c r="H684" i="1"/>
  <c r="H792" i="1"/>
  <c r="H732" i="1"/>
  <c r="H668" i="1"/>
  <c r="H310" i="1"/>
  <c r="H90" i="1"/>
  <c r="H373" i="1"/>
  <c r="H535" i="1"/>
  <c r="H671" i="1"/>
  <c r="H390" i="1"/>
  <c r="H941" i="1"/>
  <c r="H691" i="1"/>
  <c r="H611" i="1"/>
  <c r="H716" i="1"/>
  <c r="H309" i="1"/>
  <c r="H564" i="1"/>
  <c r="H259" i="1"/>
  <c r="H556" i="1"/>
  <c r="H763" i="1"/>
  <c r="H549" i="1"/>
  <c r="H843" i="1"/>
  <c r="H845" i="1"/>
  <c r="H233" i="1"/>
  <c r="H252" i="1"/>
  <c r="H66" i="1"/>
  <c r="H47" i="1"/>
  <c r="H698" i="1"/>
  <c r="H477" i="1"/>
  <c r="H632" i="1"/>
  <c r="H330" i="1"/>
  <c r="H981" i="1"/>
  <c r="H546" i="1"/>
  <c r="H802" i="1"/>
  <c r="H964" i="1"/>
  <c r="H866" i="1"/>
  <c r="H436" i="1"/>
  <c r="H473" i="1"/>
  <c r="H26" i="1"/>
  <c r="H97" i="1"/>
  <c r="H173" i="1"/>
  <c r="H54" i="1"/>
  <c r="H44" i="1"/>
  <c r="H933" i="1"/>
  <c r="H63" i="1"/>
  <c r="H485" i="1"/>
  <c r="H365" i="1"/>
  <c r="H842" i="1"/>
  <c r="H703" i="1"/>
  <c r="H728" i="1"/>
  <c r="H244" i="1"/>
  <c r="H58" i="1"/>
  <c r="H384" i="1"/>
  <c r="H826" i="1"/>
  <c r="H731" i="1"/>
  <c r="H50" i="1"/>
  <c r="H73" i="1"/>
  <c r="H100" i="1"/>
  <c r="H647" i="1"/>
  <c r="H180" i="1"/>
  <c r="H74" i="1"/>
  <c r="H813" i="1"/>
  <c r="H572" i="1"/>
  <c r="H236" i="1"/>
  <c r="H580" i="1"/>
  <c r="H205" i="1"/>
  <c r="H717" i="1"/>
  <c r="H607" i="1"/>
  <c r="H162" i="1"/>
  <c r="H582" i="1"/>
  <c r="H19" i="1"/>
  <c r="H441" i="1"/>
  <c r="H585" i="1"/>
  <c r="H24" i="1"/>
  <c r="H391" i="1"/>
  <c r="H294" i="1"/>
  <c r="H82" i="1"/>
  <c r="H554" i="1"/>
  <c r="H35" i="1"/>
  <c r="H593" i="1"/>
  <c r="H287" i="1"/>
  <c r="H99" i="1"/>
  <c r="H241" i="1"/>
  <c r="H895" i="1"/>
  <c r="H482" i="1"/>
  <c r="H14" i="1"/>
  <c r="H117" i="1"/>
  <c r="H431" i="1"/>
  <c r="H803" i="1"/>
  <c r="H676" i="1"/>
  <c r="H175" i="1"/>
  <c r="H951" i="1"/>
  <c r="H400" i="1"/>
  <c r="H492" i="1"/>
  <c r="H407" i="1"/>
  <c r="H284" i="1"/>
  <c r="H618" i="1"/>
  <c r="H383" i="1"/>
  <c r="H970" i="1"/>
  <c r="H86" i="1"/>
  <c r="H510" i="1"/>
  <c r="H633" i="1"/>
  <c r="H515" i="1"/>
  <c r="H850" i="1"/>
  <c r="H422" i="1"/>
  <c r="H579" i="1"/>
  <c r="H21" i="1"/>
  <c r="H290" i="1"/>
  <c r="H370" i="1"/>
  <c r="H397" i="1"/>
  <c r="H33" i="1"/>
  <c r="H65" i="1"/>
  <c r="H158" i="1"/>
  <c r="H34" i="1"/>
  <c r="H15" i="1"/>
  <c r="H509" i="1"/>
  <c r="H27" i="1"/>
  <c r="H64" i="1"/>
  <c r="H525" i="1"/>
  <c r="H542" i="1"/>
  <c r="H548" i="1"/>
  <c r="H901" i="1"/>
  <c r="H739" i="1"/>
  <c r="H345" i="1"/>
  <c r="H476" i="1"/>
  <c r="H641" i="1"/>
  <c r="H366" i="1"/>
  <c r="H874" i="1"/>
  <c r="H512" i="1"/>
  <c r="H651" i="1"/>
  <c r="H594" i="1"/>
  <c r="H481" i="1"/>
  <c r="H38" i="1"/>
  <c r="H666" i="1"/>
  <c r="H17" i="1"/>
  <c r="H57" i="1"/>
  <c r="H118" i="1"/>
  <c r="H551" i="1"/>
  <c r="H337" i="1"/>
  <c r="H257" i="1"/>
  <c r="H892" i="1"/>
  <c r="H719" i="1"/>
  <c r="H932" i="1"/>
  <c r="H664" i="1"/>
  <c r="H571" i="1"/>
  <c r="H227" i="1"/>
  <c r="H317" i="1"/>
  <c r="H680" i="1"/>
  <c r="H192" i="1"/>
  <c r="H30" i="1"/>
  <c r="H225" i="1"/>
  <c r="H493" i="1"/>
  <c r="H266" i="1"/>
  <c r="H543" i="1"/>
  <c r="H864" i="1"/>
  <c r="H102" i="1"/>
  <c r="H12" i="1"/>
  <c r="H55" i="1"/>
  <c r="H959" i="1"/>
  <c r="H303" i="1"/>
  <c r="H342" i="1"/>
  <c r="H770" i="1"/>
  <c r="H176" i="1"/>
  <c r="H177" i="1"/>
  <c r="H272" i="1"/>
  <c r="H385" i="1"/>
  <c r="H762" i="1"/>
  <c r="H768" i="1"/>
  <c r="H646" i="1"/>
  <c r="H852" i="1"/>
  <c r="H631" i="1"/>
  <c r="H186" i="1"/>
  <c r="H126" i="1"/>
  <c r="H364" i="1"/>
  <c r="H757" i="1"/>
  <c r="H588" i="1"/>
  <c r="H928" i="1"/>
  <c r="H860" i="1"/>
  <c r="H386" i="1"/>
  <c r="H461" i="1"/>
  <c r="H85" i="1"/>
  <c r="H279" i="1"/>
  <c r="H160" i="1"/>
  <c r="H346" i="1"/>
  <c r="H52" i="1"/>
  <c r="H519" i="1"/>
  <c r="H240" i="1"/>
  <c r="H600" i="1"/>
  <c r="H138" i="1"/>
  <c r="H398" i="1"/>
  <c r="H165" i="1"/>
  <c r="H421" i="1"/>
  <c r="H304" i="1"/>
  <c r="H387" i="1"/>
  <c r="H382" i="1"/>
  <c r="H759" i="1"/>
  <c r="H541" i="1"/>
  <c r="H415" i="1"/>
  <c r="H238" i="1"/>
  <c r="H78" i="1"/>
  <c r="H434" i="1"/>
  <c r="H511" i="1"/>
  <c r="H359" i="1"/>
  <c r="H626" i="1"/>
  <c r="H31" i="1"/>
  <c r="H620" i="1"/>
  <c r="H560" i="1"/>
  <c r="H930" i="1"/>
  <c r="H784" i="1"/>
  <c r="H629" i="1"/>
  <c r="H105" i="1"/>
  <c r="H623" i="1"/>
  <c r="H13" i="1"/>
  <c r="H46" i="1"/>
  <c r="H263" i="1"/>
  <c r="H494" i="1"/>
  <c r="H314" i="1"/>
  <c r="H210" i="1"/>
  <c r="H915" i="1"/>
  <c r="H810" i="1"/>
  <c r="H868" i="1"/>
  <c r="H599" i="1"/>
  <c r="H856" i="1"/>
  <c r="H755" i="1"/>
  <c r="H922" i="1"/>
  <c r="H871" i="1"/>
  <c r="H495" i="1"/>
  <c r="H636" i="1"/>
  <c r="H288" i="1"/>
  <c r="H674" i="1"/>
  <c r="H124" i="1"/>
  <c r="H565" i="1"/>
  <c r="H322" i="1"/>
  <c r="H316" i="1"/>
  <c r="H876" i="1"/>
  <c r="H650" i="1"/>
  <c r="H179" i="1"/>
  <c r="H214" i="1"/>
  <c r="H994" i="1"/>
  <c r="H590" i="1"/>
  <c r="H800" i="1"/>
  <c r="H48" i="1"/>
  <c r="H80" i="1"/>
  <c r="H103" i="1"/>
  <c r="H736" i="1"/>
  <c r="H799" i="1"/>
  <c r="H228" i="1"/>
  <c r="H987" i="1"/>
  <c r="H983" i="1"/>
  <c r="H429" i="1"/>
  <c r="H478" i="1"/>
  <c r="H743" i="1"/>
  <c r="H695" i="1"/>
  <c r="H470" i="1"/>
  <c r="H374" i="1"/>
  <c r="H954" i="1"/>
  <c r="H406" i="1"/>
  <c r="H1005" i="1"/>
  <c r="H323" i="1"/>
  <c r="H851" i="1"/>
  <c r="H639" i="1"/>
  <c r="H568" i="1"/>
  <c r="H553" i="1"/>
  <c r="H875" i="1"/>
  <c r="H144" i="1"/>
  <c r="H428" i="1"/>
  <c r="H271" i="1"/>
  <c r="H218" i="1"/>
  <c r="H135" i="1"/>
  <c r="H81" i="1"/>
  <c r="H289" i="1"/>
  <c r="H816" i="1"/>
  <c r="H608" i="1"/>
  <c r="H358" i="1"/>
  <c r="H665" i="1"/>
  <c r="H51" i="1"/>
  <c r="H962" i="1"/>
  <c r="H463" i="1"/>
  <c r="H193" i="1"/>
  <c r="H598" i="1"/>
  <c r="H325" i="1"/>
  <c r="H490" i="1"/>
  <c r="H920" i="1"/>
  <c r="H794" i="1"/>
  <c r="H396" i="1"/>
  <c r="H142" i="1"/>
  <c r="H903" i="1"/>
  <c r="H341" i="1"/>
  <c r="H336" i="1"/>
  <c r="H531" i="1"/>
  <c r="H612" i="1"/>
  <c r="H101" i="1"/>
  <c r="H744" i="1"/>
  <c r="H207" i="1"/>
  <c r="H561" i="1"/>
  <c r="H924" i="1"/>
  <c r="H282" i="1"/>
  <c r="H32" i="1"/>
  <c r="H638" i="1"/>
  <c r="H524" i="1"/>
  <c r="H670" i="1"/>
  <c r="H557" i="1"/>
  <c r="H308" i="1"/>
  <c r="H121" i="1"/>
  <c r="H277" i="1"/>
  <c r="H348" i="1"/>
  <c r="H619" i="1"/>
  <c r="H986" i="1"/>
  <c r="H130" i="1"/>
  <c r="H829" i="1"/>
  <c r="H276" i="1"/>
  <c r="H952" i="1"/>
  <c r="H403" i="1"/>
  <c r="H805" i="1"/>
  <c r="H947" i="1"/>
  <c r="H261" i="1"/>
  <c r="H157" i="1"/>
  <c r="H242" i="1"/>
  <c r="H285" i="1"/>
  <c r="H558" i="1"/>
  <c r="H722" i="1"/>
  <c r="H583" i="1"/>
  <c r="H527" i="1"/>
  <c r="H292" i="1"/>
  <c r="H1000" i="1"/>
  <c r="H573" i="1"/>
  <c r="H767" i="1"/>
  <c r="H300" i="1"/>
  <c r="H68" i="1"/>
  <c r="H377" i="1"/>
  <c r="H189" i="1"/>
  <c r="H170" i="1"/>
  <c r="H234" i="1"/>
  <c r="H715" i="1"/>
  <c r="H899" i="1"/>
  <c r="H948" i="1"/>
  <c r="H1002" i="1"/>
  <c r="H254" i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</calcChain>
</file>

<file path=xl/sharedStrings.xml><?xml version="1.0" encoding="utf-8"?>
<sst xmlns="http://schemas.openxmlformats.org/spreadsheetml/2006/main" count="3165" uniqueCount="1590">
  <si>
    <t>Code Article</t>
  </si>
  <si>
    <t>Catégorie</t>
  </si>
  <si>
    <t>% article</t>
  </si>
  <si>
    <t>% cumulatif article</t>
  </si>
  <si>
    <t>DT = Demande annuelle (qté)</t>
  </si>
  <si>
    <t>Ca = Coût unitaire ($)</t>
  </si>
  <si>
    <t>Ventes annuelles ($)</t>
  </si>
  <si>
    <t>% valeur</t>
  </si>
  <si>
    <t>% cumulatif valeur</t>
  </si>
  <si>
    <t>Classe</t>
  </si>
  <si>
    <t>1851-1</t>
  </si>
  <si>
    <t>A</t>
  </si>
  <si>
    <t>0681-3</t>
  </si>
  <si>
    <t>1172-1</t>
  </si>
  <si>
    <t>0841-9</t>
  </si>
  <si>
    <t>0768-3</t>
  </si>
  <si>
    <t>1238-1</t>
  </si>
  <si>
    <t>0368-7</t>
  </si>
  <si>
    <t>1719-4</t>
  </si>
  <si>
    <t>1817-1</t>
  </si>
  <si>
    <t>0971-4</t>
  </si>
  <si>
    <t>0633-4</t>
  </si>
  <si>
    <t>0881-8</t>
  </si>
  <si>
    <t>0496-9</t>
  </si>
  <si>
    <t>0126-7</t>
  </si>
  <si>
    <t>1503-9</t>
  </si>
  <si>
    <t>1015-7</t>
  </si>
  <si>
    <t>0659-2</t>
  </si>
  <si>
    <t>0875-1</t>
  </si>
  <si>
    <t>0363-6</t>
  </si>
  <si>
    <t>0210-1</t>
  </si>
  <si>
    <t>1273-1</t>
  </si>
  <si>
    <t>0510-8</t>
  </si>
  <si>
    <t>0828-1</t>
  </si>
  <si>
    <t>1211-4</t>
  </si>
  <si>
    <t>0086-5</t>
  </si>
  <si>
    <t>0102-1</t>
  </si>
  <si>
    <t>1854-9</t>
  </si>
  <si>
    <t>1686-1</t>
  </si>
  <si>
    <t>0748-8</t>
  </si>
  <si>
    <t>0968-4</t>
  </si>
  <si>
    <t>0723-7</t>
  </si>
  <si>
    <t>0167-4</t>
  </si>
  <si>
    <t>0138-1</t>
  </si>
  <si>
    <t>0717-1</t>
  </si>
  <si>
    <t>0575-4</t>
  </si>
  <si>
    <t>1812-7</t>
  </si>
  <si>
    <t>1062-3</t>
  </si>
  <si>
    <t>1731-3</t>
  </si>
  <si>
    <t>1381-3</t>
  </si>
  <si>
    <t>1064-9</t>
  </si>
  <si>
    <t>1869-9</t>
  </si>
  <si>
    <t>1583-8</t>
  </si>
  <si>
    <t>0022-1</t>
  </si>
  <si>
    <t>0015-1</t>
  </si>
  <si>
    <t>0863-4</t>
  </si>
  <si>
    <t>0290-9</t>
  </si>
  <si>
    <t>0456-9</t>
  </si>
  <si>
    <t>1316-8</t>
  </si>
  <si>
    <t>1151-7</t>
  </si>
  <si>
    <t>1156-8</t>
  </si>
  <si>
    <t>0092-6</t>
  </si>
  <si>
    <t>1681-8</t>
  </si>
  <si>
    <t>0041-9</t>
  </si>
  <si>
    <t>0624-7</t>
  </si>
  <si>
    <t>0183-8</t>
  </si>
  <si>
    <t>1005-1</t>
  </si>
  <si>
    <t>1224-9</t>
  </si>
  <si>
    <t>1232-5</t>
  </si>
  <si>
    <t>1482-6</t>
  </si>
  <si>
    <t>0620-2</t>
  </si>
  <si>
    <t>1125-3</t>
  </si>
  <si>
    <t>1322-8</t>
  </si>
  <si>
    <t>0060-4</t>
  </si>
  <si>
    <t>0157-2</t>
  </si>
  <si>
    <t>0298-9</t>
  </si>
  <si>
    <t>1144-8</t>
  </si>
  <si>
    <t>0190-8</t>
  </si>
  <si>
    <t>1473-1</t>
  </si>
  <si>
    <t>1389-9</t>
  </si>
  <si>
    <t>0273-4</t>
  </si>
  <si>
    <t>1494-8</t>
  </si>
  <si>
    <t>1141-6</t>
  </si>
  <si>
    <t>1041-4</t>
  </si>
  <si>
    <t>0981-9</t>
  </si>
  <si>
    <t>1500-1</t>
  </si>
  <si>
    <t>1650-1</t>
  </si>
  <si>
    <t>1061-8</t>
  </si>
  <si>
    <t>0954-9</t>
  </si>
  <si>
    <t>0446-9</t>
  </si>
  <si>
    <t>0018-5</t>
  </si>
  <si>
    <t>0750-6</t>
  </si>
  <si>
    <t>1145-8</t>
  </si>
  <si>
    <t>1079-6</t>
  </si>
  <si>
    <t>0175-8</t>
  </si>
  <si>
    <t>0288-3</t>
  </si>
  <si>
    <t>0310-1</t>
  </si>
  <si>
    <t>0016-9</t>
  </si>
  <si>
    <t>1412-7</t>
  </si>
  <si>
    <t>0660-8</t>
  </si>
  <si>
    <t>0611-8</t>
  </si>
  <si>
    <t>1543-3</t>
  </si>
  <si>
    <t>1524-1</t>
  </si>
  <si>
    <t>1396-8</t>
  </si>
  <si>
    <t>0317-9</t>
  </si>
  <si>
    <t>1307-8</t>
  </si>
  <si>
    <t>0062-1</t>
  </si>
  <si>
    <t>1088-4</t>
  </si>
  <si>
    <t>0658-8</t>
  </si>
  <si>
    <t>1132-8</t>
  </si>
  <si>
    <t>0823-1</t>
  </si>
  <si>
    <t>0657-5</t>
  </si>
  <si>
    <t>0438-9</t>
  </si>
  <si>
    <t>0515-8</t>
  </si>
  <si>
    <t>0898-6</t>
  </si>
  <si>
    <t>1255-3</t>
  </si>
  <si>
    <t>0674-8</t>
  </si>
  <si>
    <t>1751-9</t>
  </si>
  <si>
    <t>1364-7</t>
  </si>
  <si>
    <t>0892-9</t>
  </si>
  <si>
    <t>1486-7</t>
  </si>
  <si>
    <t>0421-3</t>
  </si>
  <si>
    <t>1169-8</t>
  </si>
  <si>
    <t>1704-3</t>
  </si>
  <si>
    <t>1616-5</t>
  </si>
  <si>
    <t>0849-3</t>
  </si>
  <si>
    <t>0486-7</t>
  </si>
  <si>
    <t>0996-1</t>
  </si>
  <si>
    <t>1688-9</t>
  </si>
  <si>
    <t>0578-1</t>
  </si>
  <si>
    <t>0609-4</t>
  </si>
  <si>
    <t>1605-8</t>
  </si>
  <si>
    <t>0055-2</t>
  </si>
  <si>
    <t>0623-9</t>
  </si>
  <si>
    <t>1507-8</t>
  </si>
  <si>
    <t>0353-4</t>
  </si>
  <si>
    <t>0355-4</t>
  </si>
  <si>
    <t>1070-2</t>
  </si>
  <si>
    <t>0453-3</t>
  </si>
  <si>
    <t>0521-9</t>
  </si>
  <si>
    <t>1811-8</t>
  </si>
  <si>
    <t>0032-2</t>
  </si>
  <si>
    <t>1312-5</t>
  </si>
  <si>
    <t>1564-8</t>
  </si>
  <si>
    <t>0027-9</t>
  </si>
  <si>
    <t>1791-2</t>
  </si>
  <si>
    <t>0569-1</t>
  </si>
  <si>
    <t>0038-9</t>
  </si>
  <si>
    <t>0017-8</t>
  </si>
  <si>
    <t>1674-8</t>
  </si>
  <si>
    <t>1363-6</t>
  </si>
  <si>
    <t>0928-1</t>
  </si>
  <si>
    <t>1837-7</t>
  </si>
  <si>
    <t>0079-6</t>
  </si>
  <si>
    <t>1662-4</t>
  </si>
  <si>
    <t>1352-1</t>
  </si>
  <si>
    <t>1496-6</t>
  </si>
  <si>
    <t>0935-8</t>
  </si>
  <si>
    <t>1716-8</t>
  </si>
  <si>
    <t>0152-9</t>
  </si>
  <si>
    <t>0477-9</t>
  </si>
  <si>
    <t>0899-3</t>
  </si>
  <si>
    <t>0211-9</t>
  </si>
  <si>
    <t>0367-1</t>
  </si>
  <si>
    <t>1089-3</t>
  </si>
  <si>
    <t>1469-1</t>
  </si>
  <si>
    <t>0351-1</t>
  </si>
  <si>
    <t>0148-9</t>
  </si>
  <si>
    <t>1276-1</t>
  </si>
  <si>
    <t>0124-1</t>
  </si>
  <si>
    <t>1478-9</t>
  </si>
  <si>
    <t>0951-8</t>
  </si>
  <si>
    <t>1862-4</t>
  </si>
  <si>
    <t>1309-9</t>
  </si>
  <si>
    <t>0019-9</t>
  </si>
  <si>
    <t>1069-9</t>
  </si>
  <si>
    <t>1520-5</t>
  </si>
  <si>
    <t>1417-8</t>
  </si>
  <si>
    <t>1871-8</t>
  </si>
  <si>
    <t>0154-1</t>
  </si>
  <si>
    <t>0011-8</t>
  </si>
  <si>
    <t>1563-4</t>
  </si>
  <si>
    <t>0052-3</t>
  </si>
  <si>
    <t>1794-3</t>
  </si>
  <si>
    <t>0430-8</t>
  </si>
  <si>
    <t>0539-9</t>
  </si>
  <si>
    <t>0506-7</t>
  </si>
  <si>
    <t>1359-4</t>
  </si>
  <si>
    <t>0522-8</t>
  </si>
  <si>
    <t>1063-1</t>
  </si>
  <si>
    <t>0516-3</t>
  </si>
  <si>
    <t>1665-1</t>
  </si>
  <si>
    <t>1408-4</t>
  </si>
  <si>
    <t>0495-3</t>
  </si>
  <si>
    <t>0479-8</t>
  </si>
  <si>
    <t>0361-9</t>
  </si>
  <si>
    <t>0782-1</t>
  </si>
  <si>
    <t>0629-1</t>
  </si>
  <si>
    <t>0164-7</t>
  </si>
  <si>
    <t>1386-9</t>
  </si>
  <si>
    <t>1740-3</t>
  </si>
  <si>
    <t>0766-1</t>
  </si>
  <si>
    <t>1097-1</t>
  </si>
  <si>
    <t>1155-6</t>
  </si>
  <si>
    <t>0999-4</t>
  </si>
  <si>
    <t>1446-9</t>
  </si>
  <si>
    <t>1498-9</t>
  </si>
  <si>
    <t>0662-8</t>
  </si>
  <si>
    <t>B</t>
  </si>
  <si>
    <t>1517-8</t>
  </si>
  <si>
    <t>1308-1</t>
  </si>
  <si>
    <t>1575-9</t>
  </si>
  <si>
    <t>1676-9</t>
  </si>
  <si>
    <t>0029-9</t>
  </si>
  <si>
    <t>1607-4</t>
  </si>
  <si>
    <t>0979-4</t>
  </si>
  <si>
    <t>0358-8</t>
  </si>
  <si>
    <t>0764-8</t>
  </si>
  <si>
    <t>1820-1</t>
  </si>
  <si>
    <t>0284-1</t>
  </si>
  <si>
    <t>0813-8</t>
  </si>
  <si>
    <t>0197-6</t>
  </si>
  <si>
    <t>0922-9</t>
  </si>
  <si>
    <t>1748-9</t>
  </si>
  <si>
    <t>0513-3</t>
  </si>
  <si>
    <t>1436-7</t>
  </si>
  <si>
    <t>1508-3</t>
  </si>
  <si>
    <t>1553-8</t>
  </si>
  <si>
    <t>0037-1</t>
  </si>
  <si>
    <t>1651-8</t>
  </si>
  <si>
    <t>1025-6</t>
  </si>
  <si>
    <t>1162-3</t>
  </si>
  <si>
    <t>0879-7</t>
  </si>
  <si>
    <t>0051-2</t>
  </si>
  <si>
    <t>1450-3</t>
  </si>
  <si>
    <t>0737-1</t>
  </si>
  <si>
    <t>1519-8</t>
  </si>
  <si>
    <t>0835-3</t>
  </si>
  <si>
    <t>0379-1</t>
  </si>
  <si>
    <t>0567-9</t>
  </si>
  <si>
    <t>1760-9</t>
  </si>
  <si>
    <t>1028-1</t>
  </si>
  <si>
    <t>0437-1</t>
  </si>
  <si>
    <t>0364-5</t>
  </si>
  <si>
    <t>0133-9</t>
  </si>
  <si>
    <t>1829-1</t>
  </si>
  <si>
    <t>0997-8</t>
  </si>
  <si>
    <t>0963-1</t>
  </si>
  <si>
    <t>1108-1</t>
  </si>
  <si>
    <t>1618-4</t>
  </si>
  <si>
    <t>0069-1</t>
  </si>
  <si>
    <t>0583-9</t>
  </si>
  <si>
    <t>0340-1</t>
  </si>
  <si>
    <t>0454-4</t>
  </si>
  <si>
    <t>1235-3</t>
  </si>
  <si>
    <t>0866-3</t>
  </si>
  <si>
    <t>1455-3</t>
  </si>
  <si>
    <t>0868-1</t>
  </si>
  <si>
    <t>0326-9</t>
  </si>
  <si>
    <t>0907-9</t>
  </si>
  <si>
    <t>1514-1</t>
  </si>
  <si>
    <t>0347-3</t>
  </si>
  <si>
    <t>0316-2</t>
  </si>
  <si>
    <t>1664-1</t>
  </si>
  <si>
    <t>0009-8</t>
  </si>
  <si>
    <t>1843-8</t>
  </si>
  <si>
    <t>0596-4</t>
  </si>
  <si>
    <t>0950-1</t>
  </si>
  <si>
    <t>1580-1</t>
  </si>
  <si>
    <t>0478-9</t>
  </si>
  <si>
    <t>1613-3</t>
  </si>
  <si>
    <t>0359-2</t>
  </si>
  <si>
    <t>1403-1</t>
  </si>
  <si>
    <t>0853-9</t>
  </si>
  <si>
    <t>1622-1</t>
  </si>
  <si>
    <t>1264-4</t>
  </si>
  <si>
    <t>0685-1</t>
  </si>
  <si>
    <t>0153-1</t>
  </si>
  <si>
    <t>1677-8</t>
  </si>
  <si>
    <t>0263-4</t>
  </si>
  <si>
    <t>1012-3</t>
  </si>
  <si>
    <t>0056-1</t>
  </si>
  <si>
    <t>0467-3</t>
  </si>
  <si>
    <t>1379-3</t>
  </si>
  <si>
    <t>1609-3</t>
  </si>
  <si>
    <t>1161-4</t>
  </si>
  <si>
    <t>0426-4</t>
  </si>
  <si>
    <t>0600-1</t>
  </si>
  <si>
    <t>1529-8</t>
  </si>
  <si>
    <t>0166-9</t>
  </si>
  <si>
    <t>1206-3</t>
  </si>
  <si>
    <t>1552-8</t>
  </si>
  <si>
    <t>0734-1</t>
  </si>
  <si>
    <t>1785-3</t>
  </si>
  <si>
    <t>0334-8</t>
  </si>
  <si>
    <t>0331-3</t>
  </si>
  <si>
    <t>1630-1</t>
  </si>
  <si>
    <t>0666-1</t>
  </si>
  <si>
    <t>0656-9</t>
  </si>
  <si>
    <t>1278-9</t>
  </si>
  <si>
    <t>0201-1</t>
  </si>
  <si>
    <t>1126-2</t>
  </si>
  <si>
    <t>0274-5</t>
  </si>
  <si>
    <t>1713-9</t>
  </si>
  <si>
    <t>0798-9</t>
  </si>
  <si>
    <t>1170-6</t>
  </si>
  <si>
    <t>1187-8</t>
  </si>
  <si>
    <t>0487-9</t>
  </si>
  <si>
    <t>0932-1</t>
  </si>
  <si>
    <t>0186-2</t>
  </si>
  <si>
    <t>0206-8</t>
  </si>
  <si>
    <t>1200-4</t>
  </si>
  <si>
    <t>1288-8</t>
  </si>
  <si>
    <t>0565-8</t>
  </si>
  <si>
    <t>1222-5</t>
  </si>
  <si>
    <t>1617-7</t>
  </si>
  <si>
    <t>1480-8</t>
  </si>
  <si>
    <t>0245-6</t>
  </si>
  <si>
    <t>0622-5</t>
  </si>
  <si>
    <t>0526-8</t>
  </si>
  <si>
    <t>0689-7</t>
  </si>
  <si>
    <t>1656-9</t>
  </si>
  <si>
    <t>0156-1</t>
  </si>
  <si>
    <t>1752-1</t>
  </si>
  <si>
    <t>0824-7</t>
  </si>
  <si>
    <t>1576-3</t>
  </si>
  <si>
    <t>0555-9</t>
  </si>
  <si>
    <t>0815-9</t>
  </si>
  <si>
    <t>1730-1</t>
  </si>
  <si>
    <t>1541-1</t>
  </si>
  <si>
    <t>1838-1</t>
  </si>
  <si>
    <t>1536-4</t>
  </si>
  <si>
    <t>0564-2</t>
  </si>
  <si>
    <t>0155-6</t>
  </si>
  <si>
    <t>1020-8</t>
  </si>
  <si>
    <t>1038-1</t>
  </si>
  <si>
    <t>0820-9</t>
  </si>
  <si>
    <t>1154-4</t>
  </si>
  <si>
    <t>0843-1</t>
  </si>
  <si>
    <t>1413-7</t>
  </si>
  <si>
    <t>0233-1</t>
  </si>
  <si>
    <t>1863-7</t>
  </si>
  <si>
    <t>0215-9</t>
  </si>
  <si>
    <t>1056-5</t>
  </si>
  <si>
    <t>1710-9</t>
  </si>
  <si>
    <t>1449-3</t>
  </si>
  <si>
    <t>0888-6</t>
  </si>
  <si>
    <t>0969-7</t>
  </si>
  <si>
    <t>0923-1</t>
  </si>
  <si>
    <t>1549-1</t>
  </si>
  <si>
    <t>1339-4</t>
  </si>
  <si>
    <t>0908-4</t>
  </si>
  <si>
    <t>0556-4</t>
  </si>
  <si>
    <t>1147-3</t>
  </si>
  <si>
    <t>0241-7</t>
  </si>
  <si>
    <t>1261-4</t>
  </si>
  <si>
    <t>0100-2</t>
  </si>
  <si>
    <t>0858-7</t>
  </si>
  <si>
    <t>0580-4</t>
  </si>
  <si>
    <t>0533-2</t>
  </si>
  <si>
    <t>0545-9</t>
  </si>
  <si>
    <t>1296-8</t>
  </si>
  <si>
    <t>1659-4</t>
  </si>
  <si>
    <t>1866-4</t>
  </si>
  <si>
    <t>1044-8</t>
  </si>
  <si>
    <t>0607-4</t>
  </si>
  <si>
    <t>0077-9</t>
  </si>
  <si>
    <t>0054-1</t>
  </si>
  <si>
    <t>1175-8</t>
  </si>
  <si>
    <t>0986-1</t>
  </si>
  <si>
    <t>0671-7</t>
  </si>
  <si>
    <t>1793-5</t>
  </si>
  <si>
    <t>1460-7</t>
  </si>
  <si>
    <t>0597-8</t>
  </si>
  <si>
    <t>0343-7</t>
  </si>
  <si>
    <t>1293-8</t>
  </si>
  <si>
    <t>1205-1</t>
  </si>
  <si>
    <t>0220-5</t>
  </si>
  <si>
    <t>0404-4</t>
  </si>
  <si>
    <t>0262-8</t>
  </si>
  <si>
    <t>0184-2</t>
  </si>
  <si>
    <t>1301-2</t>
  </si>
  <si>
    <t>0706-8</t>
  </si>
  <si>
    <t>0648-3</t>
  </si>
  <si>
    <t>0228-7</t>
  </si>
  <si>
    <t>0982-1</t>
  </si>
  <si>
    <t>0690-1</t>
  </si>
  <si>
    <t>0172-1</t>
  </si>
  <si>
    <t>0991-7</t>
  </si>
  <si>
    <t>1831-5</t>
  </si>
  <si>
    <t>1619-3</t>
  </si>
  <si>
    <t>1372-1</t>
  </si>
  <si>
    <t>1204-4</t>
  </si>
  <si>
    <t>0306-6</t>
  </si>
  <si>
    <t>1216-3</t>
  </si>
  <si>
    <t>0457-3</t>
  </si>
  <si>
    <t>0248-8</t>
  </si>
  <si>
    <t>1212-8</t>
  </si>
  <si>
    <t>1428-1</t>
  </si>
  <si>
    <t>0860-7</t>
  </si>
  <si>
    <t>0576-9</t>
  </si>
  <si>
    <t>0806-5</t>
  </si>
  <si>
    <t>1669-8</t>
  </si>
  <si>
    <t>1171-1</t>
  </si>
  <si>
    <t>0260-5</t>
  </si>
  <si>
    <t>1780-5</t>
  </si>
  <si>
    <t>0936-4</t>
  </si>
  <si>
    <t>0176-3</t>
  </si>
  <si>
    <t>0028-8</t>
  </si>
  <si>
    <t>1694-4</t>
  </si>
  <si>
    <t>0382-4</t>
  </si>
  <si>
    <t>1836-5</t>
  </si>
  <si>
    <t>1521-9</t>
  </si>
  <si>
    <t>0406-2</t>
  </si>
  <si>
    <t>1086-6</t>
  </si>
  <si>
    <t>1531-3</t>
  </si>
  <si>
    <t>0182-2</t>
  </si>
  <si>
    <t>0345-1</t>
  </si>
  <si>
    <t>0408-8</t>
  </si>
  <si>
    <t>1685-3</t>
  </si>
  <si>
    <t>1784-1</t>
  </si>
  <si>
    <t>1084-1</t>
  </si>
  <si>
    <t>1346-5</t>
  </si>
  <si>
    <t>1078-2</t>
  </si>
  <si>
    <t>1749-1</t>
  </si>
  <si>
    <t>1129-3</t>
  </si>
  <si>
    <t>0818-3</t>
  </si>
  <si>
    <t>0691-3</t>
  </si>
  <si>
    <t>1865-1</t>
  </si>
  <si>
    <t>0733-8</t>
  </si>
  <si>
    <t>0130-7</t>
  </si>
  <si>
    <t>1251-2</t>
  </si>
  <si>
    <t>0230-4</t>
  </si>
  <si>
    <t>1634-1</t>
  </si>
  <si>
    <t>1816-3</t>
  </si>
  <si>
    <t>0423-1</t>
  </si>
  <si>
    <t>1545-5</t>
  </si>
  <si>
    <t>0793-1</t>
  </si>
  <si>
    <t>0067-3</t>
  </si>
  <si>
    <t>0322-4</t>
  </si>
  <si>
    <t>0279-6</t>
  </si>
  <si>
    <t>0459-8</t>
  </si>
  <si>
    <t>0168-7</t>
  </si>
  <si>
    <t>0787-3</t>
  </si>
  <si>
    <t>1022-7</t>
  </si>
  <si>
    <t>0252-1</t>
  </si>
  <si>
    <t>0141-3</t>
  </si>
  <si>
    <t>1701-5</t>
  </si>
  <si>
    <t>1725-6</t>
  </si>
  <si>
    <t>1467-5</t>
  </si>
  <si>
    <t>0202-1</t>
  </si>
  <si>
    <t>0865-4</t>
  </si>
  <si>
    <t>1804-8</t>
  </si>
  <si>
    <t>0203-3</t>
  </si>
  <si>
    <t>1420-7</t>
  </si>
  <si>
    <t>1290-5</t>
  </si>
  <si>
    <t>1220-9</t>
  </si>
  <si>
    <t>0792-7</t>
  </si>
  <si>
    <t>0983-7</t>
  </si>
  <si>
    <t>1835-9</t>
  </si>
  <si>
    <t>1657-1</t>
  </si>
  <si>
    <t>1724-3</t>
  </si>
  <si>
    <t>1475-4</t>
  </si>
  <si>
    <t>1593-1</t>
  </si>
  <si>
    <t>1647-9</t>
  </si>
  <si>
    <t>0884-7</t>
  </si>
  <si>
    <t>1522-6</t>
  </si>
  <si>
    <t>0424-1</t>
  </si>
  <si>
    <t>0085-2</t>
  </si>
  <si>
    <t>0966-3</t>
  </si>
  <si>
    <t>0214-8</t>
  </si>
  <si>
    <t>0239-3</t>
  </si>
  <si>
    <t>1487-5</t>
  </si>
  <si>
    <t>1118-8</t>
  </si>
  <si>
    <t>1663-7</t>
  </si>
  <si>
    <t>0561-2</t>
  </si>
  <si>
    <t>1009-1</t>
  </si>
  <si>
    <t>1369-4</t>
  </si>
  <si>
    <t>0043-9</t>
  </si>
  <si>
    <t>1723-4</t>
  </si>
  <si>
    <t>0238-8</t>
  </si>
  <si>
    <t>0925-1</t>
  </si>
  <si>
    <t>0194-6</t>
  </si>
  <si>
    <t>0105-9</t>
  </si>
  <si>
    <t>1419-3</t>
  </si>
  <si>
    <t>0235-4</t>
  </si>
  <si>
    <t>1234-8</t>
  </si>
  <si>
    <t>0271-9</t>
  </si>
  <si>
    <t>0312-9</t>
  </si>
  <si>
    <t>1528-4</t>
  </si>
  <si>
    <t>1189-5</t>
  </si>
  <si>
    <t>1083-9</t>
  </si>
  <si>
    <t>0524-7</t>
  </si>
  <si>
    <t>0034-8</t>
  </si>
  <si>
    <t>0667-9</t>
  </si>
  <si>
    <t>1311-8</t>
  </si>
  <si>
    <t>1691-1</t>
  </si>
  <si>
    <t>1000-5</t>
  </si>
  <si>
    <t>1336-9</t>
  </si>
  <si>
    <t>1274-1</t>
  </si>
  <si>
    <t>1029-8</t>
  </si>
  <si>
    <t>0987-6</t>
  </si>
  <si>
    <t>0362-3</t>
  </si>
  <si>
    <t>0716-4</t>
  </si>
  <si>
    <t>0834-5</t>
  </si>
  <si>
    <t>0684-3</t>
  </si>
  <si>
    <t>0329-6</t>
  </si>
  <si>
    <t>1327-8</t>
  </si>
  <si>
    <t>1453-1</t>
  </si>
  <si>
    <t>1649-9</t>
  </si>
  <si>
    <t>1087-8</t>
  </si>
  <si>
    <t>0589-8</t>
  </si>
  <si>
    <t>0781-2</t>
  </si>
  <si>
    <t>0588-8</t>
  </si>
  <si>
    <t>0160-6</t>
  </si>
  <si>
    <t>1852-1</t>
  </si>
  <si>
    <t>1518-7</t>
  </si>
  <si>
    <t>0552-8</t>
  </si>
  <si>
    <t>1137-8</t>
  </si>
  <si>
    <t>0115-8</t>
  </si>
  <si>
    <t>0278-3</t>
  </si>
  <si>
    <t>1003-9</t>
  </si>
  <si>
    <t>1150-5</t>
  </si>
  <si>
    <t>1035-3</t>
  </si>
  <si>
    <t>0618-4</t>
  </si>
  <si>
    <t>C</t>
  </si>
  <si>
    <t>0249-2</t>
  </si>
  <si>
    <t>1483-4</t>
  </si>
  <si>
    <t>0993-7</t>
  </si>
  <si>
    <t>1248-8</t>
  </si>
  <si>
    <t>0080-3</t>
  </si>
  <si>
    <t>0196-8</t>
  </si>
  <si>
    <t>1440-1</t>
  </si>
  <si>
    <t>0346-9</t>
  </si>
  <si>
    <t>0301-8</t>
  </si>
  <si>
    <t>0683-8</t>
  </si>
  <si>
    <t>0012-4</t>
  </si>
  <si>
    <t>1297-9</t>
  </si>
  <si>
    <t>0285-9</t>
  </si>
  <si>
    <t>1456-5</t>
  </si>
  <si>
    <t>0300-3</t>
  </si>
  <si>
    <t>1499-1</t>
  </si>
  <si>
    <t>0871-6</t>
  </si>
  <si>
    <t>0807-9</t>
  </si>
  <si>
    <t>1770-9</t>
  </si>
  <si>
    <t>1599-7</t>
  </si>
  <si>
    <t>0616-8</t>
  </si>
  <si>
    <t>0333-2</t>
  </si>
  <si>
    <t>1781-9</t>
  </si>
  <si>
    <t>1230-8</t>
  </si>
  <si>
    <t>0463-8</t>
  </si>
  <si>
    <t>1010-3</t>
  </si>
  <si>
    <t>1139-4</t>
  </si>
  <si>
    <t>1341-4</t>
  </si>
  <si>
    <t>0676-6</t>
  </si>
  <si>
    <t>0801-5</t>
  </si>
  <si>
    <t>1427-4</t>
  </si>
  <si>
    <t>0212-9</t>
  </si>
  <si>
    <t>1880-1</t>
  </si>
  <si>
    <t>1320-6</t>
  </si>
  <si>
    <t>0403-8</t>
  </si>
  <si>
    <t>1684-8</t>
  </si>
  <si>
    <t>0978-8</t>
  </si>
  <si>
    <t>0243-5</t>
  </si>
  <si>
    <t>0099-9</t>
  </si>
  <si>
    <t>0739-8</t>
  </si>
  <si>
    <t>0328-4</t>
  </si>
  <si>
    <t>0442-6</t>
  </si>
  <si>
    <t>0663-8</t>
  </si>
  <si>
    <t>0321-8</t>
  </si>
  <si>
    <t>0905-8</t>
  </si>
  <si>
    <t>0938-9</t>
  </si>
  <si>
    <t>0755-8</t>
  </si>
  <si>
    <t>1728-4</t>
  </si>
  <si>
    <t>0779-2</t>
  </si>
  <si>
    <t>0501-3</t>
  </si>
  <si>
    <t>0601-8</t>
  </si>
  <si>
    <t>0821-2</t>
  </si>
  <si>
    <t>0410-9</t>
  </si>
  <si>
    <t>0113-8</t>
  </si>
  <si>
    <t>1840-8</t>
  </si>
  <si>
    <t>0435-3</t>
  </si>
  <si>
    <t>0844-2</t>
  </si>
  <si>
    <t>1016-4</t>
  </si>
  <si>
    <t>0226-6</t>
  </si>
  <si>
    <t>1828-9</t>
  </si>
  <si>
    <t>1338-8</t>
  </si>
  <si>
    <t>1878-1</t>
  </si>
  <si>
    <t>0025-7</t>
  </si>
  <si>
    <t>0759-1</t>
  </si>
  <si>
    <t>0219-1</t>
  </si>
  <si>
    <t>0988-1</t>
  </si>
  <si>
    <t>1667-3</t>
  </si>
  <si>
    <t>0940-1</t>
  </si>
  <si>
    <t>0302-9</t>
  </si>
  <si>
    <t>0309-4</t>
  </si>
  <si>
    <t>0845-9</t>
  </si>
  <si>
    <t>0799-4</t>
  </si>
  <si>
    <t>1587-5</t>
  </si>
  <si>
    <t>0295-6</t>
  </si>
  <si>
    <t>0877-9</t>
  </si>
  <si>
    <t>0494-2</t>
  </si>
  <si>
    <t>1358-1</t>
  </si>
  <si>
    <t>1071-7</t>
  </si>
  <si>
    <t>0677-3</t>
  </si>
  <si>
    <t>1091-1</t>
  </si>
  <si>
    <t>0492-8</t>
  </si>
  <si>
    <t>1777-8</t>
  </si>
  <si>
    <t>1085-6</t>
  </si>
  <si>
    <t>1049-1</t>
  </si>
  <si>
    <t>0765-8</t>
  </si>
  <si>
    <t>0049-7</t>
  </si>
  <si>
    <t>1680-3</t>
  </si>
  <si>
    <t>1839-1</t>
  </si>
  <si>
    <t>1203-3</t>
  </si>
  <si>
    <t>0376-7</t>
  </si>
  <si>
    <t>1287-8</t>
  </si>
  <si>
    <t>1210-9</t>
  </si>
  <si>
    <t>0962-1</t>
  </si>
  <si>
    <t>1195-3</t>
  </si>
  <si>
    <t>1054-1</t>
  </si>
  <si>
    <t>1430-1</t>
  </si>
  <si>
    <t>0551-1</t>
  </si>
  <si>
    <t>0842-8</t>
  </si>
  <si>
    <t>0819-5</t>
  </si>
  <si>
    <t>1693-6</t>
  </si>
  <si>
    <t>0670-1</t>
  </si>
  <si>
    <t>1464-1</t>
  </si>
  <si>
    <t>1875-8</t>
  </si>
  <si>
    <t>0314-6</t>
  </si>
  <si>
    <t>0571-4</t>
  </si>
  <si>
    <t>0960-4</t>
  </si>
  <si>
    <t>0503-8</t>
  </si>
  <si>
    <t>1758-8</t>
  </si>
  <si>
    <t>0889-1</t>
  </si>
  <si>
    <t>1495-5</t>
  </si>
  <si>
    <t>1479-9</t>
  </si>
  <si>
    <t>0977-4</t>
  </si>
  <si>
    <t>0094-4</t>
  </si>
  <si>
    <t>1019-1</t>
  </si>
  <si>
    <t>0909-4</t>
  </si>
  <si>
    <t>0087-1</t>
  </si>
  <si>
    <t>0370-8</t>
  </si>
  <si>
    <t>0251-9</t>
  </si>
  <si>
    <t>0259-1</t>
  </si>
  <si>
    <t>0855-1</t>
  </si>
  <si>
    <t>1551-5</t>
  </si>
  <si>
    <t>0664-9</t>
  </si>
  <si>
    <t>1621-3</t>
  </si>
  <si>
    <t>0702-4</t>
  </si>
  <si>
    <t>0134-1</t>
  </si>
  <si>
    <t>1720-7</t>
  </si>
  <si>
    <t>1223-1</t>
  </si>
  <si>
    <t>0839-8</t>
  </si>
  <si>
    <t>1600-3</t>
  </si>
  <si>
    <t>0916-1</t>
  </si>
  <si>
    <t>1493-9</t>
  </si>
  <si>
    <t>0398-4</t>
  </si>
  <si>
    <t>1111-1</t>
  </si>
  <si>
    <t>0711-1</t>
  </si>
  <si>
    <t>1509-2</t>
  </si>
  <si>
    <t>0530-7</t>
  </si>
  <si>
    <t>1099-8</t>
  </si>
  <si>
    <t>0131-4</t>
  </si>
  <si>
    <t>1506-4</t>
  </si>
  <si>
    <t>1042-8</t>
  </si>
  <si>
    <t>1834-1</t>
  </si>
  <si>
    <t>1452-4</t>
  </si>
  <si>
    <t>1856-9</t>
  </si>
  <si>
    <t>0401-1</t>
  </si>
  <si>
    <t>1250-8</t>
  </si>
  <si>
    <t>1849-2</t>
  </si>
  <si>
    <t>1822-1</t>
  </si>
  <si>
    <t>1833-1</t>
  </si>
  <si>
    <t>1557-1</t>
  </si>
  <si>
    <t>0873-1</t>
  </si>
  <si>
    <t>1164-9</t>
  </si>
  <si>
    <t>1023-8</t>
  </si>
  <si>
    <t>0587-8</t>
  </si>
  <si>
    <t>0720-4</t>
  </si>
  <si>
    <t>1801-1</t>
  </si>
  <si>
    <t>0672-3</t>
  </si>
  <si>
    <t>0606-1</t>
  </si>
  <si>
    <t>1868-9</t>
  </si>
  <si>
    <t>0341-9</t>
  </si>
  <si>
    <t>0632-8</t>
  </si>
  <si>
    <t>1245-8</t>
  </si>
  <si>
    <t>0440-1</t>
  </si>
  <si>
    <t>1236-9</t>
  </si>
  <si>
    <t>1513-4</t>
  </si>
  <si>
    <t>1571-4</t>
  </si>
  <si>
    <t>0796-1</t>
  </si>
  <si>
    <t>1158-1</t>
  </si>
  <si>
    <t>0811-7</t>
  </si>
  <si>
    <t>1712-1</t>
  </si>
  <si>
    <t>0808-3</t>
  </si>
  <si>
    <t>0867-8</t>
  </si>
  <si>
    <t>0006-9</t>
  </si>
  <si>
    <t>0722-4</t>
  </si>
  <si>
    <t>1219-8</t>
  </si>
  <si>
    <t>0269-4</t>
  </si>
  <si>
    <t>1750-1</t>
  </si>
  <si>
    <t>0560-7</t>
  </si>
  <si>
    <t>1631-7</t>
  </si>
  <si>
    <t>1300-9</t>
  </si>
  <si>
    <t>0360-4</t>
  </si>
  <si>
    <t>0247-8</t>
  </si>
  <si>
    <t>0599-1</t>
  </si>
  <si>
    <t>1765-4</t>
  </si>
  <si>
    <t>0280-6</t>
  </si>
  <si>
    <t>1718-7</t>
  </si>
  <si>
    <t>1799-2</t>
  </si>
  <si>
    <t>1706-4</t>
  </si>
  <si>
    <t>1231-1</t>
  </si>
  <si>
    <t>1253-3</t>
  </si>
  <si>
    <t>1655-8</t>
  </si>
  <si>
    <t>0857-3</t>
  </si>
  <si>
    <t>0391-9</t>
  </si>
  <si>
    <t>0917-3</t>
  </si>
  <si>
    <t>0636-4</t>
  </si>
  <si>
    <t>0640-8</t>
  </si>
  <si>
    <t>1313-2</t>
  </si>
  <si>
    <t>1259-3</t>
  </si>
  <si>
    <t>1277-4</t>
  </si>
  <si>
    <t>0324-8</t>
  </si>
  <si>
    <t>1390-1</t>
  </si>
  <si>
    <t>0122-1</t>
  </si>
  <si>
    <t>0534-1</t>
  </si>
  <si>
    <t>0970-8</t>
  </si>
  <si>
    <t>0679-8</t>
  </si>
  <si>
    <t>0930-9</t>
  </si>
  <si>
    <t>1623-3</t>
  </si>
  <si>
    <t>0887-9</t>
  </si>
  <si>
    <t>0311-9</t>
  </si>
  <si>
    <t>1844-4</t>
  </si>
  <si>
    <t>0754-2</t>
  </si>
  <si>
    <t>1864-6</t>
  </si>
  <si>
    <t>1258-1</t>
  </si>
  <si>
    <t>0170-8</t>
  </si>
  <si>
    <t>1244-1</t>
  </si>
  <si>
    <t>1368-8</t>
  </si>
  <si>
    <t>1490-5</t>
  </si>
  <si>
    <t>1159-1</t>
  </si>
  <si>
    <t>0741-8</t>
  </si>
  <si>
    <t>1391-9</t>
  </si>
  <si>
    <t>0543-4</t>
  </si>
  <si>
    <t>0886-1</t>
  </si>
  <si>
    <t>0417-3</t>
  </si>
  <si>
    <t>1815-9</t>
  </si>
  <si>
    <t>0535-8</t>
  </si>
  <si>
    <t>1280-1</t>
  </si>
  <si>
    <t>1756-1</t>
  </si>
  <si>
    <t>1578-1</t>
  </si>
  <si>
    <t>0529-3</t>
  </si>
  <si>
    <t>0265-1</t>
  </si>
  <si>
    <t>0803-3</t>
  </si>
  <si>
    <t>1215-8</t>
  </si>
  <si>
    <t>1542-4</t>
  </si>
  <si>
    <t>0005-5</t>
  </si>
  <si>
    <t>0139-9</t>
  </si>
  <si>
    <t>0171-9</t>
  </si>
  <si>
    <t>0097-1</t>
  </si>
  <si>
    <t>0405-4</t>
  </si>
  <si>
    <t>1481-6</t>
  </si>
  <si>
    <t>0010-4</t>
  </si>
  <si>
    <t>1066-4</t>
  </si>
  <si>
    <t>0724-9</t>
  </si>
  <si>
    <t>1729-1</t>
  </si>
  <si>
    <t>0305-3</t>
  </si>
  <si>
    <t>0256-8</t>
  </si>
  <si>
    <t>1149-9</t>
  </si>
  <si>
    <t>1698-1</t>
  </si>
  <si>
    <t>0570-1</t>
  </si>
  <si>
    <t>0447-4</t>
  </si>
  <si>
    <t>0422-1</t>
  </si>
  <si>
    <t>1036-3</t>
  </si>
  <si>
    <t>1555-7</t>
  </si>
  <si>
    <t>0021-1</t>
  </si>
  <si>
    <t>0216-8</t>
  </si>
  <si>
    <t>0418-4</t>
  </si>
  <si>
    <t>1590-3</t>
  </si>
  <si>
    <t>0548-1</t>
  </si>
  <si>
    <t>1414-2</t>
  </si>
  <si>
    <t>0830-1</t>
  </si>
  <si>
    <t>1788-3</t>
  </si>
  <si>
    <t>0001-1</t>
  </si>
  <si>
    <t>1113-1</t>
  </si>
  <si>
    <t>1306-4</t>
  </si>
  <si>
    <t>0643-3</t>
  </si>
  <si>
    <t>0162-1</t>
  </si>
  <si>
    <t>1152-1</t>
  </si>
  <si>
    <t>1502-3</t>
  </si>
  <si>
    <t>0046-9</t>
  </si>
  <si>
    <t>1039-5</t>
  </si>
  <si>
    <t>1714-1</t>
  </si>
  <si>
    <t>0919-5</t>
  </si>
  <si>
    <t>0550-5</t>
  </si>
  <si>
    <t>1334-6</t>
  </si>
  <si>
    <t>1360-1</t>
  </si>
  <si>
    <t>0989-3</t>
  </si>
  <si>
    <t>1567-1</t>
  </si>
  <si>
    <t>0878-3</t>
  </si>
  <si>
    <t>1877-1</t>
  </si>
  <si>
    <t>0778-7</t>
  </si>
  <si>
    <t>1017-1</t>
  </si>
  <si>
    <t>0959-3</t>
  </si>
  <si>
    <t>0605-3</t>
  </si>
  <si>
    <t>0859-7</t>
  </si>
  <si>
    <t>0885-1</t>
  </si>
  <si>
    <t>1787-1</t>
  </si>
  <si>
    <t>0388-3</t>
  </si>
  <si>
    <t>0474-3</t>
  </si>
  <si>
    <t>0833-8</t>
  </si>
  <si>
    <t>0195-4</t>
  </si>
  <si>
    <t>0449-9</t>
  </si>
  <si>
    <t>1380-8</t>
  </si>
  <si>
    <t>0396-1</t>
  </si>
  <si>
    <t>1660-3</t>
  </si>
  <si>
    <t>0598-8</t>
  </si>
  <si>
    <t>0519-5</t>
  </si>
  <si>
    <t>0303-1</t>
  </si>
  <si>
    <t>0794-9</t>
  </si>
  <si>
    <t>1654-1</t>
  </si>
  <si>
    <t>1387-8</t>
  </si>
  <si>
    <t>1024-8</t>
  </si>
  <si>
    <t>1075-3</t>
  </si>
  <si>
    <t>0628-1</t>
  </si>
  <si>
    <t>1221-8</t>
  </si>
  <si>
    <t>0592-3</t>
  </si>
  <si>
    <t>1759-9</t>
  </si>
  <si>
    <t>1611-3</t>
  </si>
  <si>
    <t>1192-2</t>
  </si>
  <si>
    <t>1265-3</t>
  </si>
  <si>
    <t>0040-9</t>
  </si>
  <si>
    <t>1515-3</t>
  </si>
  <si>
    <t>1796-3</t>
  </si>
  <si>
    <t>1626-7</t>
  </si>
  <si>
    <t>1168-7</t>
  </si>
  <si>
    <t>1329-1</t>
  </si>
  <si>
    <t>1534-3</t>
  </si>
  <si>
    <t>0455-9</t>
  </si>
  <si>
    <t>0372-1</t>
  </si>
  <si>
    <t>0721-1</t>
  </si>
  <si>
    <t>1488-8</t>
  </si>
  <si>
    <t>1128-3</t>
  </si>
  <si>
    <t>1201-8</t>
  </si>
  <si>
    <t>0700-7</t>
  </si>
  <si>
    <t>1466-1</t>
  </si>
  <si>
    <t>1124-1</t>
  </si>
  <si>
    <t>0270-1</t>
  </si>
  <si>
    <t>0142-3</t>
  </si>
  <si>
    <t>0846-9</t>
  </si>
  <si>
    <t>1077-9</t>
  </si>
  <si>
    <t>1282-9</t>
  </si>
  <si>
    <t>0392-9</t>
  </si>
  <si>
    <t>1711-8</t>
  </si>
  <si>
    <t>0374-8</t>
  </si>
  <si>
    <t>1743-1</t>
  </si>
  <si>
    <t>0177-8</t>
  </si>
  <si>
    <t>0460-3</t>
  </si>
  <si>
    <t>0276-1</t>
  </si>
  <si>
    <t>0240-4</t>
  </si>
  <si>
    <t>0145-8</t>
  </si>
  <si>
    <t>0380-3</t>
  </si>
  <si>
    <t>1754-1</t>
  </si>
  <si>
    <t>1051-3</t>
  </si>
  <si>
    <t>0847-3</t>
  </si>
  <si>
    <t>0747-1</t>
  </si>
  <si>
    <t>0475-5</t>
  </si>
  <si>
    <t>1457-9</t>
  </si>
  <si>
    <t>1821-4</t>
  </si>
  <si>
    <t>0258-3</t>
  </si>
  <si>
    <t>1627-4</t>
  </si>
  <si>
    <t>1459-3</t>
  </si>
  <si>
    <t>1335-4</t>
  </si>
  <si>
    <t>0665-9</t>
  </si>
  <si>
    <t>0752-9</t>
  </si>
  <si>
    <t>0151-1</t>
  </si>
  <si>
    <t>1163-2</t>
  </si>
  <si>
    <t>0784-7</t>
  </si>
  <si>
    <t>1530-6</t>
  </si>
  <si>
    <t>1267-1</t>
  </si>
  <si>
    <t>0703-9</t>
  </si>
  <si>
    <t>0682-6</t>
  </si>
  <si>
    <t>1014-3</t>
  </si>
  <si>
    <t>1197-8</t>
  </si>
  <si>
    <t>0091-1</t>
  </si>
  <si>
    <t>0538-3</t>
  </si>
  <si>
    <t>0525-1</t>
  </si>
  <si>
    <t>1850-9</t>
  </si>
  <si>
    <t>1861-1</t>
  </si>
  <si>
    <t>1285-9</t>
  </si>
  <si>
    <t>1538-6</t>
  </si>
  <si>
    <t>1330-8</t>
  </si>
  <si>
    <t>1739-1</t>
  </si>
  <si>
    <t>1841-9</t>
  </si>
  <si>
    <t>0876-2</t>
  </si>
  <si>
    <t>0471-3</t>
  </si>
  <si>
    <t>1263-3</t>
  </si>
  <si>
    <t>1375-9</t>
  </si>
  <si>
    <t>0193-1</t>
  </si>
  <si>
    <t>1679-1</t>
  </si>
  <si>
    <t>1695-5</t>
  </si>
  <si>
    <t>0939-1</t>
  </si>
  <si>
    <t>0760-3</t>
  </si>
  <si>
    <t>1271-8</t>
  </si>
  <si>
    <t>0558-7</t>
  </si>
  <si>
    <t>0964-1</t>
  </si>
  <si>
    <t>1818-1</t>
  </si>
  <si>
    <t>0518-3</t>
  </si>
  <si>
    <t>0090-6</t>
  </si>
  <si>
    <t>1683-7</t>
  </si>
  <si>
    <t>1302-4</t>
  </si>
  <si>
    <t>0650-1</t>
  </si>
  <si>
    <t>0918-4</t>
  </si>
  <si>
    <t>1859-8</t>
  </si>
  <si>
    <t>0812-1</t>
  </si>
  <si>
    <t>0559-1</t>
  </si>
  <si>
    <t>1755-9</t>
  </si>
  <si>
    <t>0204-3</t>
  </si>
  <si>
    <t>0383-4</t>
  </si>
  <si>
    <t>0384-7</t>
  </si>
  <si>
    <t>1397-9</t>
  </si>
  <si>
    <t>1690-9</t>
  </si>
  <si>
    <t>1242-3</t>
  </si>
  <si>
    <t>0385-3</t>
  </si>
  <si>
    <t>0804-1</t>
  </si>
  <si>
    <t>1011-1</t>
  </si>
  <si>
    <t>1814-1</t>
  </si>
  <si>
    <t>0614-4</t>
  </si>
  <si>
    <t>1807-3</t>
  </si>
  <si>
    <t>0976-1</t>
  </si>
  <si>
    <t>1454-3</t>
  </si>
  <si>
    <t>0713-9</t>
  </si>
  <si>
    <t>0431-3</t>
  </si>
  <si>
    <t>0746-9</t>
  </si>
  <si>
    <t>0150-3</t>
  </si>
  <si>
    <t>0386-6</t>
  </si>
  <si>
    <t>1377-4</t>
  </si>
  <si>
    <t>0266-1</t>
  </si>
  <si>
    <t>1050-4</t>
  </si>
  <si>
    <t>0929-4</t>
  </si>
  <si>
    <t>1394-5</t>
  </si>
  <si>
    <t>0911-3</t>
  </si>
  <si>
    <t>1342-6</t>
  </si>
  <si>
    <t>0199-5</t>
  </si>
  <si>
    <t>0450-3</t>
  </si>
  <si>
    <t>0250-3</t>
  </si>
  <si>
    <t>0980-8</t>
  </si>
  <si>
    <t>1448-1</t>
  </si>
  <si>
    <t>1247-9</t>
  </si>
  <si>
    <t>1326-8</t>
  </si>
  <si>
    <t>0568-1</t>
  </si>
  <si>
    <t>1790-5</t>
  </si>
  <si>
    <t>1043-1</t>
  </si>
  <si>
    <t>1823-1</t>
  </si>
  <si>
    <t>0109-2</t>
  </si>
  <si>
    <t>0185-3</t>
  </si>
  <si>
    <t>0387-9</t>
  </si>
  <si>
    <t>0078-9</t>
  </si>
  <si>
    <t>1803-5</t>
  </si>
  <si>
    <t>1076-9</t>
  </si>
  <si>
    <t>0409-9</t>
  </si>
  <si>
    <t>0415-9</t>
  </si>
  <si>
    <t>0088-3</t>
  </si>
  <si>
    <t>0217-3</t>
  </si>
  <si>
    <t>1435-8</t>
  </si>
  <si>
    <t>1773-1</t>
  </si>
  <si>
    <t>1134-9</t>
  </si>
  <si>
    <t>0913-2</t>
  </si>
  <si>
    <t>0594-3</t>
  </si>
  <si>
    <t>0771-2</t>
  </si>
  <si>
    <t>1013-1</t>
  </si>
  <si>
    <t>1148-4</t>
  </si>
  <si>
    <t>0180-6</t>
  </si>
  <si>
    <t>0178-9</t>
  </si>
  <si>
    <t>1797-8</t>
  </si>
  <si>
    <t>1675-5</t>
  </si>
  <si>
    <t>1122-9</t>
  </si>
  <si>
    <t>1094-9</t>
  </si>
  <si>
    <t>0832-1</t>
  </si>
  <si>
    <t>0296-4</t>
  </si>
  <si>
    <t>1697-4</t>
  </si>
  <si>
    <t>1813-8</t>
  </si>
  <si>
    <t>1792-1</t>
  </si>
  <si>
    <t>0948-6</t>
  </si>
  <si>
    <t>1095-2</t>
  </si>
  <si>
    <t>0651-6</t>
  </si>
  <si>
    <t>0461-1</t>
  </si>
  <si>
    <t>1256-8</t>
  </si>
  <si>
    <t>1133-6</t>
  </si>
  <si>
    <t>1476-7</t>
  </si>
  <si>
    <t>0222-6</t>
  </si>
  <si>
    <t>1810-5</t>
  </si>
  <si>
    <t>0332-3</t>
  </si>
  <si>
    <t>1764-8</t>
  </si>
  <si>
    <t>1858-1</t>
  </si>
  <si>
    <t>0537-3</t>
  </si>
  <si>
    <t>0352-3</t>
  </si>
  <si>
    <t>0762-7</t>
  </si>
  <si>
    <t>0414-1</t>
  </si>
  <si>
    <t>1325-8</t>
  </si>
  <si>
    <t>0350-3</t>
  </si>
  <si>
    <t>1249-4</t>
  </si>
  <si>
    <t>1539-6</t>
  </si>
  <si>
    <t>0505-8</t>
  </si>
  <si>
    <t>0639-4</t>
  </si>
  <si>
    <t>0061-3</t>
  </si>
  <si>
    <t>0615-5</t>
  </si>
  <si>
    <t>0485-1</t>
  </si>
  <si>
    <t>0709-9</t>
  </si>
  <si>
    <t>0237-8</t>
  </si>
  <si>
    <t>1746-9</t>
  </si>
  <si>
    <t>0047-4</t>
  </si>
  <si>
    <t>1643-2</t>
  </si>
  <si>
    <t>0837-4</t>
  </si>
  <si>
    <t>0173-8</t>
  </si>
  <si>
    <t>1672-8</t>
  </si>
  <si>
    <t>1053-7</t>
  </si>
  <si>
    <t>0946-2</t>
  </si>
  <si>
    <t>0369-4</t>
  </si>
  <si>
    <t>1021-6</t>
  </si>
  <si>
    <t>0349-9</t>
  </si>
  <si>
    <t>1166-4</t>
  </si>
  <si>
    <t>0093-1</t>
  </si>
  <si>
    <t>1392-1</t>
  </si>
  <si>
    <t>1353-9</t>
  </si>
  <si>
    <t>0523-5</t>
  </si>
  <si>
    <t>0502-6</t>
  </si>
  <si>
    <t>1109-6</t>
  </si>
  <si>
    <t>1106-8</t>
  </si>
  <si>
    <t>0577-9</t>
  </si>
  <si>
    <t>1637-1</t>
  </si>
  <si>
    <t>0625-4</t>
  </si>
  <si>
    <t>0504-5</t>
  </si>
  <si>
    <t>0307-6</t>
  </si>
  <si>
    <t>1569-4</t>
  </si>
  <si>
    <t>1736-9</t>
  </si>
  <si>
    <t>1640-1</t>
  </si>
  <si>
    <t>1119-4</t>
  </si>
  <si>
    <t>1795-4</t>
  </si>
  <si>
    <t>1034-6</t>
  </si>
  <si>
    <t>1082-7</t>
  </si>
  <si>
    <t>1305-4</t>
  </si>
  <si>
    <t>1103-9</t>
  </si>
  <si>
    <t>1142-3</t>
  </si>
  <si>
    <t>0187-8</t>
  </si>
  <si>
    <t>0118-8</t>
  </si>
  <si>
    <t>0901-7</t>
  </si>
  <si>
    <t>1692-5</t>
  </si>
  <si>
    <t>1550-4</t>
  </si>
  <si>
    <t>0053-9</t>
  </si>
  <si>
    <t>0942-4</t>
  </si>
  <si>
    <t>1114-5</t>
  </si>
  <si>
    <t>0825-1</t>
  </si>
  <si>
    <t>1845-1</t>
  </si>
  <si>
    <t>1347-1</t>
  </si>
  <si>
    <t>0773-9</t>
  </si>
  <si>
    <t>0864-1</t>
  </si>
  <si>
    <t>1284-5</t>
  </si>
  <si>
    <t>0071-2</t>
  </si>
  <si>
    <t>1819-9</t>
  </si>
  <si>
    <t>0294-2</t>
  </si>
  <si>
    <t>0572-1</t>
  </si>
  <si>
    <t>1565-1</t>
  </si>
  <si>
    <t>0482-6</t>
  </si>
  <si>
    <t>1673-5</t>
  </si>
  <si>
    <t>1402-5</t>
  </si>
  <si>
    <t>0602-6</t>
  </si>
  <si>
    <t>0050-1</t>
  </si>
  <si>
    <t>1556-7</t>
  </si>
  <si>
    <t>1401-1</t>
  </si>
  <si>
    <t>0129-1</t>
  </si>
  <si>
    <t>0491-8</t>
  </si>
  <si>
    <t>0586-8</t>
  </si>
  <si>
    <t>0432-4</t>
  </si>
  <si>
    <t>1633-1</t>
  </si>
  <si>
    <t>1560-8</t>
  </si>
  <si>
    <t>1180-7</t>
  </si>
  <si>
    <t>0039-7</t>
  </si>
  <si>
    <t>1371-6</t>
  </si>
  <si>
    <t>0921-7</t>
  </si>
  <si>
    <t>1682-8</t>
  </si>
  <si>
    <t>0335-8</t>
  </si>
  <si>
    <t>1554-7</t>
  </si>
  <si>
    <t>1558-9</t>
  </si>
  <si>
    <t>1472-7</t>
  </si>
  <si>
    <t>1429-5</t>
  </si>
  <si>
    <t>1612-8</t>
  </si>
  <si>
    <t>1879-4</t>
  </si>
  <si>
    <t>1451-4</t>
  </si>
  <si>
    <t>0169-4</t>
  </si>
  <si>
    <t>1468-5</t>
  </si>
  <si>
    <t>0445-9</t>
  </si>
  <si>
    <t>1237-8</t>
  </si>
  <si>
    <t>0014-9</t>
  </si>
  <si>
    <t>1073-1</t>
  </si>
  <si>
    <t>1572-7</t>
  </si>
  <si>
    <t>0790-8</t>
  </si>
  <si>
    <t>1266-3</t>
  </si>
  <si>
    <t>1485-1</t>
  </si>
  <si>
    <t>1345-8</t>
  </si>
  <si>
    <t>0816-8</t>
  </si>
  <si>
    <t>1027-4</t>
  </si>
  <si>
    <t>0698-1</t>
  </si>
  <si>
    <t>1766-1</t>
  </si>
  <si>
    <t>0073-8</t>
  </si>
  <si>
    <t>0735-5</t>
  </si>
  <si>
    <t>1317-8</t>
  </si>
  <si>
    <t>1030-1</t>
  </si>
  <si>
    <t>0336-8</t>
  </si>
  <si>
    <t>0751-9</t>
  </si>
  <si>
    <t>1584-3</t>
  </si>
  <si>
    <t>0776-5</t>
  </si>
  <si>
    <t>1782-8</t>
  </si>
  <si>
    <t>0809-3</t>
  </si>
  <si>
    <t>0840-9</t>
  </si>
  <si>
    <t>0509-9</t>
  </si>
  <si>
    <t>1504-2</t>
  </si>
  <si>
    <t>1568-3</t>
  </si>
  <si>
    <t>0912-8</t>
  </si>
  <si>
    <t>0608-8</t>
  </si>
  <si>
    <t>0786-9</t>
  </si>
  <si>
    <t>0694-3</t>
  </si>
  <si>
    <t>1007-9</t>
  </si>
  <si>
    <t>0191-8</t>
  </si>
  <si>
    <t>0862-8</t>
  </si>
  <si>
    <t>1243-1</t>
  </si>
  <si>
    <t>1367-4</t>
  </si>
  <si>
    <t>1279-2</t>
  </si>
  <si>
    <t>0896-6</t>
  </si>
  <si>
    <t>0026-8</t>
  </si>
  <si>
    <t>0802-7</t>
  </si>
  <si>
    <t>1511-6</t>
  </si>
  <si>
    <t>1439-3</t>
  </si>
  <si>
    <t>1425-7</t>
  </si>
  <si>
    <t>0872-8</t>
  </si>
  <si>
    <t>1597-4</t>
  </si>
  <si>
    <t>1825-3</t>
  </si>
  <si>
    <t>0547-9</t>
  </si>
  <si>
    <t>1573-1</t>
  </si>
  <si>
    <t>1376-3</t>
  </si>
  <si>
    <t>1198-4</t>
  </si>
  <si>
    <t>0297-8</t>
  </si>
  <si>
    <t>0339-9</t>
  </si>
  <si>
    <t>1196-4</t>
  </si>
  <si>
    <t>0973-6</t>
  </si>
  <si>
    <t>1778-9</t>
  </si>
  <si>
    <t>0562-6</t>
  </si>
  <si>
    <t>0895-8</t>
  </si>
  <si>
    <t>0532-8</t>
  </si>
  <si>
    <t>0730-8</t>
  </si>
  <si>
    <t>0429-5</t>
  </si>
  <si>
    <t>0412-4</t>
  </si>
  <si>
    <t>0743-9</t>
  </si>
  <si>
    <t>1423-3</t>
  </si>
  <si>
    <t>0758-4</t>
  </si>
  <si>
    <t>0095-4</t>
  </si>
  <si>
    <t>0378-8</t>
  </si>
  <si>
    <t>1400-9</t>
  </si>
  <si>
    <t>1383-1</t>
  </si>
  <si>
    <t>1373-2</t>
  </si>
  <si>
    <t>1131-6</t>
  </si>
  <si>
    <t>0994-7</t>
  </si>
  <si>
    <t>1705-1</t>
  </si>
  <si>
    <t>1586-4</t>
  </si>
  <si>
    <t>0933-4</t>
  </si>
  <si>
    <t>1848-4</t>
  </si>
  <si>
    <t>0020-4</t>
  </si>
  <si>
    <t>0967-4</t>
  </si>
  <si>
    <t>1333-4</t>
  </si>
  <si>
    <t>0573-5</t>
  </si>
  <si>
    <t>0934-9</t>
  </si>
  <si>
    <t>1398-5</t>
  </si>
  <si>
    <t>0669-9</t>
  </si>
  <si>
    <t>0179-9</t>
  </si>
  <si>
    <t>1299-8</t>
  </si>
  <si>
    <t>1295-8</t>
  </si>
  <si>
    <t>1135-4</t>
  </si>
  <si>
    <t>0947-9</t>
  </si>
  <si>
    <t>0096-9</t>
  </si>
  <si>
    <t>1601-2</t>
  </si>
  <si>
    <t>0464-9</t>
  </si>
  <si>
    <t>0128-1</t>
  </si>
  <si>
    <t>0116-6</t>
  </si>
  <si>
    <t>0159-9</t>
  </si>
  <si>
    <t>0566-2</t>
  </si>
  <si>
    <t>0257-4</t>
  </si>
  <si>
    <t>1090-9</t>
  </si>
  <si>
    <t>0728-8</t>
  </si>
  <si>
    <t>1217-6</t>
  </si>
  <si>
    <t>1033-9</t>
  </si>
  <si>
    <t>1406-8</t>
  </si>
  <si>
    <t>0232-9</t>
  </si>
  <si>
    <t>1857-4</t>
  </si>
  <si>
    <t>0356-9</t>
  </si>
  <si>
    <t>1115-1</t>
  </si>
  <si>
    <t>0313-7</t>
  </si>
  <si>
    <t>0763-9</t>
  </si>
  <si>
    <t>0063-1</t>
  </si>
  <si>
    <t>0540-1</t>
  </si>
  <si>
    <t>0117-8</t>
  </si>
  <si>
    <t>1157-9</t>
  </si>
  <si>
    <t>1629-9</t>
  </si>
  <si>
    <t>1080-7</t>
  </si>
  <si>
    <t>0441-9</t>
  </si>
  <si>
    <t>0546-3</t>
  </si>
  <si>
    <t>1846-4</t>
  </si>
  <si>
    <t>1318-1</t>
  </si>
  <si>
    <t>1343-6</t>
  </si>
  <si>
    <t>0292-8</t>
  </si>
  <si>
    <t>0144-4</t>
  </si>
  <si>
    <t>0427-6</t>
  </si>
  <si>
    <t>0354-8</t>
  </si>
  <si>
    <t>1668-4</t>
  </si>
  <si>
    <t>0800-7</t>
  </si>
  <si>
    <t>1805-2</t>
  </si>
  <si>
    <t>1484-3</t>
  </si>
  <si>
    <t>0318-8</t>
  </si>
  <si>
    <t>1404-8</t>
  </si>
  <si>
    <t>0365-4</t>
  </si>
  <si>
    <t>0031-1</t>
  </si>
  <si>
    <t>1072-9</t>
  </si>
  <si>
    <t>0581-6</t>
  </si>
  <si>
    <t>0420-9</t>
  </si>
  <si>
    <t>1645-8</t>
  </si>
  <si>
    <t>0480-8</t>
  </si>
  <si>
    <t>1547-1</t>
  </si>
  <si>
    <t>0004-1</t>
  </si>
  <si>
    <t>1458-3</t>
  </si>
  <si>
    <t>1727-9</t>
  </si>
  <si>
    <t>0323-5</t>
  </si>
  <si>
    <t>1370-8</t>
  </si>
  <si>
    <t>0595-9</t>
  </si>
  <si>
    <t>1120-5</t>
  </si>
  <si>
    <t>0064-9</t>
  </si>
  <si>
    <t>0286-3</t>
  </si>
  <si>
    <t>0777-9</t>
  </si>
  <si>
    <t>1031-6</t>
  </si>
  <si>
    <t>0225-1</t>
  </si>
  <si>
    <t>1546-1</t>
  </si>
  <si>
    <t>0181-3</t>
  </si>
  <si>
    <t>1763-9</t>
  </si>
  <si>
    <t>1463-2</t>
  </si>
  <si>
    <t>1757-8</t>
  </si>
  <si>
    <t>0411-1</t>
  </si>
  <si>
    <t>1388-6</t>
  </si>
  <si>
    <t>1443-8</t>
  </si>
  <si>
    <t>0106-4</t>
  </si>
  <si>
    <t>0961-2</t>
  </si>
  <si>
    <t>0200-7</t>
  </si>
  <si>
    <t>1806-5</t>
  </si>
  <si>
    <t>0740-8</t>
  </si>
  <si>
    <t>1826-9</t>
  </si>
  <si>
    <t>1207-7</t>
  </si>
  <si>
    <t>0242-4</t>
  </si>
  <si>
    <t>1644-9</t>
  </si>
  <si>
    <t>1639-5</t>
  </si>
  <si>
    <t>0536-7</t>
  </si>
  <si>
    <t>0850-3</t>
  </si>
  <si>
    <t>1786-9</t>
  </si>
  <si>
    <t>0114-7</t>
  </si>
  <si>
    <t>1252-5</t>
  </si>
  <si>
    <t>0473-9</t>
  </si>
  <si>
    <t>0774-4</t>
  </si>
  <si>
    <t>0753-9</t>
  </si>
  <si>
    <t>0472-7</t>
  </si>
  <si>
    <t>0293-8</t>
  </si>
  <si>
    <t>1426-8</t>
  </si>
  <si>
    <t>0013-6</t>
  </si>
  <si>
    <t>1199-8</t>
  </si>
  <si>
    <t>1272-8</t>
  </si>
  <si>
    <t>1533-5</t>
  </si>
  <si>
    <t>1442-4</t>
  </si>
  <si>
    <t>1092-8</t>
  </si>
  <si>
    <t>0610-8</t>
  </si>
  <si>
    <t>0507-6</t>
  </si>
  <si>
    <t>0074-6</t>
  </si>
  <si>
    <t>1218-8</t>
  </si>
  <si>
    <t>1374-8</t>
  </si>
  <si>
    <t>1349-6</t>
  </si>
  <si>
    <t>0439-8</t>
  </si>
  <si>
    <t>1241-4</t>
  </si>
  <si>
    <t>0697-1</t>
  </si>
  <si>
    <t>0397-6</t>
  </si>
  <si>
    <t>1620-7</t>
  </si>
  <si>
    <t>0772-7</t>
  </si>
  <si>
    <t>1233-1</t>
  </si>
  <si>
    <t>1001-9</t>
  </si>
  <si>
    <t>1548-1</t>
  </si>
  <si>
    <t>1696-4</t>
  </si>
  <si>
    <t>1181-9</t>
  </si>
  <si>
    <t>0469-1</t>
  </si>
  <si>
    <t>0508-8</t>
  </si>
  <si>
    <t>0995-8</t>
  </si>
  <si>
    <t>0481-5</t>
  </si>
  <si>
    <t>0209-2</t>
  </si>
  <si>
    <t>1873-6</t>
  </si>
  <si>
    <t>0272-8</t>
  </si>
  <si>
    <t>0544-1</t>
  </si>
  <si>
    <t>0111-4</t>
  </si>
  <si>
    <t>0761-8</t>
  </si>
  <si>
    <t>0289-2</t>
  </si>
  <si>
    <t>0229-8</t>
  </si>
  <si>
    <t>0192-4</t>
  </si>
  <si>
    <t>1474-2</t>
  </si>
  <si>
    <t>1461-5</t>
  </si>
  <si>
    <t>0692-8</t>
  </si>
  <si>
    <t>0246-5</t>
  </si>
  <si>
    <t>1772-9</t>
  </si>
  <si>
    <t>0626-7</t>
  </si>
  <si>
    <t>0489-8</t>
  </si>
  <si>
    <t>1722-4</t>
  </si>
  <si>
    <t>0903-8</t>
  </si>
  <si>
    <t>1140-4</t>
  </si>
  <si>
    <t>0103-9</t>
  </si>
  <si>
    <t>1872-6</t>
  </si>
  <si>
    <t>1431-6</t>
  </si>
  <si>
    <t>1842-2</t>
  </si>
  <si>
    <t>1733-4</t>
  </si>
  <si>
    <t>1477-7</t>
  </si>
  <si>
    <t>1661-4</t>
  </si>
  <si>
    <t>0291-6</t>
  </si>
  <si>
    <t>0528-3</t>
  </si>
  <si>
    <t>0236-3</t>
  </si>
  <si>
    <t>0514-9</t>
  </si>
  <si>
    <t>1046-5</t>
  </si>
  <si>
    <t>1847-3</t>
  </si>
  <si>
    <t>1107-8</t>
  </si>
  <si>
    <t>0223-9</t>
  </si>
  <si>
    <t>1032-7</t>
  </si>
  <si>
    <t>0719-5</t>
  </si>
  <si>
    <t>1800-9</t>
  </si>
  <si>
    <t>0699-8</t>
  </si>
  <si>
    <t>1636-2</t>
  </si>
  <si>
    <t>1535-4</t>
  </si>
  <si>
    <t>1437-4</t>
  </si>
  <si>
    <t>1116-4</t>
  </si>
  <si>
    <t>0756-7</t>
  </si>
  <si>
    <t>0036-8</t>
  </si>
  <si>
    <t>1652-5</t>
  </si>
  <si>
    <t>0854-8</t>
  </si>
  <si>
    <t>0836-4</t>
  </si>
  <si>
    <t>0394-9</t>
  </si>
  <si>
    <t>0693-6</t>
  </si>
  <si>
    <t>0653-5</t>
  </si>
  <si>
    <t>0791-7</t>
  </si>
  <si>
    <t>0631-5</t>
  </si>
  <si>
    <t>0704-7</t>
  </si>
  <si>
    <t>1324-7</t>
  </si>
  <si>
    <t>1093-9</t>
  </si>
  <si>
    <t>1395-3</t>
  </si>
  <si>
    <t>0165-9</t>
  </si>
  <si>
    <t>0399-8</t>
  </si>
  <si>
    <t>0732-6</t>
  </si>
  <si>
    <t>1052-5</t>
  </si>
  <si>
    <t>0377-8</t>
  </si>
  <si>
    <t>1581-8</t>
  </si>
  <si>
    <t>0852-8</t>
  </si>
  <si>
    <t>1867-9</t>
  </si>
  <si>
    <t>0407-2</t>
  </si>
  <si>
    <t>1525-8</t>
  </si>
  <si>
    <t>1229-9</t>
  </si>
  <si>
    <t>1624-9</t>
  </si>
  <si>
    <t>1227-8</t>
  </si>
  <si>
    <t>0688-5</t>
  </si>
  <si>
    <t>1002-5</t>
  </si>
  <si>
    <t>0553-6</t>
  </si>
  <si>
    <t>1357-7</t>
  </si>
  <si>
    <t>0998-6</t>
  </si>
  <si>
    <t>0499-4</t>
  </si>
  <si>
    <t>0627-6</t>
  </si>
  <si>
    <t>0985-4</t>
  </si>
  <si>
    <t>1356-5</t>
  </si>
  <si>
    <t>0952-8</t>
  </si>
  <si>
    <t>0805-3</t>
  </si>
  <si>
    <t>0395-8</t>
  </si>
  <si>
    <t>1855-4</t>
  </si>
  <si>
    <t>0512-7</t>
  </si>
  <si>
    <t>1737-8</t>
  </si>
  <si>
    <t>0254-6</t>
  </si>
  <si>
    <t>0957-5</t>
  </si>
  <si>
    <t>0075-5</t>
  </si>
  <si>
    <t>0574-6</t>
  </si>
  <si>
    <t>1057-6</t>
  </si>
  <si>
    <t>1559-8</t>
  </si>
  <si>
    <t>0965-7</t>
  </si>
  <si>
    <t>0894-2</t>
  </si>
  <si>
    <t>1703-2</t>
  </si>
  <si>
    <t>0638-7</t>
  </si>
  <si>
    <t>0949-3</t>
  </si>
  <si>
    <t>0137-7</t>
  </si>
  <si>
    <t>0158-7</t>
  </si>
  <si>
    <t>1653-5</t>
  </si>
  <si>
    <t>0701-8</t>
  </si>
  <si>
    <t>1588-9</t>
  </si>
  <si>
    <t>0517-8</t>
  </si>
  <si>
    <t>1059-8</t>
  </si>
  <si>
    <t>0470-9</t>
  </si>
  <si>
    <t>0882-9</t>
  </si>
  <si>
    <t>0188-8</t>
  </si>
  <si>
    <t>0554-8</t>
  </si>
  <si>
    <t>0493-6</t>
  </si>
  <si>
    <t>1561-8</t>
  </si>
  <si>
    <t>0831-3</t>
  </si>
  <si>
    <t>1471-8</t>
  </si>
  <si>
    <t>0944-3</t>
  </si>
  <si>
    <t>1407-5</t>
  </si>
  <si>
    <t>1096-7</t>
  </si>
  <si>
    <t>0646-7</t>
  </si>
  <si>
    <t>1331-4</t>
  </si>
  <si>
    <t>0829-7</t>
  </si>
  <si>
    <t>0924-7</t>
  </si>
  <si>
    <t>0468-6</t>
  </si>
  <si>
    <t>1254-5</t>
  </si>
  <si>
    <t>0931-4</t>
  </si>
  <si>
    <t>1775-7</t>
  </si>
  <si>
    <t>1433-6</t>
  </si>
  <si>
    <t>1366-8</t>
  </si>
  <si>
    <t>0444-7</t>
  </si>
  <si>
    <t>0452-7</t>
  </si>
  <si>
    <t>1350-9</t>
  </si>
  <si>
    <t>1827-8</t>
  </si>
  <si>
    <t>0146-4</t>
  </si>
  <si>
    <t>1209-7</t>
  </si>
  <si>
    <t>0123-7</t>
  </si>
  <si>
    <t>1188-8</t>
  </si>
  <si>
    <t>1610-8</t>
  </si>
  <si>
    <t>1026-5</t>
  </si>
  <si>
    <t>1808-7</t>
  </si>
  <si>
    <t>0198-8</t>
  </si>
  <si>
    <t>1505-4</t>
  </si>
  <si>
    <t>0434-5</t>
  </si>
  <si>
    <t>1767-7</t>
  </si>
  <si>
    <t>1344-8</t>
  </si>
  <si>
    <t>0357-6</t>
  </si>
  <si>
    <t>0205-4</t>
  </si>
  <si>
    <t>1638-6</t>
  </si>
  <si>
    <t>1138-8</t>
  </si>
  <si>
    <t>0048-9</t>
  </si>
  <si>
    <t>0707-9</t>
  </si>
  <si>
    <t>0283-5</t>
  </si>
  <si>
    <t>0661-4</t>
  </si>
  <si>
    <t>0527-3</t>
  </si>
  <si>
    <t>0511-6</t>
  </si>
  <si>
    <t>1421-5</t>
  </si>
  <si>
    <t>1809-7</t>
  </si>
  <si>
    <t>0264-5</t>
  </si>
  <si>
    <t>1268-8</t>
  </si>
  <si>
    <t>1105-8</t>
  </si>
  <si>
    <t>0143-3</t>
  </si>
  <si>
    <t>0678-5</t>
  </si>
  <si>
    <t>1603-2</t>
  </si>
  <si>
    <t>1165-7</t>
  </si>
  <si>
    <t>0770-8</t>
  </si>
  <si>
    <t>1641-8</t>
  </si>
  <si>
    <t>0337-8</t>
  </si>
  <si>
    <t>1310-9</t>
  </si>
  <si>
    <t>0975-8</t>
  </si>
  <si>
    <t>0705-7</t>
  </si>
  <si>
    <t>0531-2</t>
  </si>
  <si>
    <t>0642-7</t>
  </si>
  <si>
    <t>1382-2</t>
  </si>
  <si>
    <t>1830-6</t>
  </si>
  <si>
    <t>0767-8</t>
  </si>
  <si>
    <t>0261-4</t>
  </si>
  <si>
    <t>0785-9</t>
  </si>
  <si>
    <t>1745-8</t>
  </si>
  <si>
    <t>1566-8</t>
  </si>
  <si>
    <t>0891-6</t>
  </si>
  <si>
    <t>0476-7</t>
  </si>
  <si>
    <t>0593-9</t>
  </si>
  <si>
    <t>0641-2</t>
  </si>
  <si>
    <t>0120-8</t>
  </si>
  <si>
    <t>1598-6</t>
  </si>
  <si>
    <t>0541-9</t>
  </si>
  <si>
    <t>0465-6</t>
  </si>
  <si>
    <t>1314-7</t>
  </si>
  <si>
    <t>1591-4</t>
  </si>
  <si>
    <t>0287-8</t>
  </si>
  <si>
    <t>0373-7</t>
  </si>
  <si>
    <t>0549-8</t>
  </si>
  <si>
    <t>1625-8</t>
  </si>
  <si>
    <t>0066-7</t>
  </si>
  <si>
    <t>0327-7</t>
  </si>
  <si>
    <t>1304-9</t>
  </si>
  <si>
    <t>0634-2</t>
  </si>
  <si>
    <t>1239-7</t>
  </si>
  <si>
    <t>0893-8</t>
  </si>
  <si>
    <t>1585-6</t>
  </si>
  <si>
    <t>1853-7</t>
  </si>
  <si>
    <t>0992-4</t>
  </si>
  <si>
    <t>0742-2</t>
  </si>
  <si>
    <t>0207-9</t>
  </si>
  <si>
    <t>1738-5</t>
  </si>
  <si>
    <t>0582-8</t>
  </si>
  <si>
    <t>1422-8</t>
  </si>
  <si>
    <t>0906-8</t>
  </si>
  <si>
    <t>0729-6</t>
  </si>
  <si>
    <t>1744-5</t>
  </si>
  <si>
    <t>0462-7</t>
  </si>
  <si>
    <t>1874-4</t>
  </si>
  <si>
    <t>1160-3</t>
  </si>
  <si>
    <t>1262-4</t>
  </si>
  <si>
    <t>0883-7</t>
  </si>
  <si>
    <t>0769-8</t>
  </si>
  <si>
    <t>1411-8</t>
  </si>
  <si>
    <t>1678-9</t>
  </si>
  <si>
    <t>0603-8</t>
  </si>
  <si>
    <t>1592-8</t>
  </si>
  <si>
    <t>1183-7</t>
  </si>
  <si>
    <t>0308-8</t>
  </si>
  <si>
    <t>0920-8</t>
  </si>
  <si>
    <t>0083-9</t>
  </si>
  <si>
    <t>0880-7</t>
  </si>
  <si>
    <t>0443-5</t>
  </si>
  <si>
    <t>0030-8</t>
  </si>
  <si>
    <t>1102-8</t>
  </si>
  <si>
    <t>0058-8</t>
  </si>
  <si>
    <t>0914-9</t>
  </si>
  <si>
    <t>1098-8</t>
  </si>
  <si>
    <t>1202-9</t>
  </si>
  <si>
    <t>1409-2</t>
  </si>
  <si>
    <t>0390-8</t>
  </si>
  <si>
    <t>1604-8</t>
  </si>
  <si>
    <t>0953-8</t>
  </si>
  <si>
    <t>1562-6</t>
  </si>
  <si>
    <t>1291-2</t>
  </si>
  <si>
    <t>0218-5</t>
  </si>
  <si>
    <t>0727-2</t>
  </si>
  <si>
    <t>0389-8</t>
  </si>
  <si>
    <t>1257-6</t>
  </si>
  <si>
    <t>0563-8</t>
  </si>
  <si>
    <t>1208-4</t>
  </si>
  <si>
    <t>1501-7</t>
  </si>
  <si>
    <t>1670-8</t>
  </si>
  <si>
    <t>1709-7</t>
  </si>
  <si>
    <t>1537-8</t>
  </si>
  <si>
    <t>0024-8</t>
  </si>
  <si>
    <t>1121-8</t>
  </si>
  <si>
    <t>1732-9</t>
  </si>
  <si>
    <t>1579-8</t>
  </si>
  <si>
    <t>0315-8</t>
  </si>
  <si>
    <t>0974-8</t>
  </si>
  <si>
    <t>1768-7</t>
  </si>
  <si>
    <t>0275-8</t>
  </si>
  <si>
    <t>1289-6</t>
  </si>
  <si>
    <t>1153-6</t>
  </si>
  <si>
    <t>1337-8</t>
  </si>
  <si>
    <t>0708-8</t>
  </si>
  <si>
    <t>1802-5</t>
  </si>
  <si>
    <t>1742-8</t>
  </si>
  <si>
    <t>1608-4</t>
  </si>
  <si>
    <t>0686-8</t>
  </si>
  <si>
    <t>1040-8</t>
  </si>
  <si>
    <t>1876-8</t>
  </si>
  <si>
    <t>1707-8</t>
  </si>
  <si>
    <t>0869-8</t>
  </si>
  <si>
    <t>0098-8</t>
  </si>
  <si>
    <t>1303-8</t>
  </si>
  <si>
    <t>0647-8</t>
  </si>
  <si>
    <t>1100-6</t>
  </si>
  <si>
    <t>0890-2</t>
  </si>
  <si>
    <t>1018-8</t>
  </si>
  <si>
    <t>1870-4</t>
  </si>
  <si>
    <t>Nombre de Ventes annuelles ($)</t>
  </si>
  <si>
    <t>Étiquettes de colonnes</t>
  </si>
  <si>
    <t>Étiquettes de lignes</t>
  </si>
  <si>
    <t>Total général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</si>
  <si>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</si>
  <si>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</si>
  <si>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</si>
  <si>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</si>
  <si>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</si>
  <si>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</si>
  <si>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</si>
  <si>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</si>
  <si>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</si>
  <si>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 xml:space="preserve">Note : La correction se sera en fonction de la logique utilisée pour la classification ABC. </t>
  </si>
  <si>
    <t>En d’autres mots, il existe plusieurs autres solutions acceptées.</t>
  </si>
  <si>
    <t>Somme de Ventes annuelles ($)</t>
  </si>
  <si>
    <t>a) Quelle est la quantité économique à commander pour l’article 0363-6? (2 points)</t>
  </si>
  <si>
    <t>unités</t>
  </si>
  <si>
    <t>b) Si elle commande la QEC, quel sera alors le stock moyen de ce produit? (2 points)</t>
  </si>
  <si>
    <t>c) Si elle commande la QEC, combien de commandes seront effectuées en moyenne par année? (1 point)</t>
  </si>
  <si>
    <t>commandes en moyenne</t>
  </si>
  <si>
    <t>d) Si elle commande la QEC, quel sera alors le coût total annuel de gestion des stocks de ce produit? (2 points)</t>
  </si>
  <si>
    <t>CT</t>
  </si>
  <si>
    <t>Cte +</t>
  </si>
  <si>
    <t>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</si>
</sst>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164" formatCode="0.0%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44" fontId="0" fillId="0" borderId="0" xfId="1" applyFont="1"/>
    <xf numFmtId="44" fontId="2" fillId="0" borderId="0" xfId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44" fontId="0" fillId="0" borderId="0" xfId="0" applyNumberFormat="1"/>
    <xf numFmtId="164" fontId="0" fillId="0" borderId="0" xfId="2" applyNumberFormat="1" applyFont="1"/>
    <xf numFmtId="0" fontId="0" fillId="4" borderId="0" xfId="0" applyFill="1" applyAlignment="1">
      <alignment horizontal="center"/>
    </xf>
    <xf numFmtId="165" fontId="0" fillId="4" borderId="0" xfId="2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right"/>
    </xf>
    <xf numFmtId="44" fontId="0" fillId="4" borderId="0" xfId="1" applyFont="1" applyFill="1"/>
    <xf numFmtId="44" fontId="0" fillId="4" borderId="0" xfId="0" applyNumberFormat="1" applyFill="1"/>
    <xf numFmtId="165" fontId="0" fillId="0" borderId="0" xfId="2" applyNumberFormat="1" applyFont="1" applyFill="1" applyAlignment="1">
      <alignment horizontal="center"/>
    </xf>
    <xf numFmtId="44" fontId="0" fillId="0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3" borderId="0" xfId="0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1" fontId="0" fillId="3" borderId="0" xfId="0" applyNumberFormat="1" applyFill="1" applyAlignment="1">
      <alignment horizontal="right"/>
    </xf>
    <xf numFmtId="44" fontId="0" fillId="3" borderId="0" xfId="1" applyFont="1" applyFill="1"/>
    <xf numFmtId="44" fontId="0" fillId="3" borderId="0" xfId="0" applyNumberFormat="1" applyFill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895350</xdr:colOff>
      <xdr:row>15</xdr:row>
      <xdr:rowOff>85725</xdr:rowOff>
    </xdr:from>
    <xdr:to>
      <xdr:col>3</xdr:col>
      <xdr:colOff>1009650</xdr:colOff>
      <xdr:row>32</xdr:row>
      <xdr:rowOff>27960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C2A7B8F-CFA9-4D12-8B55-802976CF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943225"/>
          <a:ext cx="4648200" cy="3180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895350</xdr:colOff>
      <xdr:row>15</xdr:row>
      <xdr:rowOff>85725</xdr:rowOff>
    </xdr:from>
    <xdr:to>
      <xdr:col>3</xdr:col>
      <xdr:colOff>781050</xdr:colOff>
      <xdr:row>32</xdr:row>
      <xdr:rowOff>27960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C0CF08-92E1-4A92-A10B-462B2FC2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943225"/>
          <a:ext cx="4648200" cy="3180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onique poirier" refreshedDate="46174.496930092595" createdVersion="8" refreshedVersion="8" minRefreshableVersion="3" recordCount="1552" xr:uid="{C2B199BC-DB22-4B24-89C2-F5E4630630C0}">
  <cacheSource type="worksheet">
    <worksheetSource ref="A1:J1553" sheet="Ventes"/>
  </cacheSource>
  <cacheFields count="10">
    <cacheField name="Code Article" numFmtId="0">
      <sharedItems/>
    </cacheField>
    <cacheField name="Catégorie" numFmtId="0">
      <sharedItems count="9">
        <s v="1"/>
        <s v="3"/>
        <s v="9"/>
        <s v="7"/>
        <s v="4"/>
        <s v="8"/>
        <s v="2"/>
        <s v="6"/>
        <s v="5"/>
      </sharedItems>
    </cacheField>
    <cacheField name="% article" numFmtId="165">
      <sharedItems containsSemiMixedTypes="0" containsString="0" containsNumber="1" minValue="6.4432989690721648E-4" maxValue="6.4432989690721648E-4"/>
    </cacheField>
    <cacheField name="% article cumulatif" numFmtId="165">
      <sharedItems containsSemiMixedTypes="0" containsString="0" containsNumber="1" minValue="6.4432989690721648E-4" maxValue="0.99999999999999667"/>
    </cacheField>
    <cacheField name="DT = Demande annuelle (qté)" numFmtId="1">
      <sharedItems containsSemiMixedTypes="0" containsString="0" containsNumber="1" containsInteger="1" minValue="1" maxValue="3271"/>
    </cacheField>
    <cacheField name="Ca = Coût unitaire ($)" numFmtId="44">
      <sharedItems containsSemiMixedTypes="0" containsString="0" containsNumber="1" minValue="2.0099999999999998" maxValue="1359.67"/>
    </cacheField>
    <cacheField name="Ventes annuelles ($)" numFmtId="44">
      <sharedItems containsSemiMixedTypes="0" containsString="0" containsNumber="1" minValue="8.1999999999999993" maxValue="134653.75"/>
    </cacheField>
    <cacheField name="% valeur" numFmtId="165">
      <sharedItems containsSemiMixedTypes="0" containsString="0" containsNumber="1" minValue="9.934311389146596E-7" maxValue="1.6313320514832912E-2"/>
    </cacheField>
    <cacheField name="% cumulatif valeur" numFmtId="165">
      <sharedItems containsSemiMixedTypes="0" containsString="0" containsNumber="1" minValue="1.6313320514832912E-2" maxValue="0.99999999999999967"/>
    </cacheField>
    <cacheField name="Classe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2">
  <r>
    <s v="1851-1"/>
    <x v="0"/>
    <n v="6.4432989690721648E-4"/>
    <n v="6.4432989690721648E-4"/>
    <n v="175"/>
    <n v="769.45"/>
    <n v="134653.75"/>
    <n v="1.6313320514832912E-2"/>
    <n v="1.6313320514832912E-2"/>
    <x v="0"/>
  </r>
  <r>
    <s v="0681-3"/>
    <x v="1"/>
    <n v="6.4432989690721648E-4"/>
    <n v="1.288659793814433E-3"/>
    <n v="97"/>
    <n v="1359.67"/>
    <n v="131887.99000000002"/>
    <n v="1.5978248306690888E-2"/>
    <n v="3.22915688215238E-2"/>
    <x v="0"/>
  </r>
  <r>
    <s v="1172-1"/>
    <x v="0"/>
    <n v="6.4432989690721648E-4"/>
    <n v="1.9329896907216496E-3"/>
    <n v="105"/>
    <n v="966.53"/>
    <n v="101485.65"/>
    <n v="1.2295000593048114E-2"/>
    <n v="4.4586569414571911E-2"/>
    <x v="0"/>
  </r>
  <r>
    <s v="0841-9"/>
    <x v="2"/>
    <n v="6.4432989690721648E-4"/>
    <n v="2.5773195876288659E-3"/>
    <n v="235"/>
    <n v="427.56"/>
    <n v="100476.6"/>
    <n v="1.2172754045399111E-2"/>
    <n v="5.675932345997102E-2"/>
    <x v="0"/>
  </r>
  <r>
    <s v="0768-3"/>
    <x v="1"/>
    <n v="6.4432989690721648E-4"/>
    <n v="3.2216494845360823E-3"/>
    <n v="165"/>
    <n v="499.46"/>
    <n v="82410.899999999994"/>
    <n v="9.9840919812173336E-3"/>
    <n v="6.674341544118835E-2"/>
    <x v="0"/>
  </r>
  <r>
    <s v="1238-1"/>
    <x v="0"/>
    <n v="6.4432989690721648E-4"/>
    <n v="3.8659793814432987E-3"/>
    <n v="108"/>
    <n v="758.59"/>
    <n v="81927.72"/>
    <n v="9.9255546571074826E-3"/>
    <n v="7.6668970098295833E-2"/>
    <x v="0"/>
  </r>
  <r>
    <s v="0368-7"/>
    <x v="3"/>
    <n v="6.4432989690721648E-4"/>
    <n v="4.5103092783505151E-3"/>
    <n v="478"/>
    <n v="149.65"/>
    <n v="71532.7"/>
    <n v="8.6661965403220347E-3"/>
    <n v="8.5335166638617871E-2"/>
    <x v="0"/>
  </r>
  <r>
    <s v="1719-4"/>
    <x v="4"/>
    <n v="6.4432989690721648E-4"/>
    <n v="5.1546391752577319E-3"/>
    <n v="267"/>
    <n v="242.06"/>
    <n v="64630.020000000004"/>
    <n v="7.8299358995947855E-3"/>
    <n v="9.3165102538212655E-2"/>
    <x v="0"/>
  </r>
  <r>
    <s v="1817-1"/>
    <x v="0"/>
    <n v="6.4432989690721648E-4"/>
    <n v="5.7989690721649487E-3"/>
    <n v="64"/>
    <n v="982.41"/>
    <n v="62874.239999999998"/>
    <n v="7.6172229087309333E-3"/>
    <n v="0.10078232544694359"/>
    <x v="0"/>
  </r>
  <r>
    <s v="0971-4"/>
    <x v="4"/>
    <n v="6.4432989690721648E-4"/>
    <n v="6.4432989690721655E-3"/>
    <n v="254"/>
    <n v="240.89"/>
    <n v="61186.06"/>
    <n v="7.4126996672561835E-3"/>
    <n v="0.10819502511419977"/>
    <x v="0"/>
  </r>
  <r>
    <s v="0633-4"/>
    <x v="4"/>
    <n v="6.4432989690721648E-4"/>
    <n v="7.0876288659793823E-3"/>
    <n v="570"/>
    <n v="106.37"/>
    <n v="60630.9"/>
    <n v="7.3454419561488835E-3"/>
    <n v="0.11554046707034865"/>
    <x v="0"/>
  </r>
  <r>
    <s v="0881-8"/>
    <x v="5"/>
    <n v="6.4432989690721648E-4"/>
    <n v="7.7319587628865991E-3"/>
    <n v="1359"/>
    <n v="44.3"/>
    <n v="60203.7"/>
    <n v="7.2936866168142071E-3"/>
    <n v="0.12283415368716286"/>
    <x v="0"/>
  </r>
  <r>
    <s v="0496-9"/>
    <x v="2"/>
    <n v="6.4432989690721648E-4"/>
    <n v="8.3762886597938159E-3"/>
    <n v="428"/>
    <n v="127.21"/>
    <n v="54445.88"/>
    <n v="6.5961259240988898E-3"/>
    <n v="0.12943027961126174"/>
    <x v="0"/>
  </r>
  <r>
    <s v="0126-7"/>
    <x v="3"/>
    <n v="6.4432989690721648E-4"/>
    <n v="9.0206185567010318E-3"/>
    <n v="298"/>
    <n v="178.17"/>
    <n v="53094.659999999996"/>
    <n v="6.4324254334251979E-3"/>
    <n v="0.13586270504468695"/>
    <x v="0"/>
  </r>
  <r>
    <s v="1503-9"/>
    <x v="2"/>
    <n v="6.4432989690721648E-4"/>
    <n v="9.6649484536082478E-3"/>
    <n v="201"/>
    <n v="263.88"/>
    <n v="53039.88"/>
    <n v="6.4257888288166932E-3"/>
    <n v="0.14228849387350365"/>
    <x v="0"/>
  </r>
  <r>
    <s v="1015-7"/>
    <x v="3"/>
    <n v="6.4432989690721648E-4"/>
    <n v="1.0309278350515464E-2"/>
    <n v="255"/>
    <n v="206.14"/>
    <n v="52565.7"/>
    <n v="6.3683418559568692E-3"/>
    <n v="0.14865683572946051"/>
    <x v="0"/>
  </r>
  <r>
    <s v="0659-2"/>
    <x v="6"/>
    <n v="6.4432989690721648E-4"/>
    <n v="1.095360824742268E-2"/>
    <n v="798"/>
    <n v="55.37"/>
    <n v="44185.259999999995"/>
    <n v="5.3530503859805312E-3"/>
    <n v="0.15400988611544103"/>
    <x v="0"/>
  </r>
  <r>
    <s v="0875-1"/>
    <x v="0"/>
    <n v="6.4432989690721648E-4"/>
    <n v="1.1597938144329896E-2"/>
    <n v="63"/>
    <n v="625.64"/>
    <n v="39415.32"/>
    <n v="4.7751714924738741E-3"/>
    <n v="0.15878505760791489"/>
    <x v="0"/>
  </r>
  <r>
    <s v="0363-6"/>
    <x v="7"/>
    <n v="6.4432989690721648E-4"/>
    <n v="1.2242268041237112E-2"/>
    <n v="964"/>
    <n v="39.4"/>
    <n v="37981.599999999999"/>
    <n v="4.6014761153415906E-3"/>
    <n v="0.16338653372325648"/>
    <x v="0"/>
  </r>
  <r>
    <s v="0210-1"/>
    <x v="0"/>
    <n v="6.4432989690721648E-4"/>
    <n v="1.2886597938144327E-2"/>
    <n v="51"/>
    <n v="738.42"/>
    <n v="37659.42"/>
    <n v="4.5624439635933555E-3"/>
    <n v="0.16794897768684983"/>
    <x v="0"/>
  </r>
  <r>
    <s v="1273-1"/>
    <x v="0"/>
    <n v="6.4432989690721648E-4"/>
    <n v="1.3530927835051543E-2"/>
    <n v="52"/>
    <n v="717.35"/>
    <n v="37302.200000000004"/>
    <n v="4.5191667109783446E-3"/>
    <n v="0.17246814439782818"/>
    <x v="0"/>
  </r>
  <r>
    <s v="0510-8"/>
    <x v="5"/>
    <n v="6.4432989690721648E-4"/>
    <n v="1.4175257731958759E-2"/>
    <n v="1339"/>
    <n v="25.24"/>
    <n v="33796.36"/>
    <n v="4.0944337080451041E-3"/>
    <n v="0.17656257810587328"/>
    <x v="0"/>
  </r>
  <r>
    <s v="0828-1"/>
    <x v="0"/>
    <n v="6.4432989690721648E-4"/>
    <n v="1.4819587628865975E-2"/>
    <n v="29"/>
    <n v="1149.51"/>
    <n v="33335.79"/>
    <n v="4.0386355885756011E-3"/>
    <n v="0.18060121369444887"/>
    <x v="0"/>
  </r>
  <r>
    <s v="1211-4"/>
    <x v="4"/>
    <n v="6.4432989690721648E-4"/>
    <n v="1.5463917525773191E-2"/>
    <n v="1251"/>
    <n v="26.57"/>
    <n v="33239.07"/>
    <n v="4.0269179471419635E-3"/>
    <n v="0.18462813164159084"/>
    <x v="0"/>
  </r>
  <r>
    <s v="0086-5"/>
    <x v="8"/>
    <n v="6.4432989690721648E-4"/>
    <n v="1.6108247422680407E-2"/>
    <n v="330"/>
    <n v="99.05"/>
    <n v="32686.5"/>
    <n v="3.9599740148943937E-3"/>
    <n v="0.18858810565648523"/>
    <x v="0"/>
  </r>
  <r>
    <s v="0102-1"/>
    <x v="0"/>
    <n v="6.4432989690721648E-4"/>
    <n v="1.6752577319587625E-2"/>
    <n v="79"/>
    <n v="411.42"/>
    <n v="32502.18"/>
    <n v="3.9376436212938144E-3"/>
    <n v="0.19252574927777905"/>
    <x v="0"/>
  </r>
  <r>
    <s v="1854-9"/>
    <x v="2"/>
    <n v="6.4432989690721648E-4"/>
    <n v="1.7396907216494843E-2"/>
    <n v="350"/>
    <n v="88.19"/>
    <n v="30866.5"/>
    <n v="3.739480762110896E-3"/>
    <n v="0.19626523003988994"/>
    <x v="0"/>
  </r>
  <r>
    <s v="1686-1"/>
    <x v="0"/>
    <n v="6.4432989690721648E-4"/>
    <n v="1.804123711340206E-2"/>
    <n v="30"/>
    <n v="1027.43"/>
    <n v="30822.9"/>
    <n v="3.7341986160552036E-3"/>
    <n v="0.19999942865594514"/>
    <x v="0"/>
  </r>
  <r>
    <s v="0748-8"/>
    <x v="5"/>
    <n v="6.4432989690721648E-4"/>
    <n v="1.8685567010309278E-2"/>
    <n v="656"/>
    <n v="46.63"/>
    <n v="30589.280000000002"/>
    <n v="3.7058955206072473E-3"/>
    <n v="0.20370532417655238"/>
    <x v="0"/>
  </r>
  <r>
    <s v="0968-4"/>
    <x v="4"/>
    <n v="6.4432989690721648E-4"/>
    <n v="1.9329896907216496E-2"/>
    <n v="156"/>
    <n v="192.24"/>
    <n v="29989.440000000002"/>
    <n v="3.6332248212942509E-3"/>
    <n v="0.20733854899784662"/>
    <x v="0"/>
  </r>
  <r>
    <s v="0723-7"/>
    <x v="3"/>
    <n v="6.4432989690721648E-4"/>
    <n v="1.9974226804123713E-2"/>
    <n v="1819"/>
    <n v="16.45"/>
    <n v="29922.55"/>
    <n v="3.6251210885037623E-3"/>
    <n v="0.21096367008635039"/>
    <x v="0"/>
  </r>
  <r>
    <s v="0167-4"/>
    <x v="4"/>
    <n v="6.4432989690721648E-4"/>
    <n v="2.0618556701030931E-2"/>
    <n v="306"/>
    <n v="97.65"/>
    <n v="29880.9"/>
    <n v="3.6200751852189096E-3"/>
    <n v="0.21458374527156929"/>
    <x v="0"/>
  </r>
  <r>
    <s v="0138-1"/>
    <x v="0"/>
    <n v="6.4432989690721648E-4"/>
    <n v="2.1262886597938149E-2"/>
    <n v="60"/>
    <n v="497.14"/>
    <n v="29828.399999999998"/>
    <n v="3.6137148029270773E-3"/>
    <n v="0.21819746007449636"/>
    <x v="0"/>
  </r>
  <r>
    <s v="0717-1"/>
    <x v="0"/>
    <n v="6.4432989690721648E-4"/>
    <n v="2.1907216494845366E-2"/>
    <n v="33"/>
    <n v="902.02"/>
    <n v="29766.66"/>
    <n v="3.6062349933518837E-3"/>
    <n v="0.22180369506784825"/>
    <x v="0"/>
  </r>
  <r>
    <s v="0575-4"/>
    <x v="4"/>
    <n v="6.4432989690721648E-4"/>
    <n v="2.2551546391752584E-2"/>
    <n v="85"/>
    <n v="350.19"/>
    <n v="29766.15"/>
    <n v="3.6061732067810487E-3"/>
    <n v="0.2254098682746293"/>
    <x v="0"/>
  </r>
  <r>
    <s v="1812-7"/>
    <x v="3"/>
    <n v="6.4432989690721648E-4"/>
    <n v="2.3195876288659802E-2"/>
    <n v="411"/>
    <n v="71.959999999999994"/>
    <n v="29575.559999999998"/>
    <n v="3.5830832018096163E-3"/>
    <n v="0.22899295147643892"/>
    <x v="0"/>
  </r>
  <r>
    <s v="1062-3"/>
    <x v="1"/>
    <n v="6.4432989690721648E-4"/>
    <n v="2.3840206185567019E-2"/>
    <n v="79"/>
    <n v="374.05"/>
    <n v="29549.95"/>
    <n v="3.5799805467525915E-3"/>
    <n v="0.23257293202319151"/>
    <x v="0"/>
  </r>
  <r>
    <s v="1731-3"/>
    <x v="1"/>
    <n v="6.4432989690721648E-4"/>
    <n v="2.4484536082474237E-2"/>
    <n v="24"/>
    <n v="1218.68"/>
    <n v="29248.32"/>
    <n v="3.5434380303585879E-3"/>
    <n v="0.2361163700535501"/>
    <x v="0"/>
  </r>
  <r>
    <s v="1381-3"/>
    <x v="1"/>
    <n v="6.4432989690721648E-4"/>
    <n v="2.5128865979381455E-2"/>
    <n v="42"/>
    <n v="695"/>
    <n v="29190"/>
    <n v="3.5363725542584047E-3"/>
    <n v="0.2396527426078085"/>
    <x v="0"/>
  </r>
  <r>
    <s v="1064-9"/>
    <x v="2"/>
    <n v="6.4432989690721648E-4"/>
    <n v="2.5773195876288672E-2"/>
    <n v="108"/>
    <n v="262.26"/>
    <n v="28324.079999999998"/>
    <n v="3.4314662259890163E-3"/>
    <n v="0.24308420883379753"/>
    <x v="0"/>
  </r>
  <r>
    <s v="1869-9"/>
    <x v="2"/>
    <n v="6.4432989690721648E-4"/>
    <n v="2.641752577319589E-2"/>
    <n v="122"/>
    <n v="232.03"/>
    <n v="28307.66"/>
    <n v="3.4294769407084095E-3"/>
    <n v="0.24651368577450594"/>
    <x v="0"/>
  </r>
  <r>
    <s v="1583-8"/>
    <x v="5"/>
    <n v="6.4432989690721648E-4"/>
    <n v="2.7061855670103108E-2"/>
    <n v="628"/>
    <n v="44.98"/>
    <n v="28247.439999999999"/>
    <n v="3.4221812793443314E-3"/>
    <n v="0.24993586705385026"/>
    <x v="0"/>
  </r>
  <r>
    <s v="0022-1"/>
    <x v="0"/>
    <n v="6.4432989690721648E-4"/>
    <n v="2.7706185567010325E-2"/>
    <n v="27"/>
    <n v="1039.94"/>
    <n v="28078.38"/>
    <n v="3.4016996368632446E-3"/>
    <n v="0.2533375666907135"/>
    <x v="0"/>
  </r>
  <r>
    <s v="0015-1"/>
    <x v="0"/>
    <n v="6.4432989690721648E-4"/>
    <n v="2.8350515463917543E-2"/>
    <n v="60"/>
    <n v="464.92"/>
    <n v="27895.200000000001"/>
    <n v="3.379507354421002E-3"/>
    <n v="0.2567170740451345"/>
    <x v="0"/>
  </r>
  <r>
    <s v="0863-4"/>
    <x v="4"/>
    <n v="6.4432989690721648E-4"/>
    <n v="2.8994845360824761E-2"/>
    <n v="86"/>
    <n v="323.13"/>
    <n v="27789.18"/>
    <n v="3.3666630166956689E-3"/>
    <n v="0.26008373706183019"/>
    <x v="0"/>
  </r>
  <r>
    <s v="0290-9"/>
    <x v="2"/>
    <n v="6.4432989690721648E-4"/>
    <n v="2.9639175257731978E-2"/>
    <n v="306"/>
    <n v="90.74"/>
    <n v="27766.44"/>
    <n v="3.3639080625372641E-3"/>
    <n v="0.26344764512436747"/>
    <x v="0"/>
  </r>
  <r>
    <s v="0456-9"/>
    <x v="2"/>
    <n v="6.4432989690721648E-4"/>
    <n v="3.0283505154639196E-2"/>
    <n v="70"/>
    <n v="391.64"/>
    <n v="27414.799999999999"/>
    <n v="3.3213068276972701E-3"/>
    <n v="0.26676895195206474"/>
    <x v="0"/>
  </r>
  <r>
    <s v="1316-8"/>
    <x v="5"/>
    <n v="6.4432989690721648E-4"/>
    <n v="3.0927835051546414E-2"/>
    <n v="1155"/>
    <n v="23.57"/>
    <n v="27223.35"/>
    <n v="3.2981126336063906E-3"/>
    <n v="0.27006706458567115"/>
    <x v="0"/>
  </r>
  <r>
    <s v="1151-7"/>
    <x v="3"/>
    <n v="6.4432989690721648E-4"/>
    <n v="3.1572164948453628E-2"/>
    <n v="201"/>
    <n v="135.30000000000001"/>
    <n v="27195.300000000003"/>
    <n v="3.2947143722104693E-3"/>
    <n v="0.27336177895788161"/>
    <x v="0"/>
  </r>
  <r>
    <s v="1156-8"/>
    <x v="5"/>
    <n v="6.4432989690721648E-4"/>
    <n v="3.2216494845360842E-2"/>
    <n v="392"/>
    <n v="69.2"/>
    <n v="27126.400000000001"/>
    <n v="3.2863671276408082E-3"/>
    <n v="0.27664814608552241"/>
    <x v="0"/>
  </r>
  <r>
    <s v="0092-6"/>
    <x v="7"/>
    <n v="6.4432989690721648E-4"/>
    <n v="3.2860824742268056E-2"/>
    <n v="3271"/>
    <n v="8.27"/>
    <n v="27051.17"/>
    <n v="3.2772530026919603E-3"/>
    <n v="0.27992539908821434"/>
    <x v="0"/>
  </r>
  <r>
    <s v="1681-8"/>
    <x v="5"/>
    <n v="6.4432989690721648E-4"/>
    <n v="3.3505154639175271E-2"/>
    <n v="452"/>
    <n v="59.77"/>
    <n v="27016.04"/>
    <n v="3.2729969983126836E-3"/>
    <n v="0.28319839608652703"/>
    <x v="0"/>
  </r>
  <r>
    <s v="0041-9"/>
    <x v="2"/>
    <n v="6.4432989690721648E-4"/>
    <n v="3.4149484536082485E-2"/>
    <n v="180"/>
    <n v="149.76"/>
    <n v="26956.799999999999"/>
    <n v="3.2658200640847193E-3"/>
    <n v="0.28646421615061174"/>
    <x v="0"/>
  </r>
  <r>
    <s v="0624-7"/>
    <x v="3"/>
    <n v="6.4432989690721648E-4"/>
    <n v="3.4793814432989699E-2"/>
    <n v="175"/>
    <n v="153.72"/>
    <n v="26901"/>
    <n v="3.2590598863345443E-3"/>
    <n v="0.28972327603694631"/>
    <x v="0"/>
  </r>
  <r>
    <s v="0183-8"/>
    <x v="5"/>
    <n v="6.4432989690721648E-4"/>
    <n v="3.5438144329896913E-2"/>
    <n v="928"/>
    <n v="28.91"/>
    <n v="26828.48"/>
    <n v="3.2502740782620939E-3"/>
    <n v="0.29297355011520843"/>
    <x v="0"/>
  </r>
  <r>
    <s v="1005-1"/>
    <x v="0"/>
    <n v="6.4432989690721648E-4"/>
    <n v="3.6082474226804127E-2"/>
    <n v="30"/>
    <n v="893.14"/>
    <n v="26794.2"/>
    <n v="3.2461210515008754E-3"/>
    <n v="0.29621967116670928"/>
    <x v="0"/>
  </r>
  <r>
    <s v="1224-9"/>
    <x v="2"/>
    <n v="6.4432989690721648E-4"/>
    <n v="3.6726804123711342E-2"/>
    <n v="145"/>
    <n v="184.25"/>
    <n v="26716.25"/>
    <n v="3.2366773981742413E-3"/>
    <n v="0.29945634856488351"/>
    <x v="0"/>
  </r>
  <r>
    <s v="1232-5"/>
    <x v="8"/>
    <n v="6.4432989690721648E-4"/>
    <n v="3.7371134020618556E-2"/>
    <n v="139"/>
    <n v="192.12"/>
    <n v="26704.68"/>
    <n v="3.2352756910672604E-3"/>
    <n v="0.30269162425595075"/>
    <x v="0"/>
  </r>
  <r>
    <s v="1482-6"/>
    <x v="7"/>
    <n v="6.4432989690721648E-4"/>
    <n v="3.801546391752577E-2"/>
    <n v="741"/>
    <n v="36.01"/>
    <n v="26683.41"/>
    <n v="3.2326988276130272E-3"/>
    <n v="0.30592432308356377"/>
    <x v="0"/>
  </r>
  <r>
    <s v="0620-2"/>
    <x v="6"/>
    <n v="6.4432989690721648E-4"/>
    <n v="3.8659793814432984E-2"/>
    <n v="418"/>
    <n v="63.69"/>
    <n v="26622.42"/>
    <n v="3.225309880642002E-3"/>
    <n v="0.30914963296420578"/>
    <x v="0"/>
  </r>
  <r>
    <s v="1125-3"/>
    <x v="1"/>
    <n v="6.4432989690721648E-4"/>
    <n v="3.9304123711340198E-2"/>
    <n v="23"/>
    <n v="1152.02"/>
    <n v="26496.46"/>
    <n v="3.2100498091471616E-3"/>
    <n v="0.31235968277335296"/>
    <x v="0"/>
  </r>
  <r>
    <s v="1322-8"/>
    <x v="5"/>
    <n v="6.4432989690721648E-4"/>
    <n v="3.9948453608247413E-2"/>
    <n v="563"/>
    <n v="46.8"/>
    <n v="26348.399999999998"/>
    <n v="3.1921123195828073E-3"/>
    <n v="0.31555179509293579"/>
    <x v="0"/>
  </r>
  <r>
    <s v="0060-4"/>
    <x v="4"/>
    <n v="6.4432989690721648E-4"/>
    <n v="4.0592783505154627E-2"/>
    <n v="67"/>
    <n v="391.26"/>
    <n v="26214.42"/>
    <n v="3.1758806239740528E-3"/>
    <n v="0.31872767571690985"/>
    <x v="0"/>
  </r>
  <r>
    <s v="0157-2"/>
    <x v="6"/>
    <n v="6.4432989690721648E-4"/>
    <n v="4.1237113402061841E-2"/>
    <n v="421"/>
    <n v="62.05"/>
    <n v="26123.05"/>
    <n v="3.1648111357834882E-3"/>
    <n v="0.32189248685269334"/>
    <x v="0"/>
  </r>
  <r>
    <s v="0298-9"/>
    <x v="2"/>
    <n v="6.4432989690721648E-4"/>
    <n v="4.1881443298969055E-2"/>
    <n v="234"/>
    <n v="111.33"/>
    <n v="26051.22"/>
    <n v="3.1561089213068736E-3"/>
    <n v="0.32504859577400019"/>
    <x v="0"/>
  </r>
  <r>
    <s v="1144-8"/>
    <x v="5"/>
    <n v="6.4432989690721648E-4"/>
    <n v="4.2525773195876269E-2"/>
    <n v="806"/>
    <n v="32.17"/>
    <n v="25929.02"/>
    <n v="3.1413043743342673E-3"/>
    <n v="0.32818990014833443"/>
    <x v="0"/>
  </r>
  <r>
    <s v="0190-8"/>
    <x v="5"/>
    <n v="6.4432989690721648E-4"/>
    <n v="4.3170103092783484E-2"/>
    <n v="631"/>
    <n v="40.409999999999997"/>
    <n v="25498.71"/>
    <n v="3.089172258067637E-3"/>
    <n v="0.33127907240640209"/>
    <x v="0"/>
  </r>
  <r>
    <s v="1473-1"/>
    <x v="0"/>
    <n v="6.4432989690721648E-4"/>
    <n v="4.3814432989690698E-2"/>
    <n v="25"/>
    <n v="1019.78"/>
    <n v="25494.5"/>
    <n v="3.0886622159829015E-3"/>
    <n v="0.334367734622385"/>
    <x v="0"/>
  </r>
  <r>
    <s v="1389-9"/>
    <x v="2"/>
    <n v="6.4432989690721648E-4"/>
    <n v="4.4458762886597912E-2"/>
    <n v="102"/>
    <n v="249.93"/>
    <n v="25492.86"/>
    <n v="3.0884635297551187E-3"/>
    <n v="0.33745619815214012"/>
    <x v="0"/>
  </r>
  <r>
    <s v="0273-4"/>
    <x v="4"/>
    <n v="6.4432989690721648E-4"/>
    <n v="4.5103092783505126E-2"/>
    <n v="249"/>
    <n v="102.25"/>
    <n v="25460.25"/>
    <n v="3.0845128237258494E-3"/>
    <n v="0.34054071097586597"/>
    <x v="0"/>
  </r>
  <r>
    <s v="1494-8"/>
    <x v="5"/>
    <n v="6.4432989690721648E-4"/>
    <n v="4.574742268041234E-2"/>
    <n v="318"/>
    <n v="79.790000000000006"/>
    <n v="25373.22"/>
    <n v="3.0739691271380763E-3"/>
    <n v="0.34361468010300406"/>
    <x v="0"/>
  </r>
  <r>
    <s v="1141-6"/>
    <x v="7"/>
    <n v="6.4432989690721648E-4"/>
    <n v="4.6391752577319555E-2"/>
    <n v="760"/>
    <n v="33.35"/>
    <n v="25346"/>
    <n v="3.0706714203574351E-3"/>
    <n v="0.3466853515233615"/>
    <x v="0"/>
  </r>
  <r>
    <s v="1041-4"/>
    <x v="4"/>
    <n v="6.4432989690721648E-4"/>
    <n v="4.7036082474226769E-2"/>
    <n v="192"/>
    <n v="131.72999999999999"/>
    <n v="25292.159999999996"/>
    <n v="3.0641486968794873E-3"/>
    <n v="0.34974950022024098"/>
    <x v="0"/>
  </r>
  <r>
    <s v="0981-9"/>
    <x v="2"/>
    <n v="6.4432989690721648E-4"/>
    <n v="4.7680412371133983E-2"/>
    <n v="91"/>
    <n v="277.12"/>
    <n v="25217.920000000002"/>
    <n v="3.0551545105681438E-3"/>
    <n v="0.35280465473080913"/>
    <x v="0"/>
  </r>
  <r>
    <s v="1500-1"/>
    <x v="0"/>
    <n v="6.4432989690721648E-4"/>
    <n v="4.8324742268041197E-2"/>
    <n v="60"/>
    <n v="418.27"/>
    <n v="25096.199999999997"/>
    <n v="3.0404081156622052E-3"/>
    <n v="0.35584506284647133"/>
    <x v="0"/>
  </r>
  <r>
    <s v="1650-1"/>
    <x v="0"/>
    <n v="6.4432989690721648E-4"/>
    <n v="4.8969072164948411E-2"/>
    <n v="42"/>
    <n v="597.42999999999995"/>
    <n v="25092.059999999998"/>
    <n v="3.0399065540871921E-3"/>
    <n v="0.35888496940055853"/>
    <x v="0"/>
  </r>
  <r>
    <s v="1061-8"/>
    <x v="5"/>
    <n v="6.4432989690721648E-4"/>
    <n v="4.9613402061855626E-2"/>
    <n v="1800"/>
    <n v="13.83"/>
    <n v="24894"/>
    <n v="3.0159115575782366E-3"/>
    <n v="0.36190088095813677"/>
    <x v="0"/>
  </r>
  <r>
    <s v="0954-9"/>
    <x v="2"/>
    <n v="6.4432989690721648E-4"/>
    <n v="5.025773195876284E-2"/>
    <n v="325"/>
    <n v="76.34"/>
    <n v="24810.5"/>
    <n v="3.0057955209807519E-3"/>
    <n v="0.36490667647911751"/>
    <x v="0"/>
  </r>
  <r>
    <s v="0446-9"/>
    <x v="2"/>
    <n v="6.4432989690721648E-4"/>
    <n v="5.0902061855670054E-2"/>
    <n v="157"/>
    <n v="157.58000000000001"/>
    <n v="24740.06"/>
    <n v="2.9972617051971973E-3"/>
    <n v="0.36790393818431472"/>
    <x v="0"/>
  </r>
  <r>
    <s v="0018-5"/>
    <x v="8"/>
    <n v="6.4432989690721648E-4"/>
    <n v="5.1546391752577268E-2"/>
    <n v="164"/>
    <n v="150.76"/>
    <n v="24724.639999999999"/>
    <n v="2.9953935700554823E-3"/>
    <n v="0.37089933175437018"/>
    <x v="0"/>
  </r>
  <r>
    <s v="0750-6"/>
    <x v="7"/>
    <n v="6.4432989690721648E-4"/>
    <n v="5.2190721649484483E-2"/>
    <n v="733"/>
    <n v="33.68"/>
    <n v="24687.439999999999"/>
    <n v="2.9908867848886982E-3"/>
    <n v="0.37389021853925886"/>
    <x v="0"/>
  </r>
  <r>
    <s v="1145-8"/>
    <x v="5"/>
    <n v="6.4432989690721648E-4"/>
    <n v="5.2835051546391697E-2"/>
    <n v="2108"/>
    <n v="11.69"/>
    <n v="24642.52"/>
    <n v="2.9854447206496687E-3"/>
    <n v="0.37687566325990851"/>
    <x v="0"/>
  </r>
  <r>
    <s v="1079-6"/>
    <x v="7"/>
    <n v="6.4432989690721648E-4"/>
    <n v="5.3479381443298911E-2"/>
    <n v="700"/>
    <n v="35.08"/>
    <n v="24556"/>
    <n v="2.97496281063273E-3"/>
    <n v="0.37985062607054126"/>
    <x v="0"/>
  </r>
  <r>
    <s v="0175-8"/>
    <x v="5"/>
    <n v="6.4432989690721648E-4"/>
    <n v="5.4123711340206125E-2"/>
    <n v="544"/>
    <n v="44.62"/>
    <n v="24273.279999999999"/>
    <n v="2.9407112433651747E-3"/>
    <n v="0.38279133731390647"/>
    <x v="0"/>
  </r>
  <r>
    <s v="0288-3"/>
    <x v="1"/>
    <n v="6.4432989690721648E-4"/>
    <n v="5.4768041237113339E-2"/>
    <n v="57"/>
    <n v="424.09"/>
    <n v="24173.129999999997"/>
    <n v="2.9285780569551375E-3"/>
    <n v="0.38571991537086159"/>
    <x v="0"/>
  </r>
  <r>
    <s v="0310-1"/>
    <x v="0"/>
    <n v="6.4432989690721648E-4"/>
    <n v="5.5412371134020554E-2"/>
    <n v="40"/>
    <n v="602.54999999999995"/>
    <n v="24102"/>
    <n v="2.9199606475757475E-3"/>
    <n v="0.38863987601843736"/>
    <x v="0"/>
  </r>
  <r>
    <s v="0016-9"/>
    <x v="2"/>
    <n v="6.4432989690721648E-4"/>
    <n v="5.6056701030927768E-2"/>
    <n v="101"/>
    <n v="236.53"/>
    <n v="23889.53"/>
    <n v="2.8942198775653576E-3"/>
    <n v="0.39153409589600274"/>
    <x v="0"/>
  </r>
  <r>
    <s v="1412-7"/>
    <x v="3"/>
    <n v="6.4432989690721648E-4"/>
    <n v="5.6701030927834982E-2"/>
    <n v="116"/>
    <n v="204.85"/>
    <n v="23762.6"/>
    <n v="2.8788422904357917E-3"/>
    <n v="0.39441293818643852"/>
    <x v="0"/>
  </r>
  <r>
    <s v="0660-8"/>
    <x v="5"/>
    <n v="6.4432989690721648E-4"/>
    <n v="5.7345360824742196E-2"/>
    <n v="1047"/>
    <n v="22.55"/>
    <n v="23609.850000000002"/>
    <n v="2.8603366067200342E-3"/>
    <n v="0.39727327479315855"/>
    <x v="0"/>
  </r>
  <r>
    <s v="0611-8"/>
    <x v="5"/>
    <n v="6.4432989690721648E-4"/>
    <n v="5.798969072164941E-2"/>
    <n v="573"/>
    <n v="41.09"/>
    <n v="23544.570000000003"/>
    <n v="2.8524279256531629E-3"/>
    <n v="0.4001257027188117"/>
    <x v="0"/>
  </r>
  <r>
    <s v="1543-3"/>
    <x v="1"/>
    <n v="6.4432989690721648E-4"/>
    <n v="5.8634020618556625E-2"/>
    <n v="28"/>
    <n v="840.79"/>
    <n v="23542.12"/>
    <n v="2.8521311078128766E-3"/>
    <n v="0.40297783382662455"/>
    <x v="0"/>
  </r>
  <r>
    <s v="1524-1"/>
    <x v="0"/>
    <n v="6.4432989690721648E-4"/>
    <n v="5.9278350515463839E-2"/>
    <n v="27"/>
    <n v="865.54"/>
    <n v="23369.579999999998"/>
    <n v="2.8312278628484454E-3"/>
    <n v="0.40580906168947301"/>
    <x v="0"/>
  </r>
  <r>
    <s v="1396-8"/>
    <x v="5"/>
    <n v="6.4432989690721648E-4"/>
    <n v="5.9922680412371053E-2"/>
    <n v="1232"/>
    <n v="18.829999999999998"/>
    <n v="23198.559999999998"/>
    <n v="2.8105087660951302E-3"/>
    <n v="0.40861957045556813"/>
    <x v="0"/>
  </r>
  <r>
    <s v="0317-9"/>
    <x v="2"/>
    <n v="6.4432989690721648E-4"/>
    <n v="6.0567010309278267E-2"/>
    <n v="687"/>
    <n v="33.659999999999997"/>
    <n v="23124.42"/>
    <n v="2.8015266947976751E-3"/>
    <n v="0.41142109715036579"/>
    <x v="0"/>
  </r>
  <r>
    <s v="1307-8"/>
    <x v="5"/>
    <n v="6.4432989690721648E-4"/>
    <n v="6.1211340206185481E-2"/>
    <n v="917"/>
    <n v="25.14"/>
    <n v="23053.38"/>
    <n v="2.7929201889307855E-3"/>
    <n v="0.41421401733929658"/>
    <x v="0"/>
  </r>
  <r>
    <s v="0062-1"/>
    <x v="0"/>
    <n v="6.4432989690721648E-4"/>
    <n v="6.1855670103092696E-2"/>
    <n v="29"/>
    <n v="787.94"/>
    <n v="22850.260000000002"/>
    <n v="2.7683121727190359E-3"/>
    <n v="0.41698232951201564"/>
    <x v="0"/>
  </r>
  <r>
    <s v="1088-4"/>
    <x v="4"/>
    <n v="6.4432989690721648E-4"/>
    <n v="6.249999999999991E-2"/>
    <n v="81"/>
    <n v="281.66000000000003"/>
    <n v="22814.460000000003"/>
    <n v="2.7639749977467014E-3"/>
    <n v="0.41974630450976236"/>
    <x v="0"/>
  </r>
  <r>
    <s v="0658-8"/>
    <x v="5"/>
    <n v="6.4432989690721648E-4"/>
    <n v="6.3144329896907131E-2"/>
    <n v="315"/>
    <n v="72.42"/>
    <n v="22812.3"/>
    <n v="2.7637133134466941E-3"/>
    <n v="0.42251001782320907"/>
    <x v="0"/>
  </r>
  <r>
    <s v="1132-8"/>
    <x v="5"/>
    <n v="6.4432989690721648E-4"/>
    <n v="6.3788659793814345E-2"/>
    <n v="608"/>
    <n v="37.49"/>
    <n v="22793.920000000002"/>
    <n v="2.7614865738938591E-3"/>
    <n v="0.42527150439710293"/>
    <x v="0"/>
  </r>
  <r>
    <s v="0823-1"/>
    <x v="0"/>
    <n v="6.4432989690721648E-4"/>
    <n v="6.4432989690721559E-2"/>
    <n v="22"/>
    <n v="1033.4000000000001"/>
    <n v="22734.800000000003"/>
    <n v="2.7543241776825621E-3"/>
    <n v="0.42802582857478549"/>
    <x v="0"/>
  </r>
  <r>
    <s v="0657-5"/>
    <x v="8"/>
    <n v="6.4432989690721648E-4"/>
    <n v="6.5077319587628774E-2"/>
    <n v="223"/>
    <n v="101.81"/>
    <n v="22703.63"/>
    <n v="2.7505479278532971E-3"/>
    <n v="0.43077637650263878"/>
    <x v="0"/>
  </r>
  <r>
    <s v="0438-9"/>
    <x v="2"/>
    <n v="6.4432989690721648E-4"/>
    <n v="6.5721649484535988E-2"/>
    <n v="260"/>
    <n v="87.18"/>
    <n v="22666.800000000003"/>
    <n v="2.746085968237904E-3"/>
    <n v="0.43352246247087667"/>
    <x v="0"/>
  </r>
  <r>
    <s v="0515-8"/>
    <x v="5"/>
    <n v="6.4432989690721648E-4"/>
    <n v="6.6365979381443202E-2"/>
    <n v="565"/>
    <n v="39.83"/>
    <n v="22503.95"/>
    <n v="2.7263566681193364E-3"/>
    <n v="0.43624881913899599"/>
    <x v="0"/>
  </r>
  <r>
    <s v="0898-6"/>
    <x v="7"/>
    <n v="6.4432989690721648E-4"/>
    <n v="6.7010309278350416E-2"/>
    <n v="345"/>
    <n v="65.14"/>
    <n v="22473.3"/>
    <n v="2.7226434163622956E-3"/>
    <n v="0.43897146255535829"/>
    <x v="0"/>
  </r>
  <r>
    <s v="1255-3"/>
    <x v="1"/>
    <n v="6.4432989690721648E-4"/>
    <n v="6.765463917525763E-2"/>
    <n v="32"/>
    <n v="699.17"/>
    <n v="22373.439999999999"/>
    <n v="2.7105453634925373E-3"/>
    <n v="0.44168200791885082"/>
    <x v="0"/>
  </r>
  <r>
    <s v="0674-8"/>
    <x v="5"/>
    <n v="6.4432989690721648E-4"/>
    <n v="6.8298969072164845E-2"/>
    <n v="2171"/>
    <n v="10.29"/>
    <n v="22339.589999999997"/>
    <n v="2.7064444312910416E-3"/>
    <n v="0.44438845235014185"/>
    <x v="0"/>
  </r>
  <r>
    <s v="1751-9"/>
    <x v="2"/>
    <n v="6.4432989690721648E-4"/>
    <n v="6.8943298969072059E-2"/>
    <n v="92"/>
    <n v="240.12"/>
    <n v="22091.040000000001"/>
    <n v="2.6763325642694276E-3"/>
    <n v="0.44706478491441126"/>
    <x v="0"/>
  </r>
  <r>
    <s v="1364-7"/>
    <x v="3"/>
    <n v="6.4432989690721648E-4"/>
    <n v="6.9587628865979273E-2"/>
    <n v="141"/>
    <n v="156.12"/>
    <n v="22012.920000000002"/>
    <n v="2.6668683154191823E-3"/>
    <n v="0.44973165322983044"/>
    <x v="0"/>
  </r>
  <r>
    <s v="0892-9"/>
    <x v="2"/>
    <n v="6.4432989690721648E-4"/>
    <n v="7.0231958762886487E-2"/>
    <n v="76"/>
    <n v="288.06"/>
    <n v="21892.560000000001"/>
    <n v="2.6522866847021372E-3"/>
    <n v="0.45238393991453257"/>
    <x v="0"/>
  </r>
  <r>
    <s v="1486-7"/>
    <x v="3"/>
    <n v="6.4432989690721648E-4"/>
    <n v="7.0876288659793701E-2"/>
    <n v="162"/>
    <n v="134.68"/>
    <n v="21818.16"/>
    <n v="2.64327311436857E-3"/>
    <n v="0.45502721302890115"/>
    <x v="0"/>
  </r>
  <r>
    <s v="0421-3"/>
    <x v="1"/>
    <n v="6.4432989690721648E-4"/>
    <n v="7.1520618556700916E-2"/>
    <n v="23"/>
    <n v="948.38"/>
    <n v="21812.74"/>
    <n v="2.6426164806157755E-3"/>
    <n v="0.4576698295095169"/>
    <x v="0"/>
  </r>
  <r>
    <s v="1169-8"/>
    <x v="5"/>
    <n v="6.4432989690721648E-4"/>
    <n v="7.216494845360813E-2"/>
    <n v="1013"/>
    <n v="21.35"/>
    <n v="21627.550000000003"/>
    <n v="2.6201806863943599E-3"/>
    <n v="0.46029001019591126"/>
    <x v="0"/>
  </r>
  <r>
    <s v="1704-3"/>
    <x v="1"/>
    <n v="6.4432989690721648E-4"/>
    <n v="7.2809278350515344E-2"/>
    <n v="18"/>
    <n v="1199.6400000000001"/>
    <n v="21593.52"/>
    <n v="2.6160579471678639E-3"/>
    <n v="0.46290606814307911"/>
    <x v="0"/>
  </r>
  <r>
    <s v="1616-5"/>
    <x v="8"/>
    <n v="6.4432989690721648E-4"/>
    <n v="7.3453608247422558E-2"/>
    <n v="107"/>
    <n v="201.2"/>
    <n v="21528.399999999998"/>
    <n v="2.6081686501232145E-3"/>
    <n v="0.46551423679320231"/>
    <x v="0"/>
  </r>
  <r>
    <s v="0849-3"/>
    <x v="1"/>
    <n v="6.4432989690721648E-4"/>
    <n v="7.4097938144329772E-2"/>
    <n v="25"/>
    <n v="861.01"/>
    <n v="21525.25"/>
    <n v="2.6077870271857049E-3"/>
    <n v="0.46812202382038803"/>
    <x v="0"/>
  </r>
  <r>
    <s v="0486-7"/>
    <x v="3"/>
    <n v="6.4432989690721648E-4"/>
    <n v="7.4742268041236987E-2"/>
    <n v="1621"/>
    <n v="13.26"/>
    <n v="21494.46"/>
    <n v="2.6040568144092193E-3"/>
    <n v="0.47072608063479726"/>
    <x v="0"/>
  </r>
  <r>
    <s v="0996-1"/>
    <x v="0"/>
    <n v="6.4432989690721648E-4"/>
    <n v="7.5386597938144201E-2"/>
    <n v="25"/>
    <n v="859.35"/>
    <n v="21483.75"/>
    <n v="2.6027592964216854E-3"/>
    <n v="0.47332883993121894"/>
    <x v="0"/>
  </r>
  <r>
    <s v="1688-9"/>
    <x v="2"/>
    <n v="6.4432989690721648E-4"/>
    <n v="7.6030927835051415E-2"/>
    <n v="55"/>
    <n v="387.48"/>
    <n v="21311.4"/>
    <n v="2.5818790699836439E-3"/>
    <n v="0.47591071900120258"/>
    <x v="0"/>
  </r>
  <r>
    <s v="0578-1"/>
    <x v="0"/>
    <n v="6.4432989690721648E-4"/>
    <n v="7.6675257731958629E-2"/>
    <n v="23"/>
    <n v="925.13"/>
    <n v="21277.99"/>
    <n v="2.5778314438432612E-3"/>
    <n v="0.47848855044504585"/>
    <x v="0"/>
  </r>
  <r>
    <s v="0609-4"/>
    <x v="4"/>
    <n v="6.4432989690721648E-4"/>
    <n v="7.7319587628865843E-2"/>
    <n v="75"/>
    <n v="280.95"/>
    <n v="21071.25"/>
    <n v="2.5527848641287224E-3"/>
    <n v="0.48104133530917459"/>
    <x v="0"/>
  </r>
  <r>
    <s v="1605-8"/>
    <x v="5"/>
    <n v="6.4432989690721648E-4"/>
    <n v="7.7963917525773058E-2"/>
    <n v="702"/>
    <n v="29.93"/>
    <n v="21010.86"/>
    <n v="2.5454686072410326E-3"/>
    <n v="0.48358680391641562"/>
    <x v="0"/>
  </r>
  <r>
    <s v="0055-2"/>
    <x v="6"/>
    <n v="6.4432989690721648E-4"/>
    <n v="7.8608247422680272E-2"/>
    <n v="1107"/>
    <n v="18.89"/>
    <n v="20911.23"/>
    <n v="2.5333984189032195E-3"/>
    <n v="0.48612020233531883"/>
    <x v="0"/>
  </r>
  <r>
    <s v="0623-9"/>
    <x v="2"/>
    <n v="6.4432989690721648E-4"/>
    <n v="7.9252577319587486E-2"/>
    <n v="45"/>
    <n v="461.68"/>
    <n v="20775.599999999999"/>
    <n v="2.516966825565293E-3"/>
    <n v="0.48863716916088412"/>
    <x v="0"/>
  </r>
  <r>
    <s v="1507-8"/>
    <x v="5"/>
    <n v="6.4432989690721648E-4"/>
    <n v="7.98969072164947E-2"/>
    <n v="800"/>
    <n v="25.86"/>
    <n v="20688"/>
    <n v="2.5063540733983513E-3"/>
    <n v="0.49114352323428245"/>
    <x v="0"/>
  </r>
  <r>
    <s v="0353-4"/>
    <x v="4"/>
    <n v="6.4432989690721648E-4"/>
    <n v="8.0541237113401914E-2"/>
    <n v="114"/>
    <n v="180.36"/>
    <n v="20561.04"/>
    <n v="2.4909728517646191E-3"/>
    <n v="0.49363449608604709"/>
    <x v="0"/>
  </r>
  <r>
    <s v="0355-4"/>
    <x v="4"/>
    <n v="6.4432989690721648E-4"/>
    <n v="8.1185567010309129E-2"/>
    <n v="971"/>
    <n v="20.94"/>
    <n v="20332.740000000002"/>
    <n v="2.4633142750555685E-3"/>
    <n v="0.49609781036110268"/>
    <x v="0"/>
  </r>
  <r>
    <s v="1070-2"/>
    <x v="6"/>
    <n v="6.4432989690721648E-4"/>
    <n v="8.1829896907216343E-2"/>
    <n v="233"/>
    <n v="87.23"/>
    <n v="20324.59"/>
    <n v="2.462326901423598E-3"/>
    <n v="0.49856013726252629"/>
    <x v="0"/>
  </r>
  <r>
    <s v="0453-3"/>
    <x v="1"/>
    <n v="6.4432989690721648E-4"/>
    <n v="8.2474226804123557E-2"/>
    <n v="55"/>
    <n v="367.72"/>
    <n v="20224.600000000002"/>
    <n v="2.450213099035784E-3"/>
    <n v="0.50101035036156205"/>
    <x v="0"/>
  </r>
  <r>
    <s v="0521-9"/>
    <x v="2"/>
    <n v="6.4432989690721648E-4"/>
    <n v="8.3118556701030771E-2"/>
    <n v="113"/>
    <n v="178.02"/>
    <n v="20116.260000000002"/>
    <n v="2.4370876929882216E-3"/>
    <n v="0.50344743805455028"/>
    <x v="0"/>
  </r>
  <r>
    <s v="1811-8"/>
    <x v="5"/>
    <n v="6.4432989690721648E-4"/>
    <n v="8.3762886597937986E-2"/>
    <n v="2350"/>
    <n v="8.5299999999999994"/>
    <n v="20045.5"/>
    <n v="2.4285151091602208E-3"/>
    <n v="0.50587595316371048"/>
    <x v="0"/>
  </r>
  <r>
    <s v="0032-2"/>
    <x v="6"/>
    <n v="6.4432989690721648E-4"/>
    <n v="8.44072164948452E-2"/>
    <n v="912"/>
    <n v="21.93"/>
    <n v="20000.16"/>
    <n v="2.4230221618628564E-3"/>
    <n v="0.50829897532557333"/>
    <x v="0"/>
  </r>
  <r>
    <s v="1312-5"/>
    <x v="8"/>
    <n v="6.4432989690721648E-4"/>
    <n v="8.5051546391752414E-2"/>
    <n v="112"/>
    <n v="178.16"/>
    <n v="19953.919999999998"/>
    <n v="2.4174201794404885E-3"/>
    <n v="0.5107163955050138"/>
    <x v="0"/>
  </r>
  <r>
    <s v="1564-8"/>
    <x v="5"/>
    <n v="6.4432989690721648E-4"/>
    <n v="8.5695876288659628E-2"/>
    <n v="641"/>
    <n v="31.02"/>
    <n v="19883.82"/>
    <n v="2.4089275547041571E-3"/>
    <n v="0.51312532305971792"/>
    <x v="0"/>
  </r>
  <r>
    <s v="0027-9"/>
    <x v="2"/>
    <n v="6.4432989690721648E-4"/>
    <n v="8.6340206185566842E-2"/>
    <n v="196"/>
    <n v="101.3"/>
    <n v="19854.8"/>
    <n v="2.4054117776735103E-3"/>
    <n v="0.51553073483739142"/>
    <x v="0"/>
  </r>
  <r>
    <s v="1791-2"/>
    <x v="6"/>
    <n v="6.4432989690721648E-4"/>
    <n v="8.6984536082474057E-2"/>
    <n v="286"/>
    <n v="69.33"/>
    <n v="19828.38"/>
    <n v="2.4022109910039834E-3"/>
    <n v="0.51793294582839544"/>
    <x v="0"/>
  </r>
  <r>
    <s v="0569-1"/>
    <x v="0"/>
    <n v="6.4432989690721648E-4"/>
    <n v="8.7628865979381271E-2"/>
    <n v="33"/>
    <n v="598.21"/>
    <n v="19740.93"/>
    <n v="2.3916164113578749E-3"/>
    <n v="0.52032456223975332"/>
    <x v="0"/>
  </r>
  <r>
    <s v="0038-9"/>
    <x v="2"/>
    <n v="6.4432989690721648E-4"/>
    <n v="8.8273195876288485E-2"/>
    <n v="67"/>
    <n v="292.39"/>
    <n v="19590.129999999997"/>
    <n v="2.3733469704129563E-3"/>
    <n v="0.52269790921016623"/>
    <x v="0"/>
  </r>
  <r>
    <s v="0017-8"/>
    <x v="5"/>
    <n v="6.4432989690721648E-4"/>
    <n v="8.8917525773195699E-2"/>
    <n v="1463"/>
    <n v="13.25"/>
    <n v="19384.75"/>
    <n v="2.348465154887311E-3"/>
    <n v="0.52504637436505353"/>
    <x v="0"/>
  </r>
  <r>
    <s v="1674-8"/>
    <x v="5"/>
    <n v="6.4432989690721648E-4"/>
    <n v="8.9561855670102913E-2"/>
    <n v="596"/>
    <n v="32.479999999999997"/>
    <n v="19358.079999999998"/>
    <n v="2.3452340806830604E-3"/>
    <n v="0.52739160844573663"/>
    <x v="0"/>
  </r>
  <r>
    <s v="1363-6"/>
    <x v="7"/>
    <n v="6.4432989690721648E-4"/>
    <n v="9.0206185567010128E-2"/>
    <n v="581"/>
    <n v="32.79"/>
    <n v="19050.989999999998"/>
    <n v="2.3080300845307062E-3"/>
    <n v="0.52969963853026736"/>
    <x v="0"/>
  </r>
  <r>
    <s v="0928-1"/>
    <x v="0"/>
    <n v="6.4432989690721648E-4"/>
    <n v="9.0850515463917342E-2"/>
    <n v="19"/>
    <n v="995.97"/>
    <n v="18923.43"/>
    <n v="2.292576172813639E-3"/>
    <n v="0.531992214703081"/>
    <x v="0"/>
  </r>
  <r>
    <s v="1837-7"/>
    <x v="3"/>
    <n v="6.4432989690721648E-4"/>
    <n v="9.1494845360824556E-2"/>
    <n v="878"/>
    <n v="21.51"/>
    <n v="18885.780000000002"/>
    <n v="2.2880148700843545E-3"/>
    <n v="0.53428022957316534"/>
    <x v="0"/>
  </r>
  <r>
    <s v="0079-6"/>
    <x v="7"/>
    <n v="6.4432989690721648E-4"/>
    <n v="9.213917525773177E-2"/>
    <n v="971"/>
    <n v="19.36"/>
    <n v="18798.559999999998"/>
    <n v="2.2774481549701908E-3"/>
    <n v="0.53655767772813556"/>
    <x v="0"/>
  </r>
  <r>
    <s v="1662-4"/>
    <x v="4"/>
    <n v="6.4432989690721648E-4"/>
    <n v="9.2783505154638984E-2"/>
    <n v="95"/>
    <n v="197.46"/>
    <n v="18758.7"/>
    <n v="2.2726191104339545E-3"/>
    <n v="0.53883029683856953"/>
    <x v="0"/>
  </r>
  <r>
    <s v="1352-1"/>
    <x v="0"/>
    <n v="6.4432989690721648E-4"/>
    <n v="9.3427835051546199E-2"/>
    <n v="21"/>
    <n v="890.39"/>
    <n v="18698.189999999999"/>
    <n v="2.2652883155295975E-3"/>
    <n v="0.54109558515409917"/>
    <x v="0"/>
  </r>
  <r>
    <s v="1496-6"/>
    <x v="7"/>
    <n v="6.4432989690721648E-4"/>
    <n v="9.4072164948453413E-2"/>
    <n v="1258"/>
    <n v="14.78"/>
    <n v="18593.239999999998"/>
    <n v="2.2525736084528787E-3"/>
    <n v="0.54334815876255205"/>
    <x v="0"/>
  </r>
  <r>
    <s v="0935-8"/>
    <x v="5"/>
    <n v="6.4432989690721648E-4"/>
    <n v="9.4716494845360627E-2"/>
    <n v="605"/>
    <n v="30.66"/>
    <n v="18549.3"/>
    <n v="2.247250271349963E-3"/>
    <n v="0.54559540903390202"/>
    <x v="0"/>
  </r>
  <r>
    <s v="1716-8"/>
    <x v="5"/>
    <n v="6.4432989690721648E-4"/>
    <n v="9.5360824742267841E-2"/>
    <n v="306"/>
    <n v="60.57"/>
    <n v="18534.420000000002"/>
    <n v="2.2454475572832502E-3"/>
    <n v="0.54784085659118531"/>
    <x v="0"/>
  </r>
  <r>
    <s v="0152-9"/>
    <x v="2"/>
    <n v="6.4432989690721648E-4"/>
    <n v="9.6005154639175055E-2"/>
    <n v="54"/>
    <n v="343.15"/>
    <n v="18530.099999999999"/>
    <n v="2.2449241886832358E-3"/>
    <n v="0.55008578077986858"/>
    <x v="0"/>
  </r>
  <r>
    <s v="0477-9"/>
    <x v="2"/>
    <n v="6.4432989690721648E-4"/>
    <n v="9.664948453608227E-2"/>
    <n v="74"/>
    <n v="250.08"/>
    <n v="18505.920000000002"/>
    <n v="2.2419947783248271E-3"/>
    <n v="0.55232777555819346"/>
    <x v="0"/>
  </r>
  <r>
    <s v="0899-3"/>
    <x v="1"/>
    <n v="6.4432989690721648E-4"/>
    <n v="9.7293814432989484E-2"/>
    <n v="32"/>
    <n v="576.04999999999995"/>
    <n v="18433.599999999999"/>
    <n v="2.2332332002801551E-3"/>
    <n v="0.55456100875847358"/>
    <x v="0"/>
  </r>
  <r>
    <s v="0211-9"/>
    <x v="2"/>
    <n v="6.4432989690721648E-4"/>
    <n v="9.7938144329896698E-2"/>
    <n v="113"/>
    <n v="161.55000000000001"/>
    <n v="18255.150000000001"/>
    <n v="2.2116139579948721E-3"/>
    <n v="0.55677262271646843"/>
    <x v="0"/>
  </r>
  <r>
    <s v="0367-1"/>
    <x v="0"/>
    <n v="6.4432989690721648E-4"/>
    <n v="9.8582474226803912E-2"/>
    <n v="39"/>
    <n v="465.4"/>
    <n v="18150.599999999999"/>
    <n v="2.1989477109737102E-3"/>
    <n v="0.55897157042744217"/>
    <x v="0"/>
  </r>
  <r>
    <s v="1089-3"/>
    <x v="1"/>
    <n v="6.4432989690721648E-4"/>
    <n v="9.9226804123711126E-2"/>
    <n v="36"/>
    <n v="503.96"/>
    <n v="18142.559999999998"/>
    <n v="2.1979736638570182E-3"/>
    <n v="0.56116954409129916"/>
    <x v="0"/>
  </r>
  <r>
    <s v="1469-1"/>
    <x v="0"/>
    <n v="6.4432989690721648E-4"/>
    <n v="9.9871134020618341E-2"/>
    <n v="23"/>
    <n v="787.47"/>
    <n v="18111.810000000001"/>
    <n v="2.1942482970860886E-3"/>
    <n v="0.5633637923883853"/>
    <x v="0"/>
  </r>
  <r>
    <s v="0351-1"/>
    <x v="0"/>
    <n v="6.4432989690721648E-4"/>
    <n v="0.10051546391752555"/>
    <n v="35"/>
    <n v="516.83000000000004"/>
    <n v="18089.050000000003"/>
    <n v="2.1914909199249061E-3"/>
    <n v="0.56555528330831017"/>
    <x v="0"/>
  </r>
  <r>
    <s v="0148-9"/>
    <x v="2"/>
    <n v="6.4432989690721648E-4"/>
    <n v="0.10115979381443277"/>
    <n v="39"/>
    <n v="462.9"/>
    <n v="18053.099999999999"/>
    <n v="2.1871355724317368E-3"/>
    <n v="0.56774241888074195"/>
    <x v="0"/>
  </r>
  <r>
    <s v="1276-1"/>
    <x v="0"/>
    <n v="6.4432989690721648E-4"/>
    <n v="0.10180412371133998"/>
    <n v="22"/>
    <n v="816.69"/>
    <n v="17967.18"/>
    <n v="2.1767263524981339E-3"/>
    <n v="0.56991914523324005"/>
    <x v="0"/>
  </r>
  <r>
    <s v="0124-1"/>
    <x v="0"/>
    <n v="6.4432989690721648E-4"/>
    <n v="0.1024484536082472"/>
    <n v="30"/>
    <n v="595.25"/>
    <n v="17857.5"/>
    <n v="2.1634386052644559E-3"/>
    <n v="0.57208258383850452"/>
    <x v="0"/>
  </r>
  <r>
    <s v="1478-9"/>
    <x v="2"/>
    <n v="6.4432989690721648E-4"/>
    <n v="0.10309278350515441"/>
    <n v="427"/>
    <n v="41.77"/>
    <n v="17835.79"/>
    <n v="2.1608084357491097E-3"/>
    <n v="0.57424339227425358"/>
    <x v="0"/>
  </r>
  <r>
    <s v="0951-8"/>
    <x v="5"/>
    <n v="6.4432989690721648E-4"/>
    <n v="0.10373711340206163"/>
    <n v="719"/>
    <n v="24.72"/>
    <n v="17773.68"/>
    <n v="2.1532838006225255E-3"/>
    <n v="0.5763966760748761"/>
    <x v="0"/>
  </r>
  <r>
    <s v="1862-4"/>
    <x v="4"/>
    <n v="6.4432989690721648E-4"/>
    <n v="0.10438144329896884"/>
    <n v="95"/>
    <n v="186.63"/>
    <n v="17729.849999999999"/>
    <n v="2.1479737900348878E-3"/>
    <n v="0.57854464986491094"/>
    <x v="0"/>
  </r>
  <r>
    <s v="1309-9"/>
    <x v="2"/>
    <n v="6.4432989690721648E-4"/>
    <n v="0.10502577319587605"/>
    <n v="43"/>
    <n v="411.29"/>
    <n v="17685.47"/>
    <n v="2.1425971468708596E-3"/>
    <n v="0.58068724701178176"/>
    <x v="0"/>
  </r>
  <r>
    <s v="0019-9"/>
    <x v="2"/>
    <n v="6.4432989690721648E-4"/>
    <n v="0.10567010309278327"/>
    <n v="87"/>
    <n v="201.2"/>
    <n v="17504.399999999998"/>
    <n v="2.1206604912216791E-3"/>
    <n v="0.58280790750300349"/>
    <x v="0"/>
  </r>
  <r>
    <s v="1069-9"/>
    <x v="2"/>
    <n v="6.4432989690721648E-4"/>
    <n v="0.10631443298969048"/>
    <n v="44"/>
    <n v="397.14"/>
    <n v="17474.16"/>
    <n v="2.1169969110215845E-3"/>
    <n v="0.58492490441402512"/>
    <x v="0"/>
  </r>
  <r>
    <s v="1520-5"/>
    <x v="8"/>
    <n v="6.4432989690721648E-4"/>
    <n v="0.1069587628865977"/>
    <n v="161"/>
    <n v="108.29"/>
    <n v="17434.690000000002"/>
    <n v="2.1122151150395159E-3"/>
    <n v="0.58703711952906468"/>
    <x v="0"/>
  </r>
  <r>
    <s v="1417-8"/>
    <x v="5"/>
    <n v="6.4432989690721648E-4"/>
    <n v="0.10760309278350491"/>
    <n v="386"/>
    <n v="45.14"/>
    <n v="17424.04"/>
    <n v="2.1109248660603156E-3"/>
    <n v="0.58914804439512503"/>
    <x v="0"/>
  </r>
  <r>
    <s v="1871-8"/>
    <x v="5"/>
    <n v="6.4432989690721648E-4"/>
    <n v="0.10824742268041213"/>
    <n v="445"/>
    <n v="38.82"/>
    <n v="17274.900000000001"/>
    <n v="2.0928565343459582E-3"/>
    <n v="0.59124090092947101"/>
    <x v="0"/>
  </r>
  <r>
    <s v="0154-1"/>
    <x v="0"/>
    <n v="6.4432989690721648E-4"/>
    <n v="0.10889175257731934"/>
    <n v="27"/>
    <n v="638.26"/>
    <n v="17233.02"/>
    <n v="2.0877827665291599E-3"/>
    <n v="0.59332868369600023"/>
    <x v="0"/>
  </r>
  <r>
    <s v="0011-8"/>
    <x v="5"/>
    <n v="6.4432989690721648E-4"/>
    <n v="0.10953608247422655"/>
    <n v="286"/>
    <n v="59.02"/>
    <n v="16879.72"/>
    <n v="2.0449804224586051E-3"/>
    <n v="0.59537366411845882"/>
    <x v="0"/>
  </r>
  <r>
    <s v="1563-4"/>
    <x v="4"/>
    <n v="6.4432989690721648E-4"/>
    <n v="0.11018041237113377"/>
    <n v="71"/>
    <n v="237.14"/>
    <n v="16836.939999999999"/>
    <n v="2.0397976195168036E-3"/>
    <n v="0.5974134617379756"/>
    <x v="0"/>
  </r>
  <r>
    <s v="0052-3"/>
    <x v="1"/>
    <n v="6.4432989690721648E-4"/>
    <n v="0.11082474226804098"/>
    <n v="125"/>
    <n v="134.61000000000001"/>
    <n v="16826.25"/>
    <n v="2.0385025245320482E-3"/>
    <n v="0.59945196426250769"/>
    <x v="0"/>
  </r>
  <r>
    <s v="1794-3"/>
    <x v="1"/>
    <n v="6.4432989690721648E-4"/>
    <n v="0.1114690721649482"/>
    <n v="24"/>
    <n v="698.75"/>
    <n v="16770"/>
    <n v="2.0316878292193715E-3"/>
    <n v="0.60148365209172705"/>
    <x v="0"/>
  </r>
  <r>
    <s v="0430-8"/>
    <x v="5"/>
    <n v="6.4432989690721648E-4"/>
    <n v="0.11211340206185541"/>
    <n v="546"/>
    <n v="30.49"/>
    <n v="16647.54"/>
    <n v="2.0168517832106531E-3"/>
    <n v="0.6035005038749377"/>
    <x v="0"/>
  </r>
  <r>
    <s v="0539-9"/>
    <x v="2"/>
    <n v="6.4432989690721648E-4"/>
    <n v="0.11275773195876262"/>
    <n v="66"/>
    <n v="251.51"/>
    <n v="16599.66"/>
    <n v="2.0110511145605024E-3"/>
    <n v="0.60551155498949816"/>
    <x v="0"/>
  </r>
  <r>
    <s v="0506-7"/>
    <x v="3"/>
    <n v="6.4432989690721648E-4"/>
    <n v="0.11340206185566984"/>
    <n v="160"/>
    <n v="102.24"/>
    <n v="16358.4"/>
    <n v="1.981822432051411E-3"/>
    <n v="0.60749337742154952"/>
    <x v="0"/>
  </r>
  <r>
    <s v="1359-4"/>
    <x v="4"/>
    <n v="6.4432989690721648E-4"/>
    <n v="0.11404639175257705"/>
    <n v="105"/>
    <n v="155.38"/>
    <n v="16314.9"/>
    <n v="1.9765524010096078E-3"/>
    <n v="0.6094699298225591"/>
    <x v="0"/>
  </r>
  <r>
    <s v="0522-8"/>
    <x v="5"/>
    <n v="6.4432989690721648E-4"/>
    <n v="0.11469072164948427"/>
    <n v="265"/>
    <n v="61.22"/>
    <n v="16223.3"/>
    <n v="1.9654550482870975E-3"/>
    <n v="0.61143538487084614"/>
    <x v="0"/>
  </r>
  <r>
    <s v="1063-1"/>
    <x v="0"/>
    <n v="6.4432989690721648E-4"/>
    <n v="0.11533505154639148"/>
    <n v="16"/>
    <n v="1011.92"/>
    <n v="16190.72"/>
    <n v="1.961507976761995E-3"/>
    <n v="0.61339689284760812"/>
    <x v="0"/>
  </r>
  <r>
    <s v="0516-3"/>
    <x v="1"/>
    <n v="6.4432989690721648E-4"/>
    <n v="0.1159793814432987"/>
    <n v="14"/>
    <n v="1156.04"/>
    <n v="16184.56"/>
    <n v="1.9607616919064203E-3"/>
    <n v="0.61535765453951452"/>
    <x v="0"/>
  </r>
  <r>
    <s v="1665-1"/>
    <x v="0"/>
    <n v="6.4432989690721648E-4"/>
    <n v="0.11662371134020591"/>
    <n v="33"/>
    <n v="485.9"/>
    <n v="16034.699999999999"/>
    <n v="1.9426061320920603E-3"/>
    <n v="0.61730026067160659"/>
    <x v="0"/>
  </r>
  <r>
    <s v="1408-4"/>
    <x v="4"/>
    <n v="6.4432989690721648E-4"/>
    <n v="0.11726804123711312"/>
    <n v="131"/>
    <n v="122.34"/>
    <n v="16026.54"/>
    <n v="1.9416175469587015E-3"/>
    <n v="0.61924187821856524"/>
    <x v="0"/>
  </r>
  <r>
    <s v="0495-3"/>
    <x v="1"/>
    <n v="6.4432989690721648E-4"/>
    <n v="0.11791237113402034"/>
    <n v="222"/>
    <n v="71.83"/>
    <n v="15946.26"/>
    <n v="1.9318916138084492E-3"/>
    <n v="0.62117376983237371"/>
    <x v="0"/>
  </r>
  <r>
    <s v="0479-8"/>
    <x v="5"/>
    <n v="6.4432989690721648E-4"/>
    <n v="0.11855670103092755"/>
    <n v="198"/>
    <n v="80.45"/>
    <n v="15929.1"/>
    <n v="1.9298126774250619E-3"/>
    <n v="0.6231035825097988"/>
    <x v="0"/>
  </r>
  <r>
    <s v="0361-9"/>
    <x v="2"/>
    <n v="6.4432989690721648E-4"/>
    <n v="0.11920103092783477"/>
    <n v="53"/>
    <n v="298.3"/>
    <n v="15809.900000000001"/>
    <n v="1.9153715808691318E-3"/>
    <n v="0.62501895409066799"/>
    <x v="0"/>
  </r>
  <r>
    <s v="0782-1"/>
    <x v="0"/>
    <n v="6.4432989690721648E-4"/>
    <n v="0.11984536082474198"/>
    <n v="30"/>
    <n v="523.89"/>
    <n v="15716.699999999999"/>
    <n v="1.9040803879243943E-3"/>
    <n v="0.62692303447859243"/>
    <x v="0"/>
  </r>
  <r>
    <s v="0629-1"/>
    <x v="0"/>
    <n v="6.4432989690721648E-4"/>
    <n v="0.1204896907216492"/>
    <n v="28"/>
    <n v="560.55999999999995"/>
    <n v="15695.679999999998"/>
    <n v="1.9015338120048836E-3"/>
    <n v="0.6288245682905973"/>
    <x v="0"/>
  </r>
  <r>
    <s v="0164-7"/>
    <x v="3"/>
    <n v="6.4432989690721648E-4"/>
    <n v="0.12113402061855641"/>
    <n v="149"/>
    <n v="104.69"/>
    <n v="15598.81"/>
    <n v="1.8897979980504126E-3"/>
    <n v="0.63071436628864774"/>
    <x v="0"/>
  </r>
  <r>
    <s v="1386-9"/>
    <x v="2"/>
    <n v="6.4432989690721648E-4"/>
    <n v="0.12177835051546362"/>
    <n v="185"/>
    <n v="83.56"/>
    <n v="15458.6"/>
    <n v="1.8728115370763609E-3"/>
    <n v="0.63258717782572416"/>
    <x v="0"/>
  </r>
  <r>
    <s v="1740-3"/>
    <x v="1"/>
    <n v="6.4432989690721648E-4"/>
    <n v="0.12242268041237084"/>
    <n v="123"/>
    <n v="125.31"/>
    <n v="15413.130000000001"/>
    <n v="1.8673028402609404E-3"/>
    <n v="0.63445448066598509"/>
    <x v="0"/>
  </r>
  <r>
    <s v="0766-1"/>
    <x v="0"/>
    <n v="6.4432989690721648E-4"/>
    <n v="0.12306701030927805"/>
    <n v="16"/>
    <n v="958.15"/>
    <n v="15330.4"/>
    <n v="1.8572800892704025E-3"/>
    <n v="0.63631176075525553"/>
    <x v="0"/>
  </r>
  <r>
    <s v="1097-1"/>
    <x v="0"/>
    <n v="6.4432989690721648E-4"/>
    <n v="0.12371134020618527"/>
    <n v="14"/>
    <n v="1094.6300000000001"/>
    <n v="15324.820000000002"/>
    <n v="1.8566040714953851E-3"/>
    <n v="0.63816836482675088"/>
    <x v="0"/>
  </r>
  <r>
    <s v="1155-6"/>
    <x v="7"/>
    <n v="6.4432989690721648E-4"/>
    <n v="0.12435567010309248"/>
    <n v="178"/>
    <n v="86.09"/>
    <n v="15324.02"/>
    <n v="1.8565071513842713E-3"/>
    <n v="0.64002487197813518"/>
    <x v="0"/>
  </r>
  <r>
    <s v="0999-4"/>
    <x v="4"/>
    <n v="6.4432989690721648E-4"/>
    <n v="0.12499999999999969"/>
    <n v="70"/>
    <n v="218.04"/>
    <n v="15262.8"/>
    <n v="1.8490903398813011E-3"/>
    <n v="0.64187396231801652"/>
    <x v="0"/>
  </r>
  <r>
    <s v="1446-9"/>
    <x v="2"/>
    <n v="6.4432989690721648E-4"/>
    <n v="0.12564432989690691"/>
    <n v="42"/>
    <n v="357.83"/>
    <n v="15028.859999999999"/>
    <n v="1.8207484763888991E-3"/>
    <n v="0.64369471079440543"/>
    <x v="0"/>
  </r>
  <r>
    <s v="1498-9"/>
    <x v="2"/>
    <n v="6.4432989690721648E-4"/>
    <n v="0.12628865979381412"/>
    <n v="67"/>
    <n v="224.24"/>
    <n v="15024.08"/>
    <n v="1.8201693787249953E-3"/>
    <n v="0.64551488017313041"/>
    <x v="0"/>
  </r>
  <r>
    <s v="0662-8"/>
    <x v="5"/>
    <n v="6.4432989690721648E-4"/>
    <n v="0.12693298969072134"/>
    <n v="357"/>
    <n v="41.76"/>
    <n v="14908.32"/>
    <n v="1.8061450386468536E-3"/>
    <n v="0.64732102521177726"/>
    <x v="1"/>
  </r>
  <r>
    <s v="1517-8"/>
    <x v="5"/>
    <n v="6.4432989690721648E-4"/>
    <n v="0.12757731958762855"/>
    <n v="330"/>
    <n v="44.87"/>
    <n v="14807.099999999999"/>
    <n v="1.7938822215882021E-3"/>
    <n v="0.64911490743336542"/>
    <x v="1"/>
  </r>
  <r>
    <s v="1308-1"/>
    <x v="0"/>
    <n v="6.4432989690721648E-4"/>
    <n v="0.12822164948453577"/>
    <n v="18"/>
    <n v="820.89"/>
    <n v="14776.02"/>
    <n v="1.790116875271438E-3"/>
    <n v="0.65090502430863684"/>
    <x v="1"/>
  </r>
  <r>
    <s v="1575-9"/>
    <x v="2"/>
    <n v="6.4432989690721648E-4"/>
    <n v="0.12886597938144298"/>
    <n v="110"/>
    <n v="132.9"/>
    <n v="14619"/>
    <n v="1.7710938804626111E-3"/>
    <n v="0.65267611818909943"/>
    <x v="1"/>
  </r>
  <r>
    <s v="1676-9"/>
    <x v="2"/>
    <n v="6.4432989690721648E-4"/>
    <n v="0.12951030927835019"/>
    <n v="489"/>
    <n v="29.74"/>
    <n v="14542.859999999999"/>
    <n v="1.7618695088873716E-3"/>
    <n v="0.65443798769798678"/>
    <x v="1"/>
  </r>
  <r>
    <s v="0029-9"/>
    <x v="2"/>
    <n v="6.4432989690721648E-4"/>
    <n v="0.13015463917525741"/>
    <n v="43"/>
    <n v="338.15"/>
    <n v="14540.449999999999"/>
    <n v="1.7615775370526418E-3"/>
    <n v="0.65619956523503942"/>
    <x v="1"/>
  </r>
  <r>
    <s v="1607-4"/>
    <x v="4"/>
    <n v="6.4432989690721648E-4"/>
    <n v="0.13079896907216462"/>
    <n v="38"/>
    <n v="380.2"/>
    <n v="14447.6"/>
    <n v="1.750328746656517E-3"/>
    <n v="0.6579498939816959"/>
    <x v="1"/>
  </r>
  <r>
    <s v="0979-4"/>
    <x v="4"/>
    <n v="6.4432989690721648E-4"/>
    <n v="0.13144329896907184"/>
    <n v="49"/>
    <n v="293.75"/>
    <n v="14393.75"/>
    <n v="1.743804811677181E-3"/>
    <n v="0.65969369879337303"/>
    <x v="1"/>
  </r>
  <r>
    <s v="0358-8"/>
    <x v="5"/>
    <n v="6.4432989690721648E-4"/>
    <n v="0.13208762886597905"/>
    <n v="319"/>
    <n v="44.84"/>
    <n v="14303.960000000001"/>
    <n v="1.7329267407060656E-3"/>
    <n v="0.66142662553407905"/>
    <x v="1"/>
  </r>
  <r>
    <s v="0764-8"/>
    <x v="5"/>
    <n v="6.4432989690721648E-4"/>
    <n v="0.13273195876288627"/>
    <n v="1077"/>
    <n v="13.28"/>
    <n v="14302.56"/>
    <n v="1.7327571305116166E-3"/>
    <n v="0.66315938266459062"/>
    <x v="1"/>
  </r>
  <r>
    <s v="1820-1"/>
    <x v="0"/>
    <n v="6.4432989690721648E-4"/>
    <n v="0.13337628865979348"/>
    <n v="19"/>
    <n v="748.5"/>
    <n v="14221.5"/>
    <n v="1.7229367002530285E-3"/>
    <n v="0.66488231936484365"/>
    <x v="1"/>
  </r>
  <r>
    <s v="0284-1"/>
    <x v="0"/>
    <n v="6.4432989690721648E-4"/>
    <n v="0.13402061855670069"/>
    <n v="15"/>
    <n v="947.59"/>
    <n v="14213.85"/>
    <n v="1.7220099016905044E-3"/>
    <n v="0.66660432926653412"/>
    <x v="1"/>
  </r>
  <r>
    <s v="0813-8"/>
    <x v="5"/>
    <n v="6.4432989690721648E-4"/>
    <n v="0.13466494845360791"/>
    <n v="245"/>
    <n v="57.93"/>
    <n v="14192.85"/>
    <n v="1.7194657487737718E-3"/>
    <n v="0.66832379501530792"/>
    <x v="1"/>
  </r>
  <r>
    <s v="0197-6"/>
    <x v="7"/>
    <n v="6.4432989690721648E-4"/>
    <n v="0.13530927835051512"/>
    <n v="275"/>
    <n v="51.38"/>
    <n v="14129.5"/>
    <n v="1.7117908874749615E-3"/>
    <n v="0.67003558590278289"/>
    <x v="1"/>
  </r>
  <r>
    <s v="0922-9"/>
    <x v="2"/>
    <n v="6.4432989690721648E-4"/>
    <n v="0.13595360824742234"/>
    <n v="65"/>
    <n v="216.66"/>
    <n v="14082.9"/>
    <n v="1.706145291002593E-3"/>
    <n v="0.67174173119378544"/>
    <x v="1"/>
  </r>
  <r>
    <s v="1748-9"/>
    <x v="2"/>
    <n v="6.4432989690721648E-4"/>
    <n v="0.13659793814432955"/>
    <n v="133"/>
    <n v="105.47"/>
    <n v="14027.51"/>
    <n v="1.6994347848093634E-3"/>
    <n v="0.67344116597859482"/>
    <x v="1"/>
  </r>
  <r>
    <s v="0513-3"/>
    <x v="1"/>
    <n v="6.4432989690721648E-4"/>
    <n v="0.13724226804123676"/>
    <n v="49"/>
    <n v="285.88"/>
    <n v="14008.119999999999"/>
    <n v="1.6970856836162466E-3"/>
    <n v="0.67513825166221109"/>
    <x v="1"/>
  </r>
  <r>
    <s v="1436-7"/>
    <x v="3"/>
    <n v="6.4432989690721648E-4"/>
    <n v="0.13788659793814398"/>
    <n v="138"/>
    <n v="100.63"/>
    <n v="13886.939999999999"/>
    <n v="1.6824047097853101E-3"/>
    <n v="0.6768206563719964"/>
    <x v="1"/>
  </r>
  <r>
    <s v="1508-3"/>
    <x v="1"/>
    <n v="6.4432989690721648E-4"/>
    <n v="0.13853092783505119"/>
    <n v="18"/>
    <n v="752.37"/>
    <n v="13542.66"/>
    <n v="1.6406951399675618E-3"/>
    <n v="0.67846135151196396"/>
    <x v="1"/>
  </r>
  <r>
    <s v="1553-8"/>
    <x v="5"/>
    <n v="6.4432989690721648E-4"/>
    <n v="0.13917525773195841"/>
    <n v="368"/>
    <n v="36.340000000000003"/>
    <n v="13373.12"/>
    <n v="1.6201553454198068E-3"/>
    <n v="0.68008150685738378"/>
    <x v="1"/>
  </r>
  <r>
    <s v="0037-1"/>
    <x v="0"/>
    <n v="6.4432989690721648E-4"/>
    <n v="0.13981958762886562"/>
    <n v="15"/>
    <n v="890.28"/>
    <n v="13354.199999999999"/>
    <n v="1.6178631847919693E-3"/>
    <n v="0.68169937004217573"/>
    <x v="1"/>
  </r>
  <r>
    <s v="1651-8"/>
    <x v="5"/>
    <n v="6.4432989690721648E-4"/>
    <n v="0.14046391752577284"/>
    <n v="261"/>
    <n v="50.47"/>
    <n v="13172.67"/>
    <n v="1.5958708000788989E-3"/>
    <n v="0.68329524084225468"/>
    <x v="1"/>
  </r>
  <r>
    <s v="1025-6"/>
    <x v="7"/>
    <n v="6.4432989690721648E-4"/>
    <n v="0.14110824742268005"/>
    <n v="145"/>
    <n v="90.7"/>
    <n v="13151.5"/>
    <n v="1.5933060516385546E-3"/>
    <n v="0.68488854689389322"/>
    <x v="1"/>
  </r>
  <r>
    <s v="1162-3"/>
    <x v="1"/>
    <n v="6.4432989690721648E-4"/>
    <n v="0.14175257731958726"/>
    <n v="10"/>
    <n v="1307.75"/>
    <n v="13077.5"/>
    <n v="1.5843409413605443E-3"/>
    <n v="0.68647288783525373"/>
    <x v="1"/>
  </r>
  <r>
    <s v="0879-7"/>
    <x v="3"/>
    <n v="6.4432989690721648E-4"/>
    <n v="0.14239690721649448"/>
    <n v="140"/>
    <n v="93.38"/>
    <n v="13073.199999999999"/>
    <n v="1.5838199957633084E-3"/>
    <n v="0.68805670783101702"/>
    <x v="1"/>
  </r>
  <r>
    <s v="0051-2"/>
    <x v="6"/>
    <n v="6.4432989690721648E-4"/>
    <n v="0.14304123711340169"/>
    <n v="289"/>
    <n v="45.18"/>
    <n v="13057.02"/>
    <n v="1.5818597865160356E-3"/>
    <n v="0.68963856761753306"/>
    <x v="1"/>
  </r>
  <r>
    <s v="1450-3"/>
    <x v="1"/>
    <n v="6.4432989690721648E-4"/>
    <n v="0.14368556701030891"/>
    <n v="42"/>
    <n v="307.01"/>
    <n v="12894.42"/>
    <n v="1.5621607739321911E-3"/>
    <n v="0.69120072839146529"/>
    <x v="1"/>
  </r>
  <r>
    <s v="0737-1"/>
    <x v="0"/>
    <n v="6.4432989690721648E-4"/>
    <n v="0.14432989690721612"/>
    <n v="13"/>
    <n v="960.28"/>
    <n v="12483.64"/>
    <n v="1.5123947198781222E-3"/>
    <n v="0.69271312311134337"/>
    <x v="1"/>
  </r>
  <r>
    <s v="1519-8"/>
    <x v="5"/>
    <n v="6.4432989690721648E-4"/>
    <n v="0.14497422680412334"/>
    <n v="1106"/>
    <n v="11.23"/>
    <n v="12420.380000000001"/>
    <n v="1.5047307620918125E-3"/>
    <n v="0.69421785387343515"/>
    <x v="1"/>
  </r>
  <r>
    <s v="0835-3"/>
    <x v="1"/>
    <n v="6.4432989690721648E-4"/>
    <n v="0.14561855670103055"/>
    <n v="17"/>
    <n v="728.51"/>
    <n v="12384.67"/>
    <n v="1.5004044906319781E-3"/>
    <n v="0.69571825836406709"/>
    <x v="1"/>
  </r>
  <r>
    <s v="0379-1"/>
    <x v="0"/>
    <n v="6.4432989690721648E-4"/>
    <n v="0.14626288659793776"/>
    <n v="16"/>
    <n v="772.28"/>
    <n v="12356.48"/>
    <n v="1.4969892682166115E-3"/>
    <n v="0.69721524763228371"/>
    <x v="1"/>
  </r>
  <r>
    <s v="0567-9"/>
    <x v="2"/>
    <n v="6.4432989690721648E-4"/>
    <n v="0.14690721649484498"/>
    <n v="170"/>
    <n v="72.67"/>
    <n v="12353.9"/>
    <n v="1.49667670085827E-3"/>
    <n v="0.698711924333142"/>
    <x v="1"/>
  </r>
  <r>
    <s v="1760-9"/>
    <x v="2"/>
    <n v="6.4432989690721648E-4"/>
    <n v="0.14755154639175219"/>
    <n v="23"/>
    <n v="535.5"/>
    <n v="12316.5"/>
    <n v="1.4921456856637082E-3"/>
    <n v="0.70020407001880569"/>
    <x v="1"/>
  </r>
  <r>
    <s v="1028-1"/>
    <x v="0"/>
    <n v="6.4432989690721648E-4"/>
    <n v="0.14819587628865941"/>
    <n v="13"/>
    <n v="945"/>
    <n v="12285"/>
    <n v="1.4883294562886092E-3"/>
    <n v="0.70169239947509432"/>
    <x v="1"/>
  </r>
  <r>
    <s v="0437-1"/>
    <x v="0"/>
    <n v="6.4432989690721648E-4"/>
    <n v="0.14884020618556662"/>
    <n v="22"/>
    <n v="557.22"/>
    <n v="12258.84"/>
    <n v="1.4851601686551937E-3"/>
    <n v="0.70317755964374951"/>
    <x v="1"/>
  </r>
  <r>
    <s v="0364-5"/>
    <x v="8"/>
    <n v="6.4432989690721648E-4"/>
    <n v="0.14948453608247383"/>
    <n v="60"/>
    <n v="203.98"/>
    <n v="12238.8"/>
    <n v="1.4827323198717973E-3"/>
    <n v="0.70466029196362134"/>
    <x v="1"/>
  </r>
  <r>
    <s v="0133-9"/>
    <x v="2"/>
    <n v="6.4432989690721648E-4"/>
    <n v="0.15012886597938105"/>
    <n v="57"/>
    <n v="214.05"/>
    <n v="12200.85"/>
    <n v="1.4781346721008447E-3"/>
    <n v="0.70613842663572224"/>
    <x v="1"/>
  </r>
  <r>
    <s v="1829-1"/>
    <x v="0"/>
    <n v="6.4432989690721648E-4"/>
    <n v="0.15077319587628826"/>
    <n v="19"/>
    <n v="635.49"/>
    <n v="12074.31"/>
    <n v="1.4628043335254469E-3"/>
    <n v="0.70760123096924765"/>
    <x v="1"/>
  </r>
  <r>
    <s v="0997-8"/>
    <x v="5"/>
    <n v="6.4432989690721648E-4"/>
    <n v="0.15141752577319548"/>
    <n v="189"/>
    <n v="63.76"/>
    <n v="12050.64"/>
    <n v="1.4599367097378726E-3"/>
    <n v="0.70906116767898553"/>
    <x v="1"/>
  </r>
  <r>
    <s v="0963-1"/>
    <x v="0"/>
    <n v="6.4432989690721648E-4"/>
    <n v="0.15206185567010269"/>
    <n v="10"/>
    <n v="1202.3"/>
    <n v="12023"/>
    <n v="1.4565881198988968E-3"/>
    <n v="0.71051775579888443"/>
    <x v="1"/>
  </r>
  <r>
    <s v="1108-1"/>
    <x v="0"/>
    <n v="6.4432989690721648E-4"/>
    <n v="0.15270618556700991"/>
    <n v="16"/>
    <n v="751.09"/>
    <n v="12017.44"/>
    <n v="1.4559145251266572E-3"/>
    <n v="0.71197367032401104"/>
    <x v="1"/>
  </r>
  <r>
    <s v="1618-4"/>
    <x v="4"/>
    <n v="6.4432989690721648E-4"/>
    <n v="0.15335051546391712"/>
    <n v="58"/>
    <n v="206.06"/>
    <n v="11951.48"/>
    <n v="1.4479234619653386E-3"/>
    <n v="0.71342159378597636"/>
    <x v="1"/>
  </r>
  <r>
    <s v="0069-1"/>
    <x v="0"/>
    <n v="6.4432989690721648E-4"/>
    <n v="0.15399484536082433"/>
    <n v="15"/>
    <n v="795.51"/>
    <n v="11932.65"/>
    <n v="1.4456422048500018E-3"/>
    <n v="0.71486723599082636"/>
    <x v="1"/>
  </r>
  <r>
    <s v="0583-9"/>
    <x v="2"/>
    <n v="6.4432989690721648E-4"/>
    <n v="0.15463917525773155"/>
    <n v="27"/>
    <n v="439.48"/>
    <n v="11865.960000000001"/>
    <n v="1.4375627020872923E-3"/>
    <n v="0.71630479869291364"/>
    <x v="1"/>
  </r>
  <r>
    <s v="0340-1"/>
    <x v="0"/>
    <n v="6.4432989690721648E-4"/>
    <n v="0.15528350515463876"/>
    <n v="24"/>
    <n v="494.05"/>
    <n v="11857.2"/>
    <n v="1.4365014268705981E-3"/>
    <n v="0.71774130011978421"/>
    <x v="1"/>
  </r>
  <r>
    <s v="0454-4"/>
    <x v="4"/>
    <n v="6.4432989690721648E-4"/>
    <n v="0.15592783505154598"/>
    <n v="63"/>
    <n v="187.48"/>
    <n v="11811.24"/>
    <n v="1.4309333664871203E-3"/>
    <n v="0.71917223348627135"/>
    <x v="1"/>
  </r>
  <r>
    <s v="1235-3"/>
    <x v="1"/>
    <n v="6.4432989690721648E-4"/>
    <n v="0.15657216494845319"/>
    <n v="44"/>
    <n v="266.8"/>
    <n v="11739.2"/>
    <n v="1.4222057104813384E-3"/>
    <n v="0.7205944391967527"/>
    <x v="1"/>
  </r>
  <r>
    <s v="0866-3"/>
    <x v="1"/>
    <n v="6.4432989690721648E-4"/>
    <n v="0.1572164948453604"/>
    <n v="19"/>
    <n v="615.22"/>
    <n v="11689.18"/>
    <n v="1.4161457805339588E-3"/>
    <n v="0.72201058497728665"/>
    <x v="1"/>
  </r>
  <r>
    <s v="1455-3"/>
    <x v="1"/>
    <n v="6.4432989690721648E-4"/>
    <n v="0.15786082474226762"/>
    <n v="64"/>
    <n v="181.81"/>
    <n v="11635.84"/>
    <n v="1.409683632125458E-3"/>
    <n v="0.72342026860941211"/>
    <x v="1"/>
  </r>
  <r>
    <s v="0868-1"/>
    <x v="0"/>
    <n v="6.4432989690721648E-4"/>
    <n v="0.15850515463917483"/>
    <n v="28"/>
    <n v="413.93"/>
    <n v="11590.04"/>
    <n v="1.404134955764203E-3"/>
    <n v="0.7248244035651763"/>
    <x v="1"/>
  </r>
  <r>
    <s v="0326-9"/>
    <x v="2"/>
    <n v="6.4432989690721648E-4"/>
    <n v="0.15914948453608205"/>
    <n v="255"/>
    <n v="45.31"/>
    <n v="11554.050000000001"/>
    <n v="1.3997747622654787E-3"/>
    <n v="0.72622417832744179"/>
    <x v="1"/>
  </r>
  <r>
    <s v="0907-9"/>
    <x v="2"/>
    <n v="6.4432989690721648E-4"/>
    <n v="0.15979381443298926"/>
    <n v="40"/>
    <n v="288.37"/>
    <n v="11534.8"/>
    <n v="1.3974426220918069E-3"/>
    <n v="0.72762162094953364"/>
    <x v="1"/>
  </r>
  <r>
    <s v="1514-1"/>
    <x v="0"/>
    <n v="6.4432989690721648E-4"/>
    <n v="0.16043814432989648"/>
    <n v="21"/>
    <n v="545.62"/>
    <n v="11458.02"/>
    <n v="1.3881407144276769E-3"/>
    <n v="0.72900976166396136"/>
    <x v="1"/>
  </r>
  <r>
    <s v="0347-3"/>
    <x v="1"/>
    <n v="6.4432989690721648E-4"/>
    <n v="0.16108247422680369"/>
    <n v="20"/>
    <n v="569.55999999999995"/>
    <n v="11391.199999999999"/>
    <n v="1.3800454621469111E-3"/>
    <n v="0.73038980712610824"/>
    <x v="1"/>
  </r>
  <r>
    <s v="0316-2"/>
    <x v="6"/>
    <n v="6.4432989690721648E-4"/>
    <n v="0.1617268041237109"/>
    <n v="2623"/>
    <n v="4.33"/>
    <n v="11357.59"/>
    <n v="1.37597360597875E-3"/>
    <n v="0.73176578073208698"/>
    <x v="1"/>
  </r>
  <r>
    <s v="1664-1"/>
    <x v="0"/>
    <n v="6.4432989690721648E-4"/>
    <n v="0.16237113402061812"/>
    <n v="25"/>
    <n v="452.54"/>
    <n v="11313.5"/>
    <n v="1.3706320963550005E-3"/>
    <n v="0.733136412828442"/>
    <x v="1"/>
  </r>
  <r>
    <s v="0009-8"/>
    <x v="5"/>
    <n v="6.4432989690721648E-4"/>
    <n v="0.16301546391752533"/>
    <n v="168"/>
    <n v="67.099999999999994"/>
    <n v="11272.8"/>
    <n v="1.3657012857020946E-3"/>
    <n v="0.73450211411414412"/>
    <x v="1"/>
  </r>
  <r>
    <s v="1843-8"/>
    <x v="5"/>
    <n v="6.4432989690721648E-4"/>
    <n v="0.16365979381443255"/>
    <n v="179"/>
    <n v="62.57"/>
    <n v="11200.03"/>
    <n v="1.3568851900949217E-3"/>
    <n v="0.73585899930423904"/>
    <x v="1"/>
  </r>
  <r>
    <s v="0596-4"/>
    <x v="4"/>
    <n v="6.4432989690721648E-4"/>
    <n v="0.16430412371133976"/>
    <n v="71"/>
    <n v="157.49"/>
    <n v="11181.79"/>
    <n v="1.354675411561531E-3"/>
    <n v="0.73721367471580057"/>
    <x v="1"/>
  </r>
  <r>
    <s v="0950-1"/>
    <x v="0"/>
    <n v="6.4432989690721648E-4"/>
    <n v="0.16494845360824698"/>
    <n v="11"/>
    <n v="1011.52"/>
    <n v="11126.72"/>
    <n v="1.3480036734127468E-3"/>
    <n v="0.73856167838921327"/>
    <x v="1"/>
  </r>
  <r>
    <s v="1580-1"/>
    <x v="0"/>
    <n v="6.4432989690721648E-4"/>
    <n v="0.16559278350515419"/>
    <n v="41"/>
    <n v="270.93"/>
    <n v="11108.130000000001"/>
    <n v="1.3457514923307439E-3"/>
    <n v="0.73990742988154401"/>
    <x v="1"/>
  </r>
  <r>
    <s v="0478-9"/>
    <x v="2"/>
    <n v="6.4432989690721648E-4"/>
    <n v="0.1662371134020614"/>
    <n v="78"/>
    <n v="139.63"/>
    <n v="10891.14"/>
    <n v="1.3194631236925619E-3"/>
    <n v="0.74122689300523659"/>
    <x v="1"/>
  </r>
  <r>
    <s v="1613-3"/>
    <x v="1"/>
    <n v="6.4432989690721648E-4"/>
    <n v="0.16688144329896862"/>
    <n v="11"/>
    <n v="989.99"/>
    <n v="10889.89"/>
    <n v="1.3193116860189468E-3"/>
    <n v="0.74254620469125554"/>
    <x v="1"/>
  </r>
  <r>
    <s v="0359-2"/>
    <x v="6"/>
    <n v="6.4432989690721648E-4"/>
    <n v="0.16752577319587583"/>
    <n v="285"/>
    <n v="37.51"/>
    <n v="10690.349999999999"/>
    <n v="1.2951373873044307E-3"/>
    <n v="0.74384134207856001"/>
    <x v="1"/>
  </r>
  <r>
    <s v="1403-1"/>
    <x v="0"/>
    <n v="6.4432989690721648E-4"/>
    <n v="0.16817010309278305"/>
    <n v="10"/>
    <n v="1064.99"/>
    <n v="10649.9"/>
    <n v="1.2902368641862481E-3"/>
    <n v="0.74513157894274629"/>
    <x v="1"/>
  </r>
  <r>
    <s v="0853-9"/>
    <x v="2"/>
    <n v="6.4432989690721648E-4"/>
    <n v="0.16881443298969026"/>
    <n v="540"/>
    <n v="19.63"/>
    <n v="10600.199999999999"/>
    <n v="1.284215702283314E-3"/>
    <n v="0.74641579464502961"/>
    <x v="1"/>
  </r>
  <r>
    <s v="1622-1"/>
    <x v="0"/>
    <n v="6.4432989690721648E-4"/>
    <n v="0.16945876288659747"/>
    <n v="10"/>
    <n v="1057.3900000000001"/>
    <n v="10573.900000000001"/>
    <n v="1.2810294536304539E-3"/>
    <n v="0.74769682409866001"/>
    <x v="1"/>
  </r>
  <r>
    <s v="1264-4"/>
    <x v="4"/>
    <n v="6.4432989690721648E-4"/>
    <n v="0.17010309278350469"/>
    <n v="73"/>
    <n v="144.56"/>
    <n v="10552.880000000001"/>
    <n v="1.2784828777109435E-3"/>
    <n v="0.74897530697637094"/>
    <x v="1"/>
  </r>
  <r>
    <s v="0685-1"/>
    <x v="0"/>
    <n v="6.4432989690721648E-4"/>
    <n v="0.1707474226804119"/>
    <n v="14"/>
    <n v="735.85"/>
    <n v="10301.9"/>
    <n v="1.248076615851821E-3"/>
    <n v="0.75022338359222274"/>
    <x v="1"/>
  </r>
  <r>
    <s v="0153-1"/>
    <x v="0"/>
    <n v="6.4432989690721648E-4"/>
    <n v="0.17139175257731912"/>
    <n v="13"/>
    <n v="791.67"/>
    <n v="10291.709999999999"/>
    <n v="1.2468420959365113E-3"/>
    <n v="0.75147022568815924"/>
    <x v="1"/>
  </r>
  <r>
    <s v="1677-8"/>
    <x v="5"/>
    <n v="6.4432989690721648E-4"/>
    <n v="0.17203608247422633"/>
    <n v="182"/>
    <n v="56.08"/>
    <n v="10206.56"/>
    <n v="1.2365261616098548E-3"/>
    <n v="0.7527067518497691"/>
    <x v="1"/>
  </r>
  <r>
    <s v="0263-4"/>
    <x v="4"/>
    <n v="6.4432989690721648E-4"/>
    <n v="0.17268041237113355"/>
    <n v="245"/>
    <n v="41.44"/>
    <n v="10152.799999999999"/>
    <n v="1.230013130143019E-3"/>
    <n v="0.75393676497991213"/>
    <x v="1"/>
  </r>
  <r>
    <s v="1012-3"/>
    <x v="1"/>
    <n v="6.4432989690721648E-4"/>
    <n v="0.17332474226804076"/>
    <n v="23"/>
    <n v="438.58"/>
    <n v="10087.34"/>
    <n v="1.2220826420511468E-3"/>
    <n v="0.75515884762196328"/>
    <x v="1"/>
  </r>
  <r>
    <s v="0056-1"/>
    <x v="0"/>
    <n v="6.4432989690721648E-4"/>
    <n v="0.17396907216494797"/>
    <n v="11"/>
    <n v="910.92"/>
    <n v="10020.119999999999"/>
    <n v="1.2139389297148244E-3"/>
    <n v="0.75637278655167806"/>
    <x v="1"/>
  </r>
  <r>
    <s v="0467-3"/>
    <x v="1"/>
    <n v="6.4432989690721648E-4"/>
    <n v="0.17461340206185519"/>
    <n v="27"/>
    <n v="371.11"/>
    <n v="10019.970000000001"/>
    <n v="1.2139207571939907E-3"/>
    <n v="0.75758670730887201"/>
    <x v="1"/>
  </r>
  <r>
    <s v="1379-3"/>
    <x v="1"/>
    <n v="6.4432989690721648E-4"/>
    <n v="0.1752577319587624"/>
    <n v="23"/>
    <n v="428.4"/>
    <n v="9853.1999999999989"/>
    <n v="1.1937165485309664E-3"/>
    <n v="0.75878042385740296"/>
    <x v="1"/>
  </r>
  <r>
    <s v="1609-3"/>
    <x v="1"/>
    <n v="6.4432989690721648E-4"/>
    <n v="0.17590206185566962"/>
    <n v="13"/>
    <n v="754.82"/>
    <n v="9812.66"/>
    <n v="1.1888051219002835E-3"/>
    <n v="0.7599692289793033"/>
    <x v="1"/>
  </r>
  <r>
    <s v="1161-4"/>
    <x v="4"/>
    <n v="6.4432989690721648E-4"/>
    <n v="0.17654639175257683"/>
    <n v="60"/>
    <n v="162.99"/>
    <n v="9779.4000000000015"/>
    <n v="1.1847756682807347E-3"/>
    <n v="0.76115400464758398"/>
    <x v="1"/>
  </r>
  <r>
    <s v="0426-4"/>
    <x v="4"/>
    <n v="6.4432989690721648E-4"/>
    <n v="0.17719072164948405"/>
    <n v="101"/>
    <n v="95.97"/>
    <n v="9692.9699999999993"/>
    <n v="1.1743046617762962E-3"/>
    <n v="0.76232830930936024"/>
    <x v="1"/>
  </r>
  <r>
    <s v="0600-1"/>
    <x v="0"/>
    <n v="6.4432989690721648E-4"/>
    <n v="0.17783505154639126"/>
    <n v="17"/>
    <n v="569.85"/>
    <n v="9687.4500000000007"/>
    <n v="1.1736359130096123E-3"/>
    <n v="0.7635019452223698"/>
    <x v="1"/>
  </r>
  <r>
    <s v="1529-8"/>
    <x v="5"/>
    <n v="6.4432989690721648E-4"/>
    <n v="0.17847938144329847"/>
    <n v="826"/>
    <n v="11.71"/>
    <n v="9672.4600000000009"/>
    <n v="1.1718198724276208E-3"/>
    <n v="0.76467376509479745"/>
    <x v="1"/>
  </r>
  <r>
    <s v="0166-9"/>
    <x v="2"/>
    <n v="6.4432989690721648E-4"/>
    <n v="0.17912371134020569"/>
    <n v="141"/>
    <n v="68.290000000000006"/>
    <n v="9628.8900000000012"/>
    <n v="1.1665413608760952E-3"/>
    <n v="0.76584030645567358"/>
    <x v="1"/>
  </r>
  <r>
    <s v="1206-3"/>
    <x v="1"/>
    <n v="6.4432989690721648E-4"/>
    <n v="0.1797680412371129"/>
    <n v="23"/>
    <n v="414.38"/>
    <n v="9530.74"/>
    <n v="1.154650474743842E-3"/>
    <n v="0.76699495693041742"/>
    <x v="1"/>
  </r>
  <r>
    <s v="1552-8"/>
    <x v="5"/>
    <n v="6.4432989690721648E-4"/>
    <n v="0.18041237113402012"/>
    <n v="215"/>
    <n v="44.31"/>
    <n v="9526.65"/>
    <n v="1.1541549706757736E-3"/>
    <n v="0.76814911190109314"/>
    <x v="1"/>
  </r>
  <r>
    <s v="0734-1"/>
    <x v="0"/>
    <n v="6.4432989690721648E-4"/>
    <n v="0.18105670103092733"/>
    <n v="25"/>
    <n v="380.09"/>
    <n v="9502.25"/>
    <n v="1.1511989072868079E-3"/>
    <n v="0.76930031080837991"/>
    <x v="1"/>
  </r>
  <r>
    <s v="1785-3"/>
    <x v="1"/>
    <n v="6.4432989690721648E-4"/>
    <n v="0.18170103092783454"/>
    <n v="12"/>
    <n v="785.11"/>
    <n v="9421.32"/>
    <n v="1.1413942265462759E-3"/>
    <n v="0.77044170503492615"/>
    <x v="1"/>
  </r>
  <r>
    <s v="0334-8"/>
    <x v="5"/>
    <n v="6.4432989690721648E-4"/>
    <n v="0.18234536082474176"/>
    <n v="384"/>
    <n v="24.52"/>
    <n v="9415.68"/>
    <n v="1.1407109397629249E-3"/>
    <n v="0.77158241597468913"/>
    <x v="1"/>
  </r>
  <r>
    <s v="0331-3"/>
    <x v="1"/>
    <n v="6.4432989690721648E-4"/>
    <n v="0.18298969072164897"/>
    <n v="54"/>
    <n v="173.82"/>
    <n v="9386.2799999999988"/>
    <n v="1.137149125679499E-3"/>
    <n v="0.77271956510036865"/>
    <x v="1"/>
  </r>
  <r>
    <s v="1630-1"/>
    <x v="0"/>
    <n v="6.4432989690721648E-4"/>
    <n v="0.18363402061855619"/>
    <n v="10"/>
    <n v="923.06"/>
    <n v="9230.5999999999985"/>
    <n v="1.1182884720567874E-3"/>
    <n v="0.7738378535724254"/>
    <x v="1"/>
  </r>
  <r>
    <s v="0666-1"/>
    <x v="0"/>
    <n v="6.4432989690721648E-4"/>
    <n v="0.1842783505154634"/>
    <n v="10"/>
    <n v="916.11"/>
    <n v="9161.1"/>
    <n v="1.1098685374037914E-3"/>
    <n v="0.77494772210982921"/>
    <x v="1"/>
  </r>
  <r>
    <s v="0656-9"/>
    <x v="2"/>
    <n v="6.4432989690721648E-4"/>
    <n v="0.18492268041237062"/>
    <n v="278"/>
    <n v="32.909999999999997"/>
    <n v="9148.98"/>
    <n v="1.10840019772042E-3"/>
    <n v="0.77605612230754961"/>
    <x v="1"/>
  </r>
  <r>
    <s v="1278-9"/>
    <x v="2"/>
    <n v="6.4432989690721648E-4"/>
    <n v="0.18556701030927783"/>
    <n v="34"/>
    <n v="262.11"/>
    <n v="8911.74"/>
    <n v="1.0796585387696743E-3"/>
    <n v="0.77713578084631929"/>
    <x v="1"/>
  </r>
  <r>
    <s v="0201-1"/>
    <x v="0"/>
    <n v="6.4432989690721648E-4"/>
    <n v="0.18621134020618504"/>
    <n v="21"/>
    <n v="419.29"/>
    <n v="8805.09"/>
    <n v="1.0667378764568393E-3"/>
    <n v="0.77820251872277613"/>
    <x v="1"/>
  </r>
  <r>
    <s v="1126-2"/>
    <x v="6"/>
    <n v="6.4432989690721648E-4"/>
    <n v="0.18685567010309226"/>
    <n v="523"/>
    <n v="16.82"/>
    <n v="8796.86"/>
    <n v="1.0657408108137578E-3"/>
    <n v="0.77926825953358991"/>
    <x v="1"/>
  </r>
  <r>
    <s v="0274-5"/>
    <x v="8"/>
    <n v="6.4432989690721648E-4"/>
    <n v="0.18749999999999947"/>
    <n v="41"/>
    <n v="205.31"/>
    <n v="8417.7100000000009"/>
    <n v="1.019806735652844E-3"/>
    <n v="0.78028806626924274"/>
    <x v="1"/>
  </r>
  <r>
    <s v="1713-9"/>
    <x v="2"/>
    <n v="6.4432989690721648E-4"/>
    <n v="0.18814432989690669"/>
    <n v="146"/>
    <n v="57.5"/>
    <n v="8395"/>
    <n v="1.017055415998606E-3"/>
    <n v="0.78130512168524135"/>
    <x v="1"/>
  </r>
  <r>
    <s v="0798-9"/>
    <x v="2"/>
    <n v="6.4432989690721648E-4"/>
    <n v="0.1887886597938139"/>
    <n v="41"/>
    <n v="203.42"/>
    <n v="8340.2199999999993"/>
    <n v="1.0104188113901004E-3"/>
    <n v="0.78231554049663143"/>
    <x v="1"/>
  </r>
  <r>
    <s v="1170-6"/>
    <x v="7"/>
    <n v="6.4432989690721648E-4"/>
    <n v="0.18943298969072112"/>
    <n v="291"/>
    <n v="28.54"/>
    <n v="8305.14"/>
    <n v="1.0061688645177679E-3"/>
    <n v="0.7833217093611492"/>
    <x v="1"/>
  </r>
  <r>
    <s v="1187-8"/>
    <x v="5"/>
    <n v="6.4432989690721648E-4"/>
    <n v="0.19007731958762833"/>
    <n v="246"/>
    <n v="33.380000000000003"/>
    <n v="8211.4800000000014"/>
    <n v="9.9482194250914051E-4"/>
    <n v="0.7843165313036583"/>
    <x v="1"/>
  </r>
  <r>
    <s v="0487-9"/>
    <x v="2"/>
    <n v="6.4432989690721648E-4"/>
    <n v="0.19072164948453554"/>
    <n v="25"/>
    <n v="327.33"/>
    <n v="8183.25"/>
    <n v="9.914018740882183E-4"/>
    <n v="0.7853079331777465"/>
    <x v="1"/>
  </r>
  <r>
    <s v="0932-1"/>
    <x v="0"/>
    <n v="6.4432989690721648E-4"/>
    <n v="0.19136597938144276"/>
    <n v="25"/>
    <n v="324.7"/>
    <n v="8117.5"/>
    <n v="9.8343625245606719E-4"/>
    <n v="0.78629136943020261"/>
    <x v="1"/>
  </r>
  <r>
    <s v="0186-2"/>
    <x v="6"/>
    <n v="6.4432989690721648E-4"/>
    <n v="0.19201030927834997"/>
    <n v="153"/>
    <n v="52.6"/>
    <n v="8047.8"/>
    <n v="9.7499208777529261E-4"/>
    <n v="0.78726636151797791"/>
    <x v="1"/>
  </r>
  <r>
    <s v="0206-8"/>
    <x v="5"/>
    <n v="6.4432989690721648E-4"/>
    <n v="0.19265463917525719"/>
    <n v="508"/>
    <n v="15.83"/>
    <n v="8041.64"/>
    <n v="9.7424580291971769E-4"/>
    <n v="0.78824060732089762"/>
    <x v="1"/>
  </r>
  <r>
    <s v="1200-4"/>
    <x v="4"/>
    <n v="6.4432989690721648E-4"/>
    <n v="0.1932989690721644"/>
    <n v="21"/>
    <n v="382.04"/>
    <n v="8022.84"/>
    <n v="9.7196818030854742E-4"/>
    <n v="0.78921257550120616"/>
    <x v="1"/>
  </r>
  <r>
    <s v="1288-8"/>
    <x v="5"/>
    <n v="6.4432989690721648E-4"/>
    <n v="0.19394329896907161"/>
    <n v="119"/>
    <n v="67.290000000000006"/>
    <n v="8007.5100000000011"/>
    <n v="9.7011094867933273E-4"/>
    <n v="0.79018268644988554"/>
    <x v="1"/>
  </r>
  <r>
    <s v="0565-8"/>
    <x v="5"/>
    <n v="6.4432989690721648E-4"/>
    <n v="0.19458762886597883"/>
    <n v="235"/>
    <n v="33.46"/>
    <n v="7863.1"/>
    <n v="9.5261565712193431E-4"/>
    <n v="0.79113530210700744"/>
    <x v="1"/>
  </r>
  <r>
    <s v="1222-5"/>
    <x v="8"/>
    <n v="6.4432989690721648E-4"/>
    <n v="0.19523195876288604"/>
    <n v="45"/>
    <n v="174.53"/>
    <n v="7853.85"/>
    <n v="9.5149501833718302E-4"/>
    <n v="0.79208679712534458"/>
    <x v="1"/>
  </r>
  <r>
    <s v="1617-7"/>
    <x v="3"/>
    <n v="6.4432989690721648E-4"/>
    <n v="0.19587628865979326"/>
    <n v="143"/>
    <n v="53.96"/>
    <n v="7716.28"/>
    <n v="9.3482839372980621E-4"/>
    <n v="0.7930216255190744"/>
    <x v="1"/>
  </r>
  <r>
    <s v="1480-8"/>
    <x v="5"/>
    <n v="6.4432989690721648E-4"/>
    <n v="0.19652061855670047"/>
    <n v="895"/>
    <n v="8.61"/>
    <n v="7705.95"/>
    <n v="9.3357691279505155E-4"/>
    <n v="0.79395520243186946"/>
    <x v="1"/>
  </r>
  <r>
    <s v="0245-6"/>
    <x v="7"/>
    <n v="6.4432989690721648E-4"/>
    <n v="0.19716494845360769"/>
    <n v="96"/>
    <n v="79.89"/>
    <n v="7669.4400000000005"/>
    <n v="9.291537212241035E-4"/>
    <n v="0.79488435615309361"/>
    <x v="1"/>
  </r>
  <r>
    <s v="0622-5"/>
    <x v="8"/>
    <n v="6.4432989690721648E-4"/>
    <n v="0.1978092783505149"/>
    <n v="27"/>
    <n v="283.63"/>
    <n v="7658.01"/>
    <n v="9.2776897513656756E-4"/>
    <n v="0.79581212512823019"/>
    <x v="1"/>
  </r>
  <r>
    <s v="0526-8"/>
    <x v="5"/>
    <n v="6.4432989690721648E-4"/>
    <n v="0.19845360824742211"/>
    <n v="148"/>
    <n v="51.63"/>
    <n v="7641.2400000000007"/>
    <n v="9.257372873073482E-4"/>
    <n v="0.79673786241553757"/>
    <x v="1"/>
  </r>
  <r>
    <s v="0689-7"/>
    <x v="3"/>
    <n v="6.4432989690721648E-4"/>
    <n v="0.19909793814432933"/>
    <n v="70"/>
    <n v="108.94"/>
    <n v="7625.8"/>
    <n v="9.2386672916285517E-4"/>
    <n v="0.79766172914470046"/>
    <x v="1"/>
  </r>
  <r>
    <s v="1656-9"/>
    <x v="2"/>
    <n v="6.4432989690721648E-4"/>
    <n v="0.19974226804123654"/>
    <n v="18"/>
    <n v="418.86"/>
    <n v="7539.4800000000005"/>
    <n v="9.1340904917369507E-4"/>
    <n v="0.79857513819387416"/>
    <x v="1"/>
  </r>
  <r>
    <s v="0156-1"/>
    <x v="0"/>
    <n v="6.4432989690721648E-4"/>
    <n v="0.20038659793814376"/>
    <n v="12"/>
    <n v="613.39"/>
    <n v="7360.68"/>
    <n v="8.9174740433979973E-4"/>
    <n v="0.79946688559821399"/>
    <x v="1"/>
  </r>
  <r>
    <s v="1752-1"/>
    <x v="0"/>
    <n v="6.4432989690721648E-4"/>
    <n v="0.20103092783505097"/>
    <n v="22"/>
    <n v="332.82"/>
    <n v="7322.04"/>
    <n v="8.8706616297301165E-4"/>
    <n v="0.80035395176118695"/>
    <x v="1"/>
  </r>
  <r>
    <s v="0824-7"/>
    <x v="3"/>
    <n v="6.4432989690721648E-4"/>
    <n v="0.20167525773195819"/>
    <n v="294"/>
    <n v="24.74"/>
    <n v="7273.5599999999995"/>
    <n v="8.8119280423952593E-4"/>
    <n v="0.80123514456542644"/>
    <x v="1"/>
  </r>
  <r>
    <s v="1576-3"/>
    <x v="1"/>
    <n v="6.4432989690721648E-4"/>
    <n v="0.2023195876288654"/>
    <n v="8"/>
    <n v="908.34"/>
    <n v="7266.72"/>
    <n v="8.8036413728950443E-4"/>
    <n v="0.80211550870271597"/>
    <x v="1"/>
  </r>
  <r>
    <s v="0555-9"/>
    <x v="2"/>
    <n v="6.4432989690721648E-4"/>
    <n v="0.20296391752577261"/>
    <n v="24"/>
    <n v="302.45"/>
    <n v="7258.7999999999993"/>
    <n v="8.7940462818947946E-4"/>
    <n v="0.80299491333090545"/>
    <x v="1"/>
  </r>
  <r>
    <s v="0815-9"/>
    <x v="2"/>
    <n v="6.4432989690721648E-4"/>
    <n v="0.20360824742267983"/>
    <n v="71"/>
    <n v="100.97"/>
    <n v="7168.87"/>
    <n v="8.6850959619891917E-4"/>
    <n v="0.80386342292710433"/>
    <x v="1"/>
  </r>
  <r>
    <s v="1730-1"/>
    <x v="0"/>
    <n v="6.4432989690721648E-4"/>
    <n v="0.20425257731958704"/>
    <n v="11"/>
    <n v="644.41"/>
    <n v="7088.5099999999993"/>
    <n v="8.5877397103755544E-4"/>
    <n v="0.80472219689814184"/>
    <x v="1"/>
  </r>
  <r>
    <s v="1541-1"/>
    <x v="0"/>
    <n v="6.4432989690721648E-4"/>
    <n v="0.20489690721649426"/>
    <n v="28"/>
    <n v="252.39"/>
    <n v="7066.92"/>
    <n v="8.5615833953887649E-4"/>
    <n v="0.80557835523768073"/>
    <x v="1"/>
  </r>
  <r>
    <s v="1838-1"/>
    <x v="0"/>
    <n v="6.4432989690721648E-4"/>
    <n v="0.20554123711340147"/>
    <n v="10"/>
    <n v="699"/>
    <n v="6990"/>
    <n v="8.4683947085530142E-4"/>
    <n v="0.80642519470853602"/>
    <x v="1"/>
  </r>
  <r>
    <s v="1536-4"/>
    <x v="4"/>
    <n v="6.4432989690721648E-4"/>
    <n v="0.20618556701030868"/>
    <n v="19"/>
    <n v="366.07"/>
    <n v="6955.33"/>
    <n v="8.4263919553991473E-4"/>
    <n v="0.80726783390407597"/>
    <x v="1"/>
  </r>
  <r>
    <s v="0564-2"/>
    <x v="6"/>
    <n v="6.4432989690721648E-4"/>
    <n v="0.2068298969072159"/>
    <n v="786"/>
    <n v="8.7899999999999991"/>
    <n v="6908.94"/>
    <n v="8.3701904059671332E-4"/>
    <n v="0.80810485294467271"/>
    <x v="1"/>
  </r>
  <r>
    <s v="0155-6"/>
    <x v="7"/>
    <n v="6.4432989690721648E-4"/>
    <n v="0.20747422680412311"/>
    <n v="107"/>
    <n v="62.54"/>
    <n v="6691.78"/>
    <n v="8.1071007643491967E-4"/>
    <n v="0.80891556302110768"/>
    <x v="1"/>
  </r>
  <r>
    <s v="1020-8"/>
    <x v="5"/>
    <n v="6.4432989690721648E-4"/>
    <n v="0.20811855670103033"/>
    <n v="196"/>
    <n v="34.049999999999997"/>
    <n v="6673.7999999999993"/>
    <n v="8.0853179693764091E-4"/>
    <n v="0.8097240948180453"/>
    <x v="1"/>
  </r>
  <r>
    <s v="1038-1"/>
    <x v="0"/>
    <n v="6.4432989690721648E-4"/>
    <n v="0.20876288659793754"/>
    <n v="8"/>
    <n v="817.32"/>
    <n v="6538.56"/>
    <n v="7.9214745215388268E-4"/>
    <n v="0.81051624227019914"/>
    <x v="1"/>
  </r>
  <r>
    <s v="0820-9"/>
    <x v="2"/>
    <n v="6.4432989690721648E-4"/>
    <n v="0.20940721649484476"/>
    <n v="34"/>
    <n v="188.02"/>
    <n v="6392.68"/>
    <n v="7.7447406989231311E-4"/>
    <n v="0.81129071634009142"/>
    <x v="1"/>
  </r>
  <r>
    <s v="1154-4"/>
    <x v="4"/>
    <n v="6.4432989690721648E-4"/>
    <n v="0.21005154639175197"/>
    <n v="30"/>
    <n v="211.32"/>
    <n v="6339.5999999999995"/>
    <n v="7.6804342051992394E-4"/>
    <n v="0.81205875976061137"/>
    <x v="1"/>
  </r>
  <r>
    <s v="0843-1"/>
    <x v="0"/>
    <n v="6.4432989690721648E-4"/>
    <n v="0.21069587628865918"/>
    <n v="6"/>
    <n v="1054.95"/>
    <n v="6329.7000000000007"/>
    <n v="7.66844034144893E-4"/>
    <n v="0.81282560379475621"/>
    <x v="1"/>
  </r>
  <r>
    <s v="1413-7"/>
    <x v="3"/>
    <n v="6.4432989690721648E-4"/>
    <n v="0.2113402061855664"/>
    <n v="155"/>
    <n v="40.799999999999997"/>
    <n v="6324"/>
    <n v="7.6615347835320838E-4"/>
    <n v="0.81359175727310939"/>
    <x v="1"/>
  </r>
  <r>
    <s v="0233-1"/>
    <x v="0"/>
    <n v="6.4432989690721648E-4"/>
    <n v="0.21198453608247361"/>
    <n v="13"/>
    <n v="482.89"/>
    <n v="6277.57"/>
    <n v="7.6052847740445126E-4"/>
    <n v="0.81435228575051388"/>
    <x v="1"/>
  </r>
  <r>
    <s v="1863-7"/>
    <x v="3"/>
    <n v="6.4432989690721648E-4"/>
    <n v="0.21262886597938083"/>
    <n v="106"/>
    <n v="58.9"/>
    <n v="6243.4"/>
    <n v="7.5638877715851049E-4"/>
    <n v="0.81510867452767244"/>
    <x v="1"/>
  </r>
  <r>
    <s v="0215-9"/>
    <x v="2"/>
    <n v="6.4432989690721648E-4"/>
    <n v="0.21327319587628804"/>
    <n v="34"/>
    <n v="182.1"/>
    <n v="6191.4"/>
    <n v="7.500889699361249E-4"/>
    <n v="0.81585876349760855"/>
    <x v="1"/>
  </r>
  <r>
    <s v="1056-5"/>
    <x v="8"/>
    <n v="6.4432989690721648E-4"/>
    <n v="0.21391752577319526"/>
    <n v="38"/>
    <n v="159.38999999999999"/>
    <n v="6056.82"/>
    <n v="7.3378458424403533E-4"/>
    <n v="0.81659254808185255"/>
    <x v="1"/>
  </r>
  <r>
    <s v="1710-9"/>
    <x v="2"/>
    <n v="6.4432989690721648E-4"/>
    <n v="0.21456185567010247"/>
    <n v="16"/>
    <n v="378.21"/>
    <n v="6051.36"/>
    <n v="7.3312310448568477E-4"/>
    <n v="0.81732567118633825"/>
    <x v="1"/>
  </r>
  <r>
    <s v="1449-3"/>
    <x v="1"/>
    <n v="6.4432989690721648E-4"/>
    <n v="0.21520618556700968"/>
    <n v="5"/>
    <n v="1205.1400000000001"/>
    <n v="6025.7000000000007"/>
    <n v="7.3001439192171543E-4"/>
    <n v="0.81805568557825992"/>
    <x v="1"/>
  </r>
  <r>
    <s v="0888-6"/>
    <x v="7"/>
    <n v="6.4432989690721648E-4"/>
    <n v="0.2158505154639169"/>
    <n v="327"/>
    <n v="18.399999999999999"/>
    <n v="6016.7999999999993"/>
    <n v="7.289361556855761E-4"/>
    <n v="0.81878462173394551"/>
    <x v="1"/>
  </r>
  <r>
    <s v="0969-7"/>
    <x v="3"/>
    <n v="6.4432989690721648E-4"/>
    <n v="0.21649484536082411"/>
    <n v="46"/>
    <n v="130.72"/>
    <n v="6013.12"/>
    <n v="7.2849032317445349E-4"/>
    <n v="0.81951311205711996"/>
    <x v="1"/>
  </r>
  <r>
    <s v="0923-1"/>
    <x v="0"/>
    <n v="6.4432989690721648E-4"/>
    <n v="0.21713917525773133"/>
    <n v="10"/>
    <n v="599.46"/>
    <n v="5994.6"/>
    <n v="7.262466226021731E-4"/>
    <n v="0.82023935867972209"/>
    <x v="1"/>
  </r>
  <r>
    <s v="1549-1"/>
    <x v="0"/>
    <n v="6.4432989690721648E-4"/>
    <n v="0.21778350515463854"/>
    <n v="14"/>
    <n v="428.12"/>
    <n v="5993.68"/>
    <n v="7.2613516447439248E-4"/>
    <n v="0.82096549384419648"/>
    <x v="1"/>
  </r>
  <r>
    <s v="1339-4"/>
    <x v="4"/>
    <n v="6.4432989690721648E-4"/>
    <n v="0.21842783505154575"/>
    <n v="30"/>
    <n v="199.64"/>
    <n v="5989.2"/>
    <n v="7.2559241185215606E-4"/>
    <n v="0.82169108625604859"/>
    <x v="1"/>
  </r>
  <r>
    <s v="0908-4"/>
    <x v="4"/>
    <n v="6.4432989690721648E-4"/>
    <n v="0.21907216494845297"/>
    <n v="86"/>
    <n v="69.59"/>
    <n v="5984.7400000000007"/>
    <n v="7.2505208223269777E-4"/>
    <n v="0.82241613833828131"/>
    <x v="1"/>
  </r>
  <r>
    <s v="0556-4"/>
    <x v="4"/>
    <n v="6.4432989690721648E-4"/>
    <n v="0.21971649484536018"/>
    <n v="20"/>
    <n v="295.95999999999998"/>
    <n v="5919.2"/>
    <n v="7.1711190212971391E-4"/>
    <n v="0.82313325024041106"/>
    <x v="1"/>
  </r>
  <r>
    <s v="1147-3"/>
    <x v="1"/>
    <n v="6.4432989690721648E-4"/>
    <n v="0.2203608247422674"/>
    <n v="7"/>
    <n v="815.85"/>
    <n v="5710.95"/>
    <n v="6.9188238570544827E-4"/>
    <n v="0.82382513262611656"/>
    <x v="1"/>
  </r>
  <r>
    <s v="0241-7"/>
    <x v="3"/>
    <n v="6.4432989690721648E-4"/>
    <n v="0.22100515463917461"/>
    <n v="39"/>
    <n v="145.49"/>
    <n v="5674.1100000000006"/>
    <n v="6.8741921458866594E-4"/>
    <n v="0.82451255184070527"/>
    <x v="1"/>
  </r>
  <r>
    <s v="1261-4"/>
    <x v="4"/>
    <n v="6.4432989690721648E-4"/>
    <n v="0.22164948453608183"/>
    <n v="19"/>
    <n v="297.44"/>
    <n v="5651.36"/>
    <n v="6.8466304892887209E-4"/>
    <n v="0.82519721488963416"/>
    <x v="1"/>
  </r>
  <r>
    <s v="0100-2"/>
    <x v="6"/>
    <n v="6.4432989690721648E-4"/>
    <n v="0.22229381443298904"/>
    <n v="106"/>
    <n v="52.21"/>
    <n v="5534.26"/>
    <n v="6.7047636766461526E-4"/>
    <n v="0.82586769125729875"/>
    <x v="1"/>
  </r>
  <r>
    <s v="0858-7"/>
    <x v="3"/>
    <n v="6.4432989690721648E-4"/>
    <n v="0.22293814432989625"/>
    <n v="57"/>
    <n v="97.02"/>
    <n v="5530.1399999999994"/>
    <n v="6.6997722909238003E-4"/>
    <n v="0.8265376684863911"/>
    <x v="1"/>
  </r>
  <r>
    <s v="0580-4"/>
    <x v="4"/>
    <n v="6.4432989690721648E-4"/>
    <n v="0.22358247422680347"/>
    <n v="29"/>
    <n v="189.25"/>
    <n v="5488.25"/>
    <n v="6.6490224977419285E-4"/>
    <n v="0.82720257073616532"/>
    <x v="1"/>
  </r>
  <r>
    <s v="0533-2"/>
    <x v="6"/>
    <n v="6.4432989690721648E-4"/>
    <n v="0.22422680412371068"/>
    <n v="255"/>
    <n v="21.19"/>
    <n v="5403.4500000000007"/>
    <n v="6.5462871799614863E-4"/>
    <n v="0.82785719945416147"/>
    <x v="1"/>
  </r>
  <r>
    <s v="0545-9"/>
    <x v="2"/>
    <n v="6.4432989690721648E-4"/>
    <n v="0.2248711340206179"/>
    <n v="24"/>
    <n v="224.94"/>
    <n v="5398.5599999999995"/>
    <n v="6.5403629381696651E-4"/>
    <n v="0.82851123574797847"/>
    <x v="1"/>
  </r>
  <r>
    <s v="1296-8"/>
    <x v="5"/>
    <n v="6.4432989690721648E-4"/>
    <n v="0.22551546391752511"/>
    <n v="81"/>
    <n v="66.53"/>
    <n v="5388.93"/>
    <n v="6.5286961797943633E-4"/>
    <n v="0.82916410536595786"/>
    <x v="1"/>
  </r>
  <r>
    <s v="1659-4"/>
    <x v="4"/>
    <n v="6.4432989690721648E-4"/>
    <n v="0.22615979381443232"/>
    <n v="12"/>
    <n v="446.59"/>
    <n v="5359.08"/>
    <n v="6.4925328633350912E-4"/>
    <n v="0.82981335865229133"/>
    <x v="1"/>
  </r>
  <r>
    <s v="1866-4"/>
    <x v="4"/>
    <n v="6.4432989690721648E-4"/>
    <n v="0.22680412371133954"/>
    <n v="12"/>
    <n v="430.75"/>
    <n v="5169"/>
    <n v="6.2622506793291179E-4"/>
    <n v="0.83043958372022419"/>
    <x v="1"/>
  </r>
  <r>
    <s v="1044-8"/>
    <x v="5"/>
    <n v="6.4432989690721648E-4"/>
    <n v="0.22744845360824675"/>
    <n v="333"/>
    <n v="15.14"/>
    <n v="5041.62"/>
    <n v="6.107929632408447E-4"/>
    <n v="0.83105037668346504"/>
    <x v="1"/>
  </r>
  <r>
    <s v="0607-4"/>
    <x v="4"/>
    <n v="6.4432989690721648E-4"/>
    <n v="0.22809278350515397"/>
    <n v="193"/>
    <n v="25.98"/>
    <n v="5014.1400000000003"/>
    <n v="6.074637574240918E-4"/>
    <n v="0.83165784044088908"/>
    <x v="1"/>
  </r>
  <r>
    <s v="0077-9"/>
    <x v="2"/>
    <n v="6.4432989690721648E-4"/>
    <n v="0.22873711340206118"/>
    <n v="18"/>
    <n v="276.99"/>
    <n v="4985.82"/>
    <n v="6.0403278549066937E-4"/>
    <n v="0.83226187322637979"/>
    <x v="1"/>
  </r>
  <r>
    <s v="0054-1"/>
    <x v="0"/>
    <n v="6.4432989690721648E-4"/>
    <n v="0.2293814432989684"/>
    <n v="15"/>
    <n v="327.10000000000002"/>
    <n v="4906.5"/>
    <n v="5.944231564737534E-4"/>
    <n v="0.83285629638285352"/>
    <x v="1"/>
  </r>
  <r>
    <s v="1175-8"/>
    <x v="5"/>
    <n v="6.4432989690721648E-4"/>
    <n v="0.23002577319587561"/>
    <n v="115"/>
    <n v="42.45"/>
    <n v="4881.75"/>
    <n v="5.9142469053617567E-4"/>
    <n v="0.83344772107338971"/>
    <x v="1"/>
  </r>
  <r>
    <s v="0986-1"/>
    <x v="0"/>
    <n v="6.4432989690721648E-4"/>
    <n v="0.23067010309278282"/>
    <n v="10"/>
    <n v="486.34"/>
    <n v="4863.3999999999996"/>
    <n v="5.8920158548750681E-4"/>
    <n v="0.83403692265887719"/>
    <x v="1"/>
  </r>
  <r>
    <s v="0671-7"/>
    <x v="3"/>
    <n v="6.4432989690721648E-4"/>
    <n v="0.23131443298969004"/>
    <n v="37"/>
    <n v="130.15"/>
    <n v="4815.55"/>
    <n v="5.8340455134152315E-4"/>
    <n v="0.83462032721021873"/>
    <x v="1"/>
  </r>
  <r>
    <s v="1793-5"/>
    <x v="8"/>
    <n v="6.4432989690721648E-4"/>
    <n v="0.23195876288659725"/>
    <n v="34"/>
    <n v="141.13999999999999"/>
    <n v="4798.7599999999993"/>
    <n v="5.8137044050952588E-4"/>
    <n v="0.83520169765072827"/>
    <x v="1"/>
  </r>
  <r>
    <s v="1460-7"/>
    <x v="3"/>
    <n v="6.4432989690721648E-4"/>
    <n v="0.23260309278350447"/>
    <n v="173"/>
    <n v="27.64"/>
    <n v="4781.72"/>
    <n v="5.7930604214280576E-4"/>
    <n v="0.83578100369287112"/>
    <x v="1"/>
  </r>
  <r>
    <s v="0597-8"/>
    <x v="5"/>
    <n v="6.4432989690721648E-4"/>
    <n v="0.23324742268041168"/>
    <n v="202"/>
    <n v="23.38"/>
    <n v="4722.76"/>
    <n v="5.7216302995373154E-4"/>
    <n v="0.83635316672282489"/>
    <x v="1"/>
  </r>
  <r>
    <s v="0343-7"/>
    <x v="3"/>
    <n v="6.4432989690721648E-4"/>
    <n v="0.2338917525773189"/>
    <n v="27"/>
    <n v="173.08"/>
    <n v="4673.1600000000008"/>
    <n v="5.6615398306468685E-4"/>
    <n v="0.83691932070588959"/>
    <x v="1"/>
  </r>
  <r>
    <s v="1293-8"/>
    <x v="5"/>
    <n v="6.4432989690721648E-4"/>
    <n v="0.23453608247422611"/>
    <n v="120"/>
    <n v="38.85"/>
    <n v="4662"/>
    <n v="5.6480194751465167E-4"/>
    <n v="0.83748412265340422"/>
    <x v="1"/>
  </r>
  <r>
    <s v="1205-1"/>
    <x v="0"/>
    <n v="6.4432989690721648E-4"/>
    <n v="0.23518041237113332"/>
    <n v="6"/>
    <n v="775.87"/>
    <n v="4655.22"/>
    <n v="5.6398054957296369E-4"/>
    <n v="0.83804810320297718"/>
    <x v="1"/>
  </r>
  <r>
    <s v="0220-5"/>
    <x v="8"/>
    <n v="6.4432989690721648E-4"/>
    <n v="0.23582474226804054"/>
    <n v="54"/>
    <n v="85.7"/>
    <n v="4627.8"/>
    <n v="5.606586127645442E-4"/>
    <n v="0.83860876181574173"/>
    <x v="1"/>
  </r>
  <r>
    <s v="0404-4"/>
    <x v="4"/>
    <n v="6.4432989690721648E-4"/>
    <n v="0.23646907216494775"/>
    <n v="18"/>
    <n v="256.97000000000003"/>
    <n v="4625.4600000000009"/>
    <n v="5.6037512143953692E-4"/>
    <n v="0.83916913693718131"/>
    <x v="1"/>
  </r>
  <r>
    <s v="0262-8"/>
    <x v="5"/>
    <n v="6.4432989690721648E-4"/>
    <n v="0.23711340206185497"/>
    <n v="133"/>
    <n v="33.700000000000003"/>
    <n v="4482.1000000000004"/>
    <n v="5.4300703752797528E-4"/>
    <n v="0.83971214397470928"/>
    <x v="1"/>
  </r>
  <r>
    <s v="0184-2"/>
    <x v="6"/>
    <n v="6.4432989690721648E-4"/>
    <n v="0.23775773195876218"/>
    <n v="48"/>
    <n v="93.37"/>
    <n v="4481.76"/>
    <n v="5.4296584648075188E-4"/>
    <n v="0.84025510982119"/>
    <x v="1"/>
  </r>
  <r>
    <s v="1301-2"/>
    <x v="6"/>
    <n v="6.4432989690721648E-4"/>
    <n v="0.23840206185566939"/>
    <n v="137"/>
    <n v="32.51"/>
    <n v="4453.87"/>
    <n v="5.3958696910705317E-4"/>
    <n v="0.84079469679029706"/>
    <x v="1"/>
  </r>
  <r>
    <s v="0706-8"/>
    <x v="5"/>
    <n v="6.4432989690721648E-4"/>
    <n v="0.23904639175257661"/>
    <n v="153"/>
    <n v="29.02"/>
    <n v="4440.0599999999995"/>
    <n v="5.3791388568895414E-4"/>
    <n v="0.84133261067598597"/>
    <x v="1"/>
  </r>
  <r>
    <s v="0648-3"/>
    <x v="1"/>
    <n v="6.4432989690721648E-4"/>
    <n v="0.23969072164948382"/>
    <n v="4"/>
    <n v="1107.77"/>
    <n v="4431.08"/>
    <n v="5.3682595744170372E-4"/>
    <n v="0.84186943663342773"/>
    <x v="1"/>
  </r>
  <r>
    <s v="0228-7"/>
    <x v="3"/>
    <n v="6.4432989690721648E-4"/>
    <n v="0.24033505154639104"/>
    <n v="195"/>
    <n v="22.57"/>
    <n v="4401.1499999999996"/>
    <n v="5.3319993378466519E-4"/>
    <n v="0.84240263656721237"/>
    <x v="1"/>
  </r>
  <r>
    <s v="0982-1"/>
    <x v="0"/>
    <n v="6.4432989690721648E-4"/>
    <n v="0.24097938144329825"/>
    <n v="5"/>
    <n v="871.94"/>
    <n v="4359.7000000000007"/>
    <n v="5.2817826052759063E-4"/>
    <n v="0.84293081482774002"/>
    <x v="1"/>
  </r>
  <r>
    <s v="0690-1"/>
    <x v="0"/>
    <n v="6.4432989690721648E-4"/>
    <n v="0.24162371134020547"/>
    <n v="6"/>
    <n v="720.32"/>
    <n v="4321.92"/>
    <n v="5.2360120828024955E-4"/>
    <n v="0.84345441603602023"/>
    <x v="1"/>
  </r>
  <r>
    <s v="0172-1"/>
    <x v="0"/>
    <n v="6.4432989690721648E-4"/>
    <n v="0.24226804123711268"/>
    <n v="4"/>
    <n v="1076.68"/>
    <n v="4306.72"/>
    <n v="5.2175972616909068E-4"/>
    <n v="0.84397617576218931"/>
    <x v="1"/>
  </r>
  <r>
    <s v="0991-7"/>
    <x v="3"/>
    <n v="6.4432989690721648E-4"/>
    <n v="0.24291237113401989"/>
    <n v="90"/>
    <n v="47.62"/>
    <n v="4285.8"/>
    <n v="5.192252652634694E-4"/>
    <n v="0.8444954010274528"/>
    <x v="1"/>
  </r>
  <r>
    <s v="1831-5"/>
    <x v="8"/>
    <n v="6.4432989690721648E-4"/>
    <n v="0.24355670103092711"/>
    <n v="79"/>
    <n v="53.84"/>
    <n v="4253.3600000000006"/>
    <n v="5.1529515475781196E-4"/>
    <n v="0.84501069618221059"/>
    <x v="1"/>
  </r>
  <r>
    <s v="1619-3"/>
    <x v="1"/>
    <n v="6.4432989690721648E-4"/>
    <n v="0.24420103092783432"/>
    <n v="4"/>
    <n v="1060.5899999999999"/>
    <n v="4242.3599999999997"/>
    <n v="5.1396250322999952E-4"/>
    <n v="0.84552465868544058"/>
    <x v="1"/>
  </r>
  <r>
    <s v="1372-1"/>
    <x v="0"/>
    <n v="6.4432989690721648E-4"/>
    <n v="0.24484536082474154"/>
    <n v="4"/>
    <n v="1059.6400000000001"/>
    <n v="4238.5600000000004"/>
    <n v="5.1350213270220989E-4"/>
    <n v="0.84603816081814276"/>
    <x v="1"/>
  </r>
  <r>
    <s v="1204-4"/>
    <x v="4"/>
    <n v="6.4432989690721648E-4"/>
    <n v="0.24548969072164875"/>
    <n v="9"/>
    <n v="464.44"/>
    <n v="4179.96"/>
    <n v="5.0640273456313675E-4"/>
    <n v="0.84654456355270591"/>
    <x v="1"/>
  </r>
  <r>
    <s v="0306-6"/>
    <x v="7"/>
    <n v="6.4432989690721648E-4"/>
    <n v="0.24613402061855597"/>
    <n v="46"/>
    <n v="90.58"/>
    <n v="4166.68"/>
    <n v="5.0479386071865056E-4"/>
    <n v="0.84704935741342458"/>
    <x v="1"/>
  </r>
  <r>
    <s v="1216-3"/>
    <x v="1"/>
    <n v="6.4432989690721648E-4"/>
    <n v="0.24677835051546318"/>
    <n v="27"/>
    <n v="153.13999999999999"/>
    <n v="4134.78"/>
    <n v="5.0092917128799475E-4"/>
    <n v="0.84755028658471254"/>
    <x v="1"/>
  </r>
  <r>
    <s v="0457-3"/>
    <x v="1"/>
    <n v="6.4432989690721648E-4"/>
    <n v="0.24742268041237039"/>
    <n v="13"/>
    <n v="317.76"/>
    <n v="4130.88"/>
    <n v="5.0045668574631589E-4"/>
    <n v="0.84805074327045882"/>
    <x v="1"/>
  </r>
  <r>
    <s v="0248-8"/>
    <x v="5"/>
    <n v="6.4432989690721648E-4"/>
    <n v="0.24806701030927761"/>
    <n v="77"/>
    <n v="53.54"/>
    <n v="4122.58"/>
    <n v="4.9945113959351192E-4"/>
    <n v="0.84855019441005231"/>
    <x v="1"/>
  </r>
  <r>
    <s v="1212-8"/>
    <x v="5"/>
    <n v="6.4432989690721648E-4"/>
    <n v="0.24871134020618482"/>
    <n v="643"/>
    <n v="6.41"/>
    <n v="4121.63"/>
    <n v="4.9933604696156459E-4"/>
    <n v="0.84904953045701392"/>
    <x v="1"/>
  </r>
  <r>
    <s v="1428-1"/>
    <x v="0"/>
    <n v="6.4432989690721648E-4"/>
    <n v="0.24935567010309204"/>
    <n v="4"/>
    <n v="1018.22"/>
    <n v="4072.88"/>
    <n v="4.93429977690578E-4"/>
    <n v="0.84954296043470445"/>
    <x v="1"/>
  </r>
  <r>
    <s v="0860-7"/>
    <x v="3"/>
    <n v="6.4432989690721648E-4"/>
    <n v="0.24999999999999925"/>
    <n v="21"/>
    <n v="193.5"/>
    <n v="4063.5"/>
    <n v="4.9229358938777078E-4"/>
    <n v="0.85003525402409219"/>
    <x v="1"/>
  </r>
  <r>
    <s v="0576-9"/>
    <x v="2"/>
    <n v="6.4432989690721648E-4"/>
    <n v="0.25064432989690649"/>
    <n v="53"/>
    <n v="76.52"/>
    <n v="4055.56"/>
    <n v="4.9133165728496801E-4"/>
    <n v="0.85052658568137718"/>
    <x v="1"/>
  </r>
  <r>
    <s v="0806-5"/>
    <x v="8"/>
    <n v="6.4432989690721648E-4"/>
    <n v="0.25128865979381371"/>
    <n v="611"/>
    <n v="6.61"/>
    <n v="4038.71"/>
    <n v="4.8929027744463722E-4"/>
    <n v="0.85101587595882178"/>
    <x v="1"/>
  </r>
  <r>
    <s v="1669-8"/>
    <x v="5"/>
    <n v="6.4432989690721648E-4"/>
    <n v="0.25193298969072092"/>
    <n v="93"/>
    <n v="43.18"/>
    <n v="4015.74"/>
    <n v="4.8650745875428728E-4"/>
    <n v="0.85150238341757611"/>
    <x v="1"/>
  </r>
  <r>
    <s v="1171-1"/>
    <x v="0"/>
    <n v="6.4432989690721648E-4"/>
    <n v="0.25257731958762814"/>
    <n v="9"/>
    <n v="444.92"/>
    <n v="4004.28"/>
    <n v="4.8511907816258464E-4"/>
    <n v="0.85198750249573874"/>
    <x v="1"/>
  </r>
  <r>
    <s v="0260-5"/>
    <x v="8"/>
    <n v="6.4432989690721648E-4"/>
    <n v="0.25322164948453535"/>
    <n v="84"/>
    <n v="47.3"/>
    <n v="3973.2"/>
    <n v="4.8135373184582023E-4"/>
    <n v="0.8524688562275845"/>
    <x v="1"/>
  </r>
  <r>
    <s v="1780-5"/>
    <x v="8"/>
    <n v="6.4432989690721648E-4"/>
    <n v="0.25386597938144256"/>
    <n v="71"/>
    <n v="55.9"/>
    <n v="3968.9"/>
    <n v="4.8083278624858452E-4"/>
    <n v="0.85294968901383306"/>
    <x v="1"/>
  </r>
  <r>
    <s v="0936-4"/>
    <x v="4"/>
    <n v="6.4432989690721648E-4"/>
    <n v="0.25451030927834978"/>
    <n v="14"/>
    <n v="283.08"/>
    <n v="3963.12"/>
    <n v="4.8013253844578858E-4"/>
    <n v="0.85342982155227887"/>
    <x v="1"/>
  </r>
  <r>
    <s v="0176-3"/>
    <x v="1"/>
    <n v="6.4432989690721648E-4"/>
    <n v="0.25515463917525699"/>
    <n v="4"/>
    <n v="988.46"/>
    <n v="3953.84"/>
    <n v="4.7900826515687053E-4"/>
    <n v="0.85390882981743577"/>
    <x v="1"/>
  </r>
  <r>
    <s v="0028-8"/>
    <x v="5"/>
    <n v="6.4432989690721648E-4"/>
    <n v="0.25579896907216421"/>
    <n v="64"/>
    <n v="60.57"/>
    <n v="3876.48"/>
    <n v="4.6963609041218295E-4"/>
    <n v="0.85437846590784794"/>
    <x v="1"/>
  </r>
  <r>
    <s v="1694-4"/>
    <x v="4"/>
    <n v="6.4432989690721648E-4"/>
    <n v="0.25644329896907142"/>
    <n v="13"/>
    <n v="297.17"/>
    <n v="3863.21"/>
    <n v="4.6802842806908571E-4"/>
    <n v="0.85484649433591697"/>
    <x v="1"/>
  </r>
  <r>
    <s v="0382-4"/>
    <x v="4"/>
    <n v="6.4432989690721648E-4"/>
    <n v="0.25708762886597863"/>
    <n v="8"/>
    <n v="482.84"/>
    <n v="3862.72"/>
    <n v="4.6796906450102859E-4"/>
    <n v="0.85531446340041806"/>
    <x v="1"/>
  </r>
  <r>
    <s v="1836-5"/>
    <x v="8"/>
    <n v="6.4432989690721648E-4"/>
    <n v="0.25773195876288585"/>
    <n v="19"/>
    <n v="203.15"/>
    <n v="3859.85"/>
    <n v="4.6762136360240848E-4"/>
    <n v="0.85578208476402051"/>
    <x v="1"/>
  </r>
  <r>
    <s v="1521-9"/>
    <x v="2"/>
    <n v="6.4432989690721648E-4"/>
    <n v="0.25837628865979306"/>
    <n v="14"/>
    <n v="274.95"/>
    <n v="3849.2999999999997"/>
    <n v="4.6634322963709751E-4"/>
    <n v="0.85624842799365763"/>
    <x v="1"/>
  </r>
  <r>
    <s v="0406-2"/>
    <x v="6"/>
    <n v="6.4432989690721648E-4"/>
    <n v="0.25902061855670028"/>
    <n v="468"/>
    <n v="8.2100000000000009"/>
    <n v="3842.28"/>
    <n v="4.6549275566207552E-4"/>
    <n v="0.85671392074931974"/>
    <x v="1"/>
  </r>
  <r>
    <s v="1086-6"/>
    <x v="7"/>
    <n v="6.4432989690721648E-4"/>
    <n v="0.25966494845360749"/>
    <n v="187"/>
    <n v="20.54"/>
    <n v="3840.98"/>
    <n v="4.6533526048151585E-4"/>
    <n v="0.85717925600980127"/>
    <x v="1"/>
  </r>
  <r>
    <s v="1531-3"/>
    <x v="1"/>
    <n v="6.4432989690721648E-4"/>
    <n v="0.26030927835051471"/>
    <n v="6"/>
    <n v="640.04999999999995"/>
    <n v="3840.2999999999997"/>
    <n v="4.6525287838706923E-4"/>
    <n v="0.85764450888818833"/>
    <x v="1"/>
  </r>
  <r>
    <s v="0182-2"/>
    <x v="6"/>
    <n v="6.4432989690721648E-4"/>
    <n v="0.26095360824742192"/>
    <n v="135"/>
    <n v="28.44"/>
    <n v="3839.4"/>
    <n v="4.6514384326206646E-4"/>
    <n v="0.85810965273145035"/>
    <x v="1"/>
  </r>
  <r>
    <s v="0345-1"/>
    <x v="0"/>
    <n v="6.4432989690721648E-4"/>
    <n v="0.26159793814432913"/>
    <n v="5"/>
    <n v="757.24"/>
    <n v="3786.2"/>
    <n v="4.5869865587301031E-4"/>
    <n v="0.85856835138732335"/>
    <x v="1"/>
  </r>
  <r>
    <s v="0408-8"/>
    <x v="5"/>
    <n v="6.4432989690721648E-4"/>
    <n v="0.26224226804123635"/>
    <n v="77"/>
    <n v="49.06"/>
    <n v="3777.6200000000003"/>
    <n v="4.5765918768131674E-4"/>
    <n v="0.85902601057500472"/>
    <x v="1"/>
  </r>
  <r>
    <s v="1685-3"/>
    <x v="1"/>
    <n v="6.4432989690721648E-4"/>
    <n v="0.26288659793814356"/>
    <n v="9"/>
    <n v="413.54"/>
    <n v="3721.86"/>
    <n v="4.5090385593669706E-4"/>
    <n v="0.85947691443094143"/>
    <x v="1"/>
  </r>
  <r>
    <s v="1784-1"/>
    <x v="0"/>
    <n v="6.4432989690721648E-4"/>
    <n v="0.26353092783505078"/>
    <n v="5"/>
    <n v="741.38"/>
    <n v="3706.9"/>
    <n v="4.4909144985887225E-4"/>
    <n v="0.85992600588080026"/>
    <x v="1"/>
  </r>
  <r>
    <s v="1084-1"/>
    <x v="0"/>
    <n v="6.4432989690721648E-4"/>
    <n v="0.26417525773195799"/>
    <n v="5"/>
    <n v="740.79"/>
    <n v="3703.95"/>
    <n v="4.4873405694914072E-4"/>
    <n v="0.86037473993774938"/>
    <x v="1"/>
  </r>
  <r>
    <s v="1346-5"/>
    <x v="8"/>
    <n v="6.4432989690721648E-4"/>
    <n v="0.26481958762886521"/>
    <n v="33"/>
    <n v="111.99"/>
    <n v="3695.6699999999996"/>
    <n v="4.4773093379911466E-4"/>
    <n v="0.86082247087154851"/>
    <x v="1"/>
  </r>
  <r>
    <s v="1078-2"/>
    <x v="6"/>
    <n v="6.4432989690721648E-4"/>
    <n v="0.26546391752577242"/>
    <n v="107"/>
    <n v="34.49"/>
    <n v="3690.4300000000003"/>
    <n v="4.4709610707132052E-4"/>
    <n v="0.86126956697861978"/>
    <x v="1"/>
  </r>
  <r>
    <s v="1749-1"/>
    <x v="0"/>
    <n v="6.4432989690721648E-4"/>
    <n v="0.26610824742267963"/>
    <n v="13"/>
    <n v="283.48"/>
    <n v="3685.2400000000002"/>
    <n v="4.4646733785047083E-4"/>
    <n v="0.86171603431647026"/>
    <x v="1"/>
  </r>
  <r>
    <s v="1129-3"/>
    <x v="1"/>
    <n v="6.4432989690721648E-4"/>
    <n v="0.26675257731958685"/>
    <n v="5"/>
    <n v="735.61"/>
    <n v="3678.05"/>
    <n v="4.4559626835183715E-4"/>
    <n v="0.86216163058482209"/>
    <x v="1"/>
  </r>
  <r>
    <s v="0818-3"/>
    <x v="1"/>
    <n v="6.4432989690721648E-4"/>
    <n v="0.26739690721649406"/>
    <n v="12"/>
    <n v="305.77999999999997"/>
    <n v="3669.3599999999997"/>
    <n v="4.4454347364486534E-4"/>
    <n v="0.86260617405846696"/>
    <x v="1"/>
  </r>
  <r>
    <s v="0691-3"/>
    <x v="1"/>
    <n v="6.4432989690721648E-4"/>
    <n v="0.26804123711340128"/>
    <n v="4"/>
    <n v="915.13"/>
    <n v="3660.52"/>
    <n v="4.434725064170598E-4"/>
    <n v="0.86304964656488403"/>
    <x v="1"/>
  </r>
  <r>
    <s v="1865-1"/>
    <x v="0"/>
    <n v="6.4432989690721648E-4"/>
    <n v="0.26868556701030849"/>
    <n v="7"/>
    <n v="522.35"/>
    <n v="3656.4500000000003"/>
    <n v="4.4297942535176924E-4"/>
    <n v="0.8634926259902358"/>
    <x v="1"/>
  </r>
  <r>
    <s v="0733-8"/>
    <x v="5"/>
    <n v="6.4432989690721648E-4"/>
    <n v="0.2693298969072157"/>
    <n v="82"/>
    <n v="44.58"/>
    <n v="3655.56"/>
    <n v="4.4287160172815532E-4"/>
    <n v="0.86393549759196397"/>
    <x v="1"/>
  </r>
  <r>
    <s v="0130-7"/>
    <x v="3"/>
    <n v="6.4432989690721648E-4"/>
    <n v="0.26997422680412292"/>
    <n v="69"/>
    <n v="52.97"/>
    <n v="3654.93"/>
    <n v="4.4279527714065331E-4"/>
    <n v="0.86437829286910461"/>
    <x v="1"/>
  </r>
  <r>
    <s v="1251-2"/>
    <x v="6"/>
    <n v="6.4432989690721648E-4"/>
    <n v="0.27061855670103013"/>
    <n v="168"/>
    <n v="21.71"/>
    <n v="3647.28"/>
    <n v="4.4186847857812932E-4"/>
    <n v="0.86482016134768269"/>
    <x v="1"/>
  </r>
  <r>
    <s v="0230-4"/>
    <x v="4"/>
    <n v="6.4432989690721648E-4"/>
    <n v="0.27126288659793735"/>
    <n v="282"/>
    <n v="12.92"/>
    <n v="3643.44"/>
    <n v="4.4140326204478392E-4"/>
    <n v="0.86526156460972747"/>
    <x v="1"/>
  </r>
  <r>
    <s v="1634-1"/>
    <x v="0"/>
    <n v="6.4432989690721648E-4"/>
    <n v="0.27190721649484456"/>
    <n v="8"/>
    <n v="455.23"/>
    <n v="3641.84"/>
    <n v="4.4120942182255667E-4"/>
    <n v="0.86570277403155005"/>
    <x v="1"/>
  </r>
  <r>
    <s v="1816-3"/>
    <x v="1"/>
    <n v="6.4432989690721648E-4"/>
    <n v="0.27255154639175178"/>
    <n v="3"/>
    <n v="1212.75"/>
    <n v="3638.25"/>
    <n v="4.4077449282393428E-4"/>
    <n v="0.86614354852437403"/>
    <x v="1"/>
  </r>
  <r>
    <s v="0423-1"/>
    <x v="0"/>
    <n v="6.4432989690721648E-4"/>
    <n v="0.27319587628865899"/>
    <n v="5"/>
    <n v="723.15"/>
    <n v="3615.75"/>
    <n v="4.3804861469886355E-4"/>
    <n v="0.8665815971390729"/>
    <x v="1"/>
  </r>
  <r>
    <s v="1545-5"/>
    <x v="8"/>
    <n v="6.4432989690721648E-4"/>
    <n v="0.2738402061855662"/>
    <n v="257"/>
    <n v="13.87"/>
    <n v="3564.5899999999997"/>
    <n v="4.3185057359314716E-4"/>
    <n v="0.86701344771266609"/>
    <x v="1"/>
  </r>
  <r>
    <s v="0793-1"/>
    <x v="0"/>
    <n v="6.4432989690721648E-4"/>
    <n v="0.27448453608247342"/>
    <n v="4"/>
    <n v="890.04"/>
    <n v="3560.16"/>
    <n v="4.3131387847785546E-4"/>
    <n v="0.86744476159114392"/>
    <x v="1"/>
  </r>
  <r>
    <s v="0067-3"/>
    <x v="1"/>
    <n v="6.4432989690721648E-4"/>
    <n v="0.27512886597938063"/>
    <n v="5"/>
    <n v="710.68"/>
    <n v="3553.3999999999996"/>
    <n v="4.3049490353894534E-4"/>
    <n v="0.86787525649468289"/>
    <x v="1"/>
  </r>
  <r>
    <s v="0322-4"/>
    <x v="4"/>
    <n v="6.4432989690721648E-4"/>
    <n v="0.27577319587628785"/>
    <n v="11"/>
    <n v="320.66000000000003"/>
    <n v="3527.26"/>
    <n v="4.2732803890830771E-4"/>
    <n v="0.86830258453359122"/>
    <x v="1"/>
  </r>
  <r>
    <s v="0279-6"/>
    <x v="7"/>
    <n v="6.4432989690721648E-4"/>
    <n v="0.27641752577319506"/>
    <n v="42"/>
    <n v="83.92"/>
    <n v="3524.64"/>
    <n v="4.2701062554441051E-4"/>
    <n v="0.86872959515913561"/>
    <x v="1"/>
  </r>
  <r>
    <s v="0459-8"/>
    <x v="5"/>
    <n v="6.4432989690721648E-4"/>
    <n v="0.27706185567010227"/>
    <n v="53"/>
    <n v="66.45"/>
    <n v="3521.8500000000004"/>
    <n v="4.2667261665690182E-4"/>
    <n v="0.86915626777579247"/>
    <x v="1"/>
  </r>
  <r>
    <s v="0168-7"/>
    <x v="3"/>
    <n v="6.4432989690721648E-4"/>
    <n v="0.27770618556700949"/>
    <n v="33"/>
    <n v="106.11"/>
    <n v="3501.63"/>
    <n v="4.2422296084850491E-4"/>
    <n v="0.86958049073664101"/>
    <x v="1"/>
  </r>
  <r>
    <s v="0787-3"/>
    <x v="1"/>
    <n v="6.4432989690721648E-4"/>
    <n v="0.2783505154639167"/>
    <n v="4"/>
    <n v="869.09"/>
    <n v="3476.36"/>
    <n v="4.2116149683870324E-4"/>
    <n v="0.87000165223347969"/>
    <x v="1"/>
  </r>
  <r>
    <s v="1022-7"/>
    <x v="3"/>
    <n v="6.4432989690721648E-4"/>
    <n v="0.27899484536082392"/>
    <n v="22"/>
    <n v="157.02000000000001"/>
    <n v="3454.44"/>
    <n v="4.185058857941899E-4"/>
    <n v="0.87042015811927387"/>
    <x v="1"/>
  </r>
  <r>
    <s v="0252-1"/>
    <x v="0"/>
    <n v="6.4432989690721648E-4"/>
    <n v="0.27963917525773113"/>
    <n v="5"/>
    <n v="689.7"/>
    <n v="3448.5"/>
    <n v="4.1778625396917123E-4"/>
    <n v="0.87083794437324302"/>
    <x v="1"/>
  </r>
  <r>
    <s v="0141-3"/>
    <x v="1"/>
    <n v="6.4432989690721648E-4"/>
    <n v="0.28028350515463835"/>
    <n v="10"/>
    <n v="344.36"/>
    <n v="3443.6000000000004"/>
    <n v="4.1719261828860032E-4"/>
    <n v="0.87125513699153168"/>
    <x v="1"/>
  </r>
  <r>
    <s v="1701-5"/>
    <x v="8"/>
    <n v="6.4432989690721648E-4"/>
    <n v="0.28092783505154556"/>
    <n v="16"/>
    <n v="214.99"/>
    <n v="3439.84"/>
    <n v="4.1673709376636629E-4"/>
    <n v="0.871671874085298"/>
    <x v="1"/>
  </r>
  <r>
    <s v="1725-6"/>
    <x v="7"/>
    <n v="6.4432989690721648E-4"/>
    <n v="0.28157216494845277"/>
    <n v="46"/>
    <n v="74.69"/>
    <n v="3435.74"/>
    <n v="4.1624037819690892E-4"/>
    <n v="0.87208811446349488"/>
    <x v="1"/>
  </r>
  <r>
    <s v="1467-5"/>
    <x v="8"/>
    <n v="6.4432989690721648E-4"/>
    <n v="0.28221649484535999"/>
    <n v="21"/>
    <n v="163.38999999999999"/>
    <n v="3431.1899999999996"/>
    <n v="4.1568914506495013E-4"/>
    <n v="0.87250380360855984"/>
    <x v="1"/>
  </r>
  <r>
    <s v="0202-1"/>
    <x v="0"/>
    <n v="6.4432989690721648E-4"/>
    <n v="0.2828608247422672"/>
    <n v="13"/>
    <n v="263.41000000000003"/>
    <n v="3424.3300000000004"/>
    <n v="4.1485805511215089E-4"/>
    <n v="0.87291866166367194"/>
    <x v="1"/>
  </r>
  <r>
    <s v="0865-4"/>
    <x v="4"/>
    <n v="6.4432989690721648E-4"/>
    <n v="0.28350515463917442"/>
    <n v="18"/>
    <n v="188.95"/>
    <n v="3401.1"/>
    <n v="4.1204373738568893E-4"/>
    <n v="0.87333070540105762"/>
    <x v="1"/>
  </r>
  <r>
    <s v="1804-8"/>
    <x v="5"/>
    <n v="6.4432989690721648E-4"/>
    <n v="0.28414948453608163"/>
    <n v="79"/>
    <n v="43.04"/>
    <n v="3400.16"/>
    <n v="4.1192985625513039E-4"/>
    <n v="0.87374263525731277"/>
    <x v="1"/>
  </r>
  <r>
    <s v="0203-3"/>
    <x v="1"/>
    <n v="6.4432989690721648E-4"/>
    <n v="0.28479381443298885"/>
    <n v="6"/>
    <n v="565.36"/>
    <n v="3392.16"/>
    <n v="4.1096065514399416E-4"/>
    <n v="0.87415359591245678"/>
    <x v="1"/>
  </r>
  <r>
    <s v="1420-7"/>
    <x v="3"/>
    <n v="6.4432989690721648E-4"/>
    <n v="0.28543814432989606"/>
    <n v="15"/>
    <n v="223.63"/>
    <n v="3354.45"/>
    <n v="4.0639208340637566E-4"/>
    <n v="0.87455998799586321"/>
    <x v="1"/>
  </r>
  <r>
    <s v="1290-5"/>
    <x v="8"/>
    <n v="6.4432989690721648E-4"/>
    <n v="0.28608247422680327"/>
    <n v="45"/>
    <n v="74.52"/>
    <n v="3353.3999999999996"/>
    <n v="4.06264875760539E-4"/>
    <n v="0.87496625287162377"/>
    <x v="1"/>
  </r>
  <r>
    <s v="1220-9"/>
    <x v="2"/>
    <n v="6.4432989690721648E-4"/>
    <n v="0.28672680412371049"/>
    <n v="37"/>
    <n v="89.92"/>
    <n v="3327.04"/>
    <n v="4.0307135809934506E-4"/>
    <n v="0.87536932422972313"/>
    <x v="1"/>
  </r>
  <r>
    <s v="0792-7"/>
    <x v="3"/>
    <n v="6.4432989690721648E-4"/>
    <n v="0.2873711340206177"/>
    <n v="27"/>
    <n v="123.22"/>
    <n v="3326.94"/>
    <n v="4.0305924308545589E-4"/>
    <n v="0.87577238347280861"/>
    <x v="1"/>
  </r>
  <r>
    <s v="0983-7"/>
    <x v="3"/>
    <n v="6.4432989690721648E-4"/>
    <n v="0.28801546391752492"/>
    <n v="16"/>
    <n v="207.66"/>
    <n v="3322.56"/>
    <n v="4.0252860547710875E-4"/>
    <n v="0.87617491207828568"/>
    <x v="1"/>
  </r>
  <r>
    <s v="1835-9"/>
    <x v="2"/>
    <n v="6.4432989690721648E-4"/>
    <n v="0.28865979381443213"/>
    <n v="11"/>
    <n v="301.13"/>
    <n v="3312.43"/>
    <n v="4.0130135457013249E-4"/>
    <n v="0.87657621343285586"/>
    <x v="1"/>
  </r>
  <r>
    <s v="1657-1"/>
    <x v="0"/>
    <n v="6.4432989690721648E-4"/>
    <n v="0.28930412371133934"/>
    <n v="3"/>
    <n v="1099.71"/>
    <n v="3299.13"/>
    <n v="3.9969005772286849E-4"/>
    <n v="0.87697590349057875"/>
    <x v="1"/>
  </r>
  <r>
    <s v="1724-3"/>
    <x v="1"/>
    <n v="6.4432989690721648E-4"/>
    <n v="0.28994845360824656"/>
    <n v="3"/>
    <n v="1094.74"/>
    <n v="3284.2200000000003"/>
    <n v="3.978837091519883E-4"/>
    <n v="0.87737378719973069"/>
    <x v="1"/>
  </r>
  <r>
    <s v="1475-4"/>
    <x v="4"/>
    <n v="6.4432989690721648E-4"/>
    <n v="0.29059278350515377"/>
    <n v="196"/>
    <n v="16.75"/>
    <n v="3283"/>
    <n v="3.9773590598253999E-4"/>
    <n v="0.87777152310571327"/>
    <x v="1"/>
  </r>
  <r>
    <s v="1593-1"/>
    <x v="0"/>
    <n v="6.4432989690721648E-4"/>
    <n v="0.29123711340206099"/>
    <n v="4"/>
    <n v="818.74"/>
    <n v="3274.96"/>
    <n v="3.9676185886584805E-4"/>
    <n v="0.8781682849645791"/>
    <x v="1"/>
  </r>
  <r>
    <s v="1647-9"/>
    <x v="2"/>
    <n v="6.4432989690721648E-4"/>
    <n v="0.2918814432989682"/>
    <n v="7"/>
    <n v="466.84"/>
    <n v="3267.8799999999997"/>
    <n v="3.9590411588249244E-4"/>
    <n v="0.87856418908046163"/>
    <x v="1"/>
  </r>
  <r>
    <s v="0884-7"/>
    <x v="3"/>
    <n v="6.4432989690721648E-4"/>
    <n v="0.29252577319587542"/>
    <n v="25"/>
    <n v="129.66"/>
    <n v="3241.5"/>
    <n v="3.927081752185207E-4"/>
    <n v="0.87895689725568016"/>
    <x v="1"/>
  </r>
  <r>
    <s v="1522-6"/>
    <x v="7"/>
    <n v="6.4432989690721648E-4"/>
    <n v="0.29317010309278263"/>
    <n v="55"/>
    <n v="58.85"/>
    <n v="3236.75"/>
    <n v="3.9213271205878352E-4"/>
    <n v="0.87934902996773889"/>
    <x v="1"/>
  </r>
  <r>
    <s v="0424-1"/>
    <x v="0"/>
    <n v="6.4432989690721648E-4"/>
    <n v="0.29381443298968984"/>
    <n v="12"/>
    <n v="268.92"/>
    <n v="3227.04"/>
    <n v="3.9095634421014192E-4"/>
    <n v="0.87973998631194905"/>
    <x v="1"/>
  </r>
  <r>
    <s v="0085-2"/>
    <x v="6"/>
    <n v="6.4432989690721648E-4"/>
    <n v="0.29445876288659706"/>
    <n v="63"/>
    <n v="50.89"/>
    <n v="3206.07"/>
    <n v="3.8841582579757602E-4"/>
    <n v="0.88012840213774668"/>
    <x v="1"/>
  </r>
  <r>
    <s v="0966-3"/>
    <x v="1"/>
    <n v="6.4432989690721648E-4"/>
    <n v="0.29510309278350427"/>
    <n v="3"/>
    <n v="1068.56"/>
    <n v="3205.68"/>
    <n v="3.8836857724340807E-4"/>
    <n v="0.88051677071499013"/>
    <x v="1"/>
  </r>
  <r>
    <s v="0214-8"/>
    <x v="5"/>
    <n v="6.4432989690721648E-4"/>
    <n v="0.29574742268041149"/>
    <n v="74"/>
    <n v="43.15"/>
    <n v="3193.1"/>
    <n v="3.8684450849614635E-4"/>
    <n v="0.88090361522348626"/>
    <x v="1"/>
  </r>
  <r>
    <s v="0239-3"/>
    <x v="1"/>
    <n v="6.4432989690721648E-4"/>
    <n v="0.2963917525773187"/>
    <n v="6"/>
    <n v="531.70000000000005"/>
    <n v="3190.2000000000003"/>
    <n v="3.8649317309335948E-4"/>
    <n v="0.88129010839657962"/>
    <x v="1"/>
  </r>
  <r>
    <s v="1487-5"/>
    <x v="8"/>
    <n v="6.4432989690721648E-4"/>
    <n v="0.29703608247422592"/>
    <n v="21"/>
    <n v="151.88"/>
    <n v="3189.48"/>
    <n v="3.864059449933572E-4"/>
    <n v="0.88167651434157301"/>
    <x v="1"/>
  </r>
  <r>
    <s v="1118-8"/>
    <x v="5"/>
    <n v="6.4432989690721648E-4"/>
    <n v="0.29768041237113313"/>
    <n v="74"/>
    <n v="43.1"/>
    <n v="3189.4"/>
    <n v="3.8639625298224583E-4"/>
    <n v="0.88206291059455522"/>
    <x v="1"/>
  </r>
  <r>
    <s v="1663-7"/>
    <x v="3"/>
    <n v="6.4432989690721648E-4"/>
    <n v="0.29832474226804034"/>
    <n v="26"/>
    <n v="122.59"/>
    <n v="3187.34"/>
    <n v="3.8614668369612828E-4"/>
    <n v="0.88244905727825129"/>
    <x v="1"/>
  </r>
  <r>
    <s v="0561-2"/>
    <x v="6"/>
    <n v="6.4432989690721648E-4"/>
    <n v="0.29896907216494756"/>
    <n v="54"/>
    <n v="58.32"/>
    <n v="3149.28"/>
    <n v="3.8153570940989754E-4"/>
    <n v="0.8828305929876612"/>
    <x v="1"/>
  </r>
  <r>
    <s v="1009-1"/>
    <x v="0"/>
    <n v="6.4432989690721648E-4"/>
    <n v="0.29961340206185477"/>
    <n v="12"/>
    <n v="262.27"/>
    <n v="3147.24"/>
    <n v="3.8128856312655778E-4"/>
    <n v="0.88321188155078778"/>
    <x v="1"/>
  </r>
  <r>
    <s v="1369-4"/>
    <x v="4"/>
    <n v="6.4432989690721648E-4"/>
    <n v="0.30025773195876199"/>
    <n v="13"/>
    <n v="240.63"/>
    <n v="3128.19"/>
    <n v="3.7898065298066461E-4"/>
    <n v="0.88359086220376848"/>
    <x v="1"/>
  </r>
  <r>
    <s v="0043-9"/>
    <x v="2"/>
    <n v="6.4432989690721648E-4"/>
    <n v="0.3009020618556692"/>
    <n v="20"/>
    <n v="156.04"/>
    <n v="3120.7999999999997"/>
    <n v="3.7808535345425242E-4"/>
    <n v="0.88396894755722277"/>
    <x v="1"/>
  </r>
  <r>
    <s v="1723-4"/>
    <x v="4"/>
    <n v="6.4432989690721648E-4"/>
    <n v="0.30154639175257641"/>
    <n v="16"/>
    <n v="194.39"/>
    <n v="3110.24"/>
    <n v="3.7680600798755261E-4"/>
    <n v="0.88434575356521028"/>
    <x v="1"/>
  </r>
  <r>
    <s v="0238-8"/>
    <x v="5"/>
    <n v="6.4432989690721648E-4"/>
    <n v="0.30219072164948363"/>
    <n v="67"/>
    <n v="46.25"/>
    <n v="3098.75"/>
    <n v="3.7541399289168316E-4"/>
    <n v="0.88472116755810193"/>
    <x v="1"/>
  </r>
  <r>
    <s v="0925-1"/>
    <x v="0"/>
    <n v="6.4432989690721648E-4"/>
    <n v="0.30283505154639084"/>
    <n v="6"/>
    <n v="516.21"/>
    <n v="3097.26"/>
    <n v="3.7523347918473409E-4"/>
    <n v="0.88509640103728671"/>
    <x v="1"/>
  </r>
  <r>
    <s v="0194-6"/>
    <x v="7"/>
    <n v="6.4432989690721648E-4"/>
    <n v="0.30347938144329806"/>
    <n v="216"/>
    <n v="14.31"/>
    <n v="3090.96"/>
    <n v="3.7447023330971422E-4"/>
    <n v="0.88547087127059643"/>
    <x v="1"/>
  </r>
  <r>
    <s v="0105-9"/>
    <x v="2"/>
    <n v="6.4432989690721648E-4"/>
    <n v="0.30412371134020527"/>
    <n v="24"/>
    <n v="128.43"/>
    <n v="3082.32"/>
    <n v="3.7342349610968708E-4"/>
    <n v="0.88584429476670612"/>
    <x v="1"/>
  </r>
  <r>
    <s v="1419-3"/>
    <x v="1"/>
    <n v="6.4432989690721648E-4"/>
    <n v="0.30476804123711249"/>
    <n v="36"/>
    <n v="85.46"/>
    <n v="3076.56"/>
    <n v="3.7272567130966895E-4"/>
    <n v="0.88621702043801576"/>
    <x v="1"/>
  </r>
  <r>
    <s v="0235-4"/>
    <x v="4"/>
    <n v="6.4432989690721648E-4"/>
    <n v="0.3054123711340197"/>
    <n v="39"/>
    <n v="78.66"/>
    <n v="3067.74"/>
    <n v="3.7165712708464121E-4"/>
    <n v="0.8865886775651004"/>
    <x v="1"/>
  </r>
  <r>
    <s v="1234-8"/>
    <x v="5"/>
    <n v="6.4432989690721648E-4"/>
    <n v="0.30605670103092691"/>
    <n v="124"/>
    <n v="24.61"/>
    <n v="3051.64"/>
    <n v="3.6970660984847952E-4"/>
    <n v="0.88695838417494888"/>
    <x v="1"/>
  </r>
  <r>
    <s v="0271-9"/>
    <x v="2"/>
    <n v="6.4432989690721648E-4"/>
    <n v="0.30670103092783413"/>
    <n v="13"/>
    <n v="232.9"/>
    <n v="3027.7000000000003"/>
    <n v="3.6680627552340434E-4"/>
    <n v="0.88732519045047231"/>
    <x v="1"/>
  </r>
  <r>
    <s v="0312-9"/>
    <x v="2"/>
    <n v="6.4432989690721648E-4"/>
    <n v="0.30734536082474134"/>
    <n v="21"/>
    <n v="144.04"/>
    <n v="3024.8399999999997"/>
    <n v="3.6645978612617308E-4"/>
    <n v="0.88769165023659846"/>
    <x v="1"/>
  </r>
  <r>
    <s v="1528-4"/>
    <x v="4"/>
    <n v="6.4432989690721648E-4"/>
    <n v="0.30798969072164856"/>
    <n v="10"/>
    <n v="301.91000000000003"/>
    <n v="3019.1000000000004"/>
    <n v="3.6576438432893291E-4"/>
    <n v="0.88805741462092735"/>
    <x v="1"/>
  </r>
  <r>
    <s v="1189-5"/>
    <x v="8"/>
    <n v="6.4432989690721648E-4"/>
    <n v="0.30863402061855577"/>
    <n v="19"/>
    <n v="158.43"/>
    <n v="3010.17"/>
    <n v="3.6468251358862699E-4"/>
    <n v="0.88842209713451603"/>
    <x v="1"/>
  </r>
  <r>
    <s v="1083-9"/>
    <x v="2"/>
    <n v="6.4432989690721648E-4"/>
    <n v="0.30927835051546299"/>
    <n v="47"/>
    <n v="63.92"/>
    <n v="3004.2400000000002"/>
    <n v="3.6396409326499727E-4"/>
    <n v="0.88878606122778103"/>
    <x v="1"/>
  </r>
  <r>
    <s v="0524-7"/>
    <x v="3"/>
    <n v="6.4432989690721648E-4"/>
    <n v="0.3099226804123702"/>
    <n v="48"/>
    <n v="62.54"/>
    <n v="3001.92"/>
    <n v="3.6368302494276775E-4"/>
    <n v="0.88914974425272375"/>
    <x v="1"/>
  </r>
  <r>
    <s v="0034-8"/>
    <x v="5"/>
    <n v="6.4432989690721648E-4"/>
    <n v="0.31056701030927741"/>
    <n v="97"/>
    <n v="30.93"/>
    <n v="3000.21"/>
    <n v="3.6347585820526237E-4"/>
    <n v="0.88951322011092904"/>
    <x v="1"/>
  </r>
  <r>
    <s v="0667-9"/>
    <x v="2"/>
    <n v="6.4432989690721648E-4"/>
    <n v="0.31121134020618463"/>
    <n v="76"/>
    <n v="39.44"/>
    <n v="2997.4399999999996"/>
    <n v="3.6314027232053138E-4"/>
    <n v="0.88987636038324958"/>
    <x v="1"/>
  </r>
  <r>
    <s v="1311-8"/>
    <x v="5"/>
    <n v="6.4432989690721648E-4"/>
    <n v="0.31185567010309184"/>
    <n v="135"/>
    <n v="22.19"/>
    <n v="2995.65"/>
    <n v="3.6292341357191469E-4"/>
    <n v="0.89023928379682149"/>
    <x v="1"/>
  </r>
  <r>
    <s v="1691-1"/>
    <x v="0"/>
    <n v="6.4432989690721648E-4"/>
    <n v="0.31249999999999906"/>
    <n v="4"/>
    <n v="747.84"/>
    <n v="2991.36"/>
    <n v="3.6240367947606788E-4"/>
    <n v="0.89060168747629753"/>
    <x v="1"/>
  </r>
  <r>
    <s v="1000-5"/>
    <x v="8"/>
    <n v="6.4432989690721648E-4"/>
    <n v="0.31314432989690627"/>
    <n v="15"/>
    <n v="197.81"/>
    <n v="2967.15"/>
    <n v="3.5947063461349183E-4"/>
    <n v="0.89096115811091103"/>
    <x v="1"/>
  </r>
  <r>
    <s v="1336-9"/>
    <x v="2"/>
    <n v="6.4432989690721648E-4"/>
    <n v="0.31378865979381348"/>
    <n v="9"/>
    <n v="328.33"/>
    <n v="2954.97"/>
    <n v="3.579950259217868E-4"/>
    <n v="0.89131915313683285"/>
    <x v="1"/>
  </r>
  <r>
    <s v="1274-1"/>
    <x v="0"/>
    <n v="6.4432989690721648E-4"/>
    <n v="0.3144329896907207"/>
    <n v="4"/>
    <n v="734.5"/>
    <n v="2938"/>
    <n v="3.559391080647891E-4"/>
    <n v="0.8916750922448976"/>
    <x v="1"/>
  </r>
  <r>
    <s v="1029-8"/>
    <x v="5"/>
    <n v="6.4432989690721648E-4"/>
    <n v="0.31507731958762791"/>
    <n v="70"/>
    <n v="41.92"/>
    <n v="2934.4"/>
    <n v="3.5550296756477775E-4"/>
    <n v="0.89203059521246242"/>
    <x v="1"/>
  </r>
  <r>
    <s v="0987-6"/>
    <x v="7"/>
    <n v="6.4432989690721648E-4"/>
    <n v="0.31572164948453513"/>
    <n v="57"/>
    <n v="51.3"/>
    <n v="2924.1"/>
    <n v="3.542551211341898E-4"/>
    <n v="0.8923848503335966"/>
    <x v="1"/>
  </r>
  <r>
    <s v="0362-3"/>
    <x v="1"/>
    <n v="6.4432989690721648E-4"/>
    <n v="0.31636597938144234"/>
    <n v="23"/>
    <n v="126.8"/>
    <n v="2916.4"/>
    <n v="3.5332226506472119E-4"/>
    <n v="0.89273817259866128"/>
    <x v="1"/>
  </r>
  <r>
    <s v="0716-4"/>
    <x v="4"/>
    <n v="6.4432989690721648E-4"/>
    <n v="0.31701030927834956"/>
    <n v="33"/>
    <n v="88.08"/>
    <n v="2906.64"/>
    <n v="3.5213983970913492E-4"/>
    <n v="0.89309031243837045"/>
    <x v="1"/>
  </r>
  <r>
    <s v="0834-5"/>
    <x v="8"/>
    <n v="6.4432989690721648E-4"/>
    <n v="0.31765463917525677"/>
    <n v="34"/>
    <n v="85.35"/>
    <n v="2901.8999999999996"/>
    <n v="3.5156558805078669E-4"/>
    <n v="0.89344187802642128"/>
    <x v="1"/>
  </r>
  <r>
    <s v="0684-3"/>
    <x v="1"/>
    <n v="6.4432989690721648E-4"/>
    <n v="0.31829896907216398"/>
    <n v="4"/>
    <n v="723.48"/>
    <n v="2893.92"/>
    <n v="3.5059880994242832E-4"/>
    <n v="0.89379247683636376"/>
    <x v="1"/>
  </r>
  <r>
    <s v="0329-6"/>
    <x v="7"/>
    <n v="6.4432989690721648E-4"/>
    <n v="0.3189432989690712"/>
    <n v="59"/>
    <n v="48.79"/>
    <n v="2878.61"/>
    <n v="3.4874400131599132E-4"/>
    <n v="0.89414122083767977"/>
    <x v="1"/>
  </r>
  <r>
    <s v="1327-8"/>
    <x v="5"/>
    <n v="6.4432989690721648E-4"/>
    <n v="0.31958762886597841"/>
    <n v="83"/>
    <n v="34.68"/>
    <n v="2878.44"/>
    <n v="3.4872340579237968E-4"/>
    <n v="0.89448994424347217"/>
    <x v="1"/>
  </r>
  <r>
    <s v="1453-1"/>
    <x v="0"/>
    <n v="6.4432989690721648E-4"/>
    <n v="0.32023195876288563"/>
    <n v="6"/>
    <n v="472.38"/>
    <n v="2834.2799999999997"/>
    <n v="3.4337341565890753E-4"/>
    <n v="0.8948333176591311"/>
    <x v="1"/>
  </r>
  <r>
    <s v="1649-9"/>
    <x v="2"/>
    <n v="6.4432989690721648E-4"/>
    <n v="0.32087628865979284"/>
    <n v="8"/>
    <n v="351.99"/>
    <n v="2815.92"/>
    <n v="3.4114909910884988E-4"/>
    <n v="0.89517446675823997"/>
    <x v="1"/>
  </r>
  <r>
    <s v="1087-8"/>
    <x v="5"/>
    <n v="6.4432989690721648E-4"/>
    <n v="0.32152061855670006"/>
    <n v="236"/>
    <n v="11.8"/>
    <n v="2784.8"/>
    <n v="3.3737890678652986E-4"/>
    <n v="0.89551184566502651"/>
    <x v="1"/>
  </r>
  <r>
    <s v="0589-8"/>
    <x v="5"/>
    <n v="6.4432989690721648E-4"/>
    <n v="0.32216494845360727"/>
    <n v="42"/>
    <n v="65.48"/>
    <n v="2750.1600000000003"/>
    <n v="3.3318226597530987E-4"/>
    <n v="0.89584502793100185"/>
    <x v="1"/>
  </r>
  <r>
    <s v="0781-2"/>
    <x v="6"/>
    <n v="6.4432989690721648E-4"/>
    <n v="0.32280927835051448"/>
    <n v="41"/>
    <n v="67.05"/>
    <n v="2749.0499999999997"/>
    <n v="3.3304778932113964E-4"/>
    <n v="0.89617807572032304"/>
    <x v="1"/>
  </r>
  <r>
    <s v="0588-8"/>
    <x v="5"/>
    <n v="6.4432989690721648E-4"/>
    <n v="0.3234536082474217"/>
    <n v="74"/>
    <n v="37.090000000000003"/>
    <n v="2744.6600000000003"/>
    <n v="3.3251594021140371E-4"/>
    <n v="0.89651059166053448"/>
    <x v="1"/>
  </r>
  <r>
    <s v="0160-6"/>
    <x v="7"/>
    <n v="6.4432989690721648E-4"/>
    <n v="0.32409793814432891"/>
    <n v="136"/>
    <n v="20.170000000000002"/>
    <n v="2743.1200000000003"/>
    <n v="3.3232936899750998E-4"/>
    <n v="0.896842921029532"/>
    <x v="1"/>
  </r>
  <r>
    <s v="1852-1"/>
    <x v="0"/>
    <n v="6.4432989690721648E-4"/>
    <n v="0.32474226804123613"/>
    <n v="6"/>
    <n v="456.4"/>
    <n v="2738.3999999999996"/>
    <n v="3.317575403419395E-4"/>
    <n v="0.89717467856987398"/>
    <x v="1"/>
  </r>
  <r>
    <s v="1518-7"/>
    <x v="3"/>
    <n v="6.4432989690721648E-4"/>
    <n v="0.32538659793814334"/>
    <n v="14"/>
    <n v="195.53"/>
    <n v="2737.42"/>
    <n v="3.3163881320582536E-4"/>
    <n v="0.89750631738307984"/>
    <x v="1"/>
  </r>
  <r>
    <s v="0552-8"/>
    <x v="5"/>
    <n v="6.4432989690721648E-4"/>
    <n v="0.32603092783505055"/>
    <n v="157"/>
    <n v="17.39"/>
    <n v="2730.23"/>
    <n v="3.3076774370719163E-4"/>
    <n v="0.89783708512678706"/>
    <x v="1"/>
  </r>
  <r>
    <s v="1137-8"/>
    <x v="5"/>
    <n v="6.4432989690721648E-4"/>
    <n v="0.32667525773195777"/>
    <n v="136"/>
    <n v="20.07"/>
    <n v="2729.52"/>
    <n v="3.306817271085783E-4"/>
    <n v="0.89816776685389565"/>
    <x v="1"/>
  </r>
  <r>
    <s v="0115-8"/>
    <x v="5"/>
    <n v="6.4432989690721648E-4"/>
    <n v="0.32731958762886498"/>
    <n v="225"/>
    <n v="12.13"/>
    <n v="2729.25"/>
    <n v="3.3064901657107743E-4"/>
    <n v="0.89849841587046675"/>
    <x v="1"/>
  </r>
  <r>
    <s v="0278-3"/>
    <x v="1"/>
    <n v="6.4432989690721648E-4"/>
    <n v="0.3279639175257722"/>
    <n v="5"/>
    <n v="545.71"/>
    <n v="2728.55"/>
    <n v="3.3056421147385307E-4"/>
    <n v="0.89882898008194057"/>
    <x v="1"/>
  </r>
  <r>
    <s v="1003-9"/>
    <x v="2"/>
    <n v="6.4432989690721648E-4"/>
    <n v="0.32860824742267941"/>
    <n v="71"/>
    <n v="38.29"/>
    <n v="2718.59"/>
    <n v="3.2935755609048845E-4"/>
    <n v="0.8991583376380311"/>
    <x v="1"/>
  </r>
  <r>
    <s v="1150-5"/>
    <x v="8"/>
    <n v="6.4432989690721648E-4"/>
    <n v="0.32925257731958663"/>
    <n v="165"/>
    <n v="16.43"/>
    <n v="2710.95"/>
    <n v="3.2843196902935325E-4"/>
    <n v="0.89948676960706042"/>
    <x v="1"/>
  </r>
  <r>
    <s v="1035-3"/>
    <x v="1"/>
    <n v="6.4432989690721648E-4"/>
    <n v="0.32989690721649384"/>
    <n v="4"/>
    <n v="677.1"/>
    <n v="2708.4"/>
    <n v="3.2812303617517862E-4"/>
    <n v="0.89981489264323555"/>
    <x v="1"/>
  </r>
  <r>
    <s v="0618-4"/>
    <x v="4"/>
    <n v="6.4432989690721648E-4"/>
    <n v="0.33054123711340105"/>
    <n v="28"/>
    <n v="96.67"/>
    <n v="2706.76"/>
    <n v="3.2792434994739571E-4"/>
    <n v="0.90014281699318299"/>
    <x v="2"/>
  </r>
  <r>
    <s v="0249-2"/>
    <x v="6"/>
    <n v="6.4432989690721648E-4"/>
    <n v="0.33118556701030827"/>
    <n v="369"/>
    <n v="7.31"/>
    <n v="2697.39"/>
    <n v="3.2678917314597734E-4"/>
    <n v="0.90046960616632898"/>
    <x v="2"/>
  </r>
  <r>
    <s v="1483-4"/>
    <x v="4"/>
    <n v="6.4432989690721648E-4"/>
    <n v="0.33182989690721548"/>
    <n v="134"/>
    <n v="20.11"/>
    <n v="2694.74"/>
    <n v="3.2646812527791343E-4"/>
    <n v="0.90079607429160691"/>
    <x v="2"/>
  </r>
  <r>
    <s v="0993-7"/>
    <x v="3"/>
    <n v="6.4432989690721648E-4"/>
    <n v="0.3324742268041227"/>
    <n v="70"/>
    <n v="38.49"/>
    <n v="2694.3"/>
    <n v="3.2641481921680097E-4"/>
    <n v="0.90112248911082371"/>
    <x v="2"/>
  </r>
  <r>
    <s v="1248-8"/>
    <x v="5"/>
    <n v="6.4432989690721648E-4"/>
    <n v="0.33311855670102991"/>
    <n v="256"/>
    <n v="10.52"/>
    <n v="2693.12"/>
    <n v="3.2627186205290833E-4"/>
    <n v="0.90144876097287663"/>
    <x v="2"/>
  </r>
  <r>
    <s v="0080-3"/>
    <x v="1"/>
    <n v="6.4432989690721648E-4"/>
    <n v="0.33376288659793713"/>
    <n v="3"/>
    <n v="892.23"/>
    <n v="2676.69"/>
    <n v="3.2428136527091231E-4"/>
    <n v="0.90177304233814759"/>
    <x v="2"/>
  </r>
  <r>
    <s v="0196-8"/>
    <x v="5"/>
    <n v="6.4432989690721648E-4"/>
    <n v="0.33440721649484434"/>
    <n v="665"/>
    <n v="3.98"/>
    <n v="2646.7"/>
    <n v="3.2064807260554022E-4"/>
    <n v="0.90209369041075316"/>
    <x v="2"/>
  </r>
  <r>
    <s v="1440-1"/>
    <x v="0"/>
    <n v="6.4432989690721648E-4"/>
    <n v="0.33505154639175155"/>
    <n v="3"/>
    <n v="880.79"/>
    <n v="2642.37"/>
    <n v="3.2012349250413774E-4"/>
    <n v="0.90241381390325726"/>
    <x v="2"/>
  </r>
  <r>
    <s v="0346-9"/>
    <x v="2"/>
    <n v="6.4432989690721648E-4"/>
    <n v="0.33569587628865877"/>
    <n v="41"/>
    <n v="64.44"/>
    <n v="2642.04"/>
    <n v="3.2008351295830336E-4"/>
    <n v="0.90273389741621557"/>
    <x v="2"/>
  </r>
  <r>
    <s v="0301-8"/>
    <x v="5"/>
    <n v="6.4432989690721648E-4"/>
    <n v="0.33634020618556598"/>
    <n v="61"/>
    <n v="43.01"/>
    <n v="2623.6099999999997"/>
    <n v="3.1785071589852319E-4"/>
    <n v="0.90305174813211408"/>
    <x v="2"/>
  </r>
  <r>
    <s v="0683-8"/>
    <x v="5"/>
    <n v="6.4432989690721648E-4"/>
    <n v="0.3369845360824732"/>
    <n v="110"/>
    <n v="23.73"/>
    <n v="2610.3000000000002"/>
    <n v="3.1623820754987029E-4"/>
    <n v="0.90336798633966398"/>
    <x v="2"/>
  </r>
  <r>
    <s v="0012-4"/>
    <x v="4"/>
    <n v="6.4432989690721648E-4"/>
    <n v="0.33762886597938041"/>
    <n v="11"/>
    <n v="236.54"/>
    <n v="2601.94"/>
    <n v="3.1522539238873292E-4"/>
    <n v="0.90368321173205268"/>
    <x v="2"/>
  </r>
  <r>
    <s v="1297-9"/>
    <x v="2"/>
    <n v="6.4432989690721648E-4"/>
    <n v="0.33827319587628762"/>
    <n v="12"/>
    <n v="215.24"/>
    <n v="2582.88"/>
    <n v="3.1291627074145079E-4"/>
    <n v="0.90399612800279416"/>
    <x v="2"/>
  </r>
  <r>
    <s v="0285-9"/>
    <x v="2"/>
    <n v="6.4432989690721648E-4"/>
    <n v="0.33891752577319484"/>
    <n v="20"/>
    <n v="128.97999999999999"/>
    <n v="2579.6"/>
    <n v="3.1251889828588493E-4"/>
    <n v="0.90430864690108004"/>
    <x v="2"/>
  </r>
  <r>
    <s v="1456-5"/>
    <x v="8"/>
    <n v="6.4432989690721648E-4"/>
    <n v="0.33956185567010205"/>
    <n v="16"/>
    <n v="161.13"/>
    <n v="2578.08"/>
    <n v="3.12334750074769E-4"/>
    <n v="0.90462098165115479"/>
    <x v="2"/>
  </r>
  <r>
    <s v="0300-3"/>
    <x v="1"/>
    <n v="6.4432989690721648E-4"/>
    <n v="0.34020618556700927"/>
    <n v="7"/>
    <n v="366.82"/>
    <n v="2567.7399999999998"/>
    <n v="3.1108205763862539E-4"/>
    <n v="0.90493206370879342"/>
    <x v="2"/>
  </r>
  <r>
    <s v="1499-1"/>
    <x v="0"/>
    <n v="6.4432989690721648E-4"/>
    <n v="0.34085051546391648"/>
    <n v="7"/>
    <n v="366.77"/>
    <n v="2567.39"/>
    <n v="3.110396550900132E-4"/>
    <n v="0.90524310336388347"/>
    <x v="2"/>
  </r>
  <r>
    <s v="0871-6"/>
    <x v="7"/>
    <n v="6.4432989690721648E-4"/>
    <n v="0.3414948453608237"/>
    <n v="32"/>
    <n v="79.83"/>
    <n v="2554.56"/>
    <n v="3.0948529880802842E-4"/>
    <n v="0.9055525886626915"/>
    <x v="2"/>
  </r>
  <r>
    <s v="0807-9"/>
    <x v="2"/>
    <n v="6.4432989690721648E-4"/>
    <n v="0.34213917525773091"/>
    <n v="62"/>
    <n v="41.03"/>
    <n v="2543.86"/>
    <n v="3.0818899232188372E-4"/>
    <n v="0.90586077765501338"/>
    <x v="2"/>
  </r>
  <r>
    <s v="1770-9"/>
    <x v="2"/>
    <n v="6.4432989690721648E-4"/>
    <n v="0.34278350515463812"/>
    <n v="8"/>
    <n v="315.8"/>
    <n v="2526.4"/>
    <n v="3.0607371089682884E-4"/>
    <n v="0.90616685136591024"/>
    <x v="2"/>
  </r>
  <r>
    <s v="1599-7"/>
    <x v="3"/>
    <n v="6.4432989690721648E-4"/>
    <n v="0.34342783505154534"/>
    <n v="34"/>
    <n v="74.3"/>
    <n v="2526.1999999999998"/>
    <n v="3.0604948086905039E-4"/>
    <n v="0.90647290084677934"/>
    <x v="2"/>
  </r>
  <r>
    <s v="0616-8"/>
    <x v="5"/>
    <n v="6.4432989690721648E-4"/>
    <n v="0.34407216494845255"/>
    <n v="32"/>
    <n v="78.88"/>
    <n v="2524.16"/>
    <n v="3.0580233458571068E-4"/>
    <n v="0.906778703181365"/>
    <x v="2"/>
  </r>
  <r>
    <s v="0333-2"/>
    <x v="6"/>
    <n v="6.4432989690721648E-4"/>
    <n v="0.34471649484535977"/>
    <n v="34"/>
    <n v="74.099999999999994"/>
    <n v="2519.3999999999996"/>
    <n v="3.0522565992458455E-4"/>
    <n v="0.90708392884128963"/>
    <x v="2"/>
  </r>
  <r>
    <s v="1781-9"/>
    <x v="2"/>
    <n v="6.4432989690721648E-4"/>
    <n v="0.34536082474226698"/>
    <n v="17"/>
    <n v="148.1"/>
    <n v="2517.6999999999998"/>
    <n v="3.0501970468846813E-4"/>
    <n v="0.90738894854597807"/>
    <x v="2"/>
  </r>
  <r>
    <s v="1230-8"/>
    <x v="5"/>
    <n v="6.4432989690721648E-4"/>
    <n v="0.3460051546391742"/>
    <n v="51"/>
    <n v="49.22"/>
    <n v="2510.2199999999998"/>
    <n v="3.0411350164955572E-4"/>
    <n v="0.90769306204762767"/>
    <x v="2"/>
  </r>
  <r>
    <s v="0463-8"/>
    <x v="5"/>
    <n v="6.4432989690721648E-4"/>
    <n v="0.34664948453608141"/>
    <n v="78"/>
    <n v="32.130000000000003"/>
    <n v="2506.1400000000003"/>
    <n v="3.0361920908287632E-4"/>
    <n v="0.90799668125671051"/>
    <x v="2"/>
  </r>
  <r>
    <s v="1010-3"/>
    <x v="1"/>
    <n v="6.4432989690721648E-4"/>
    <n v="0.34729381443298862"/>
    <n v="3"/>
    <n v="832.54"/>
    <n v="2497.62"/>
    <n v="3.0258700989951615E-4"/>
    <n v="0.90829926826661"/>
    <x v="2"/>
  </r>
  <r>
    <s v="1139-4"/>
    <x v="4"/>
    <n v="6.4432989690721648E-4"/>
    <n v="0.34793814432989584"/>
    <n v="17"/>
    <n v="146.84"/>
    <n v="2496.2800000000002"/>
    <n v="3.0242466871340087E-4"/>
    <n v="0.90860169293532345"/>
    <x v="2"/>
  </r>
  <r>
    <s v="1341-4"/>
    <x v="4"/>
    <n v="6.4432989690721648E-4"/>
    <n v="0.34858247422680305"/>
    <n v="13"/>
    <n v="192.01"/>
    <n v="2496.13"/>
    <n v="3.0240649619256703E-4"/>
    <n v="0.90890409943151607"/>
    <x v="2"/>
  </r>
  <r>
    <s v="0676-6"/>
    <x v="7"/>
    <n v="6.4432989690721648E-4"/>
    <n v="0.34922680412371027"/>
    <n v="38"/>
    <n v="65.63"/>
    <n v="2493.9399999999996"/>
    <n v="3.0214117738839344E-4"/>
    <n v="0.90920624060890443"/>
    <x v="2"/>
  </r>
  <r>
    <s v="0801-5"/>
    <x v="8"/>
    <n v="6.4432989690721648E-4"/>
    <n v="0.34987113402061748"/>
    <n v="66"/>
    <n v="37.68"/>
    <n v="2486.88"/>
    <n v="3.0128585740781574E-4"/>
    <n v="0.90950752646631228"/>
    <x v="2"/>
  </r>
  <r>
    <s v="1427-4"/>
    <x v="4"/>
    <n v="6.4432989690721648E-4"/>
    <n v="0.35051546391752469"/>
    <n v="6"/>
    <n v="413.98"/>
    <n v="2483.88"/>
    <n v="3.0092240699113965E-4"/>
    <n v="0.90980844887330337"/>
    <x v="2"/>
  </r>
  <r>
    <s v="0212-9"/>
    <x v="2"/>
    <n v="6.4432989690721648E-4"/>
    <n v="0.35115979381443191"/>
    <n v="10"/>
    <n v="248.34"/>
    <n v="2483.4"/>
    <n v="3.0086425492447148E-4"/>
    <n v="0.91010931312822785"/>
    <x v="2"/>
  </r>
  <r>
    <s v="1880-1"/>
    <x v="0"/>
    <n v="6.4432989690721648E-4"/>
    <n v="0.35180412371133912"/>
    <n v="3"/>
    <n v="827.47"/>
    <n v="2482.41"/>
    <n v="3.0074431628696833E-4"/>
    <n v="0.91041005744451486"/>
    <x v="2"/>
  </r>
  <r>
    <s v="1320-6"/>
    <x v="7"/>
    <n v="6.4432989690721648E-4"/>
    <n v="0.35244845360824634"/>
    <n v="107"/>
    <n v="23.13"/>
    <n v="2474.91"/>
    <n v="2.9983569024527812E-4"/>
    <n v="0.91070989313476014"/>
    <x v="2"/>
  </r>
  <r>
    <s v="0403-8"/>
    <x v="5"/>
    <n v="6.4432989690721648E-4"/>
    <n v="0.35309278350515355"/>
    <n v="63"/>
    <n v="39.28"/>
    <n v="2474.64"/>
    <n v="2.9980297970777725E-4"/>
    <n v="0.91100969611446792"/>
    <x v="2"/>
  </r>
  <r>
    <s v="1684-8"/>
    <x v="5"/>
    <n v="6.4432989690721648E-4"/>
    <n v="0.35373711340206077"/>
    <n v="168"/>
    <n v="14.71"/>
    <n v="2471.2800000000002"/>
    <n v="2.9939591524110007E-4"/>
    <n v="0.911309092029709"/>
    <x v="2"/>
  </r>
  <r>
    <s v="0978-8"/>
    <x v="5"/>
    <n v="6.4432989690721648E-4"/>
    <n v="0.35438144329896798"/>
    <n v="38"/>
    <n v="64.67"/>
    <n v="2457.46"/>
    <n v="2.977216203216122E-4"/>
    <n v="0.9116068136500306"/>
    <x v="2"/>
  </r>
  <r>
    <s v="0243-5"/>
    <x v="8"/>
    <n v="6.4432989690721648E-4"/>
    <n v="0.35502577319587519"/>
    <n v="44"/>
    <n v="55.74"/>
    <n v="2452.56"/>
    <n v="2.9712798464104123E-4"/>
    <n v="0.91190394163467159"/>
    <x v="2"/>
  </r>
  <r>
    <s v="0099-9"/>
    <x v="2"/>
    <n v="6.4432989690721648E-4"/>
    <n v="0.35567010309278241"/>
    <n v="5"/>
    <n v="490.11"/>
    <n v="2450.5500000000002"/>
    <n v="2.9688447286186823E-4"/>
    <n v="0.9122008261075335"/>
    <x v="2"/>
  </r>
  <r>
    <s v="0739-8"/>
    <x v="5"/>
    <n v="6.4432989690721648E-4"/>
    <n v="0.35631443298968962"/>
    <n v="51"/>
    <n v="47.96"/>
    <n v="2445.96"/>
    <n v="2.9632839372435379E-4"/>
    <n v="0.9124971545012579"/>
    <x v="2"/>
  </r>
  <r>
    <s v="0328-4"/>
    <x v="4"/>
    <n v="6.4432989690721648E-4"/>
    <n v="0.35695876288659684"/>
    <n v="34"/>
    <n v="71.7"/>
    <n v="2437.8000000000002"/>
    <n v="2.9533980859099487E-4"/>
    <n v="0.91279249430984888"/>
    <x v="2"/>
  </r>
  <r>
    <s v="0442-6"/>
    <x v="7"/>
    <n v="6.4432989690721648E-4"/>
    <n v="0.35760309278350405"/>
    <n v="38"/>
    <n v="63.96"/>
    <n v="2430.48"/>
    <n v="2.9445298957430515E-4"/>
    <n v="0.91308694729942319"/>
    <x v="2"/>
  </r>
  <r>
    <s v="0663-8"/>
    <x v="5"/>
    <n v="6.4432989690721648E-4"/>
    <n v="0.35824742268041126"/>
    <n v="53"/>
    <n v="45.8"/>
    <n v="2427.3999999999996"/>
    <n v="2.9407984714651764E-4"/>
    <n v="0.91338102714656966"/>
    <x v="2"/>
  </r>
  <r>
    <s v="0321-8"/>
    <x v="5"/>
    <n v="6.4432989690721648E-4"/>
    <n v="0.35889175257731848"/>
    <n v="93"/>
    <n v="26.09"/>
    <n v="2426.37"/>
    <n v="2.9395506250345888E-4"/>
    <n v="0.91367498220907306"/>
    <x v="2"/>
  </r>
  <r>
    <s v="0905-8"/>
    <x v="5"/>
    <n v="6.4432989690721648E-4"/>
    <n v="0.35953608247422569"/>
    <n v="82"/>
    <n v="29.54"/>
    <n v="2422.2799999999997"/>
    <n v="2.9345955843539047E-4"/>
    <n v="0.91396844176750847"/>
    <x v="2"/>
  </r>
  <r>
    <s v="0938-9"/>
    <x v="2"/>
    <n v="6.4432989690721648E-4"/>
    <n v="0.36018041237113291"/>
    <n v="7"/>
    <n v="345.01"/>
    <n v="2415.0699999999997"/>
    <n v="2.9258606593397893E-4"/>
    <n v="0.91426102783344243"/>
    <x v="2"/>
  </r>
  <r>
    <s v="0755-8"/>
    <x v="5"/>
    <n v="6.4432989690721648E-4"/>
    <n v="0.36082474226804012"/>
    <n v="31"/>
    <n v="77.44"/>
    <n v="2400.64"/>
    <n v="2.908378694297669E-4"/>
    <n v="0.91455186570287217"/>
    <x v="2"/>
  </r>
  <r>
    <s v="1728-4"/>
    <x v="4"/>
    <n v="6.4432989690721648E-4"/>
    <n v="0.36146907216494734"/>
    <n v="8"/>
    <n v="298.73"/>
    <n v="2389.84"/>
    <n v="2.8952944792973303E-4"/>
    <n v="0.91484139515080187"/>
    <x v="2"/>
  </r>
  <r>
    <s v="0779-2"/>
    <x v="6"/>
    <n v="6.4432989690721648E-4"/>
    <n v="0.36211340206185455"/>
    <n v="29"/>
    <n v="82.15"/>
    <n v="2382.3500000000004"/>
    <n v="2.8862203338943172E-4"/>
    <n v="0.91513001718419129"/>
    <x v="2"/>
  </r>
  <r>
    <s v="0501-3"/>
    <x v="1"/>
    <n v="6.4432989690721648E-4"/>
    <n v="0.36275773195876176"/>
    <n v="2"/>
    <n v="1188.07"/>
    <n v="2376.14"/>
    <n v="2.8786969102691213E-4"/>
    <n v="0.91541788687521819"/>
    <x v="2"/>
  </r>
  <r>
    <s v="0601-8"/>
    <x v="5"/>
    <n v="6.4432989690721648E-4"/>
    <n v="0.36340206185566898"/>
    <n v="40"/>
    <n v="59.33"/>
    <n v="2373.1999999999998"/>
    <n v="2.8751350961856955E-4"/>
    <n v="0.91570540038483672"/>
    <x v="2"/>
  </r>
  <r>
    <s v="0821-2"/>
    <x v="6"/>
    <n v="6.4432989690721648E-4"/>
    <n v="0.36404639175257619"/>
    <n v="55"/>
    <n v="42.82"/>
    <n v="2355.1"/>
    <n v="2.8532069210462381E-4"/>
    <n v="0.91599072107694135"/>
    <x v="2"/>
  </r>
  <r>
    <s v="0410-9"/>
    <x v="2"/>
    <n v="6.4432989690721648E-4"/>
    <n v="0.36469072164948341"/>
    <n v="11"/>
    <n v="212.38"/>
    <n v="2336.1799999999998"/>
    <n v="2.8302853147678657E-4"/>
    <n v="0.91627374960841812"/>
    <x v="2"/>
  </r>
  <r>
    <s v="0113-8"/>
    <x v="5"/>
    <n v="6.4432989690721648E-4"/>
    <n v="0.36533505154639062"/>
    <n v="213"/>
    <n v="10.94"/>
    <n v="2330.2199999999998"/>
    <n v="2.8230647664899004E-4"/>
    <n v="0.91655605608506707"/>
    <x v="2"/>
  </r>
  <r>
    <s v="1840-8"/>
    <x v="5"/>
    <n v="6.4432989690721648E-4"/>
    <n v="0.36597938144329784"/>
    <n v="38"/>
    <n v="61.26"/>
    <n v="2327.88"/>
    <n v="2.8202298532398272E-4"/>
    <n v="0.91683807907039105"/>
    <x v="2"/>
  </r>
  <r>
    <s v="0435-3"/>
    <x v="1"/>
    <n v="6.4432989690721648E-4"/>
    <n v="0.36662371134020505"/>
    <n v="2"/>
    <n v="1162.6600000000001"/>
    <n v="2325.3200000000002"/>
    <n v="2.8171284096841913E-4"/>
    <n v="0.91711979191135951"/>
    <x v="2"/>
  </r>
  <r>
    <s v="0844-2"/>
    <x v="6"/>
    <n v="6.4432989690721648E-4"/>
    <n v="0.36726804123711226"/>
    <n v="422"/>
    <n v="5.5"/>
    <n v="2321"/>
    <n v="2.8118947236840551E-4"/>
    <n v="0.91740098138372794"/>
    <x v="2"/>
  </r>
  <r>
    <s v="1016-4"/>
    <x v="4"/>
    <n v="6.4432989690721648E-4"/>
    <n v="0.36791237113401948"/>
    <n v="11"/>
    <n v="210.9"/>
    <n v="2319.9"/>
    <n v="2.8105620721562429E-4"/>
    <n v="0.91768203759094358"/>
    <x v="2"/>
  </r>
  <r>
    <s v="0226-6"/>
    <x v="7"/>
    <n v="6.4432989690721648E-4"/>
    <n v="0.36855670103092669"/>
    <n v="48"/>
    <n v="48.24"/>
    <n v="2315.52"/>
    <n v="2.805255696072772E-4"/>
    <n v="0.9179625631605508"/>
    <x v="2"/>
  </r>
  <r>
    <s v="1828-9"/>
    <x v="2"/>
    <n v="6.4432989690721648E-4"/>
    <n v="0.36920103092783391"/>
    <n v="17"/>
    <n v="136.1"/>
    <n v="2313.6999999999998"/>
    <n v="2.803050763544937E-4"/>
    <n v="0.91824286823690526"/>
    <x v="2"/>
  </r>
  <r>
    <s v="1338-8"/>
    <x v="5"/>
    <n v="6.4432989690721648E-4"/>
    <n v="0.36984536082474112"/>
    <n v="49"/>
    <n v="47.12"/>
    <n v="2308.8799999999997"/>
    <n v="2.7972113268503405E-4"/>
    <n v="0.9185225893695903"/>
    <x v="2"/>
  </r>
  <r>
    <s v="1878-1"/>
    <x v="0"/>
    <n v="6.4432989690721648E-4"/>
    <n v="0.37048969072164833"/>
    <n v="8"/>
    <n v="287.97000000000003"/>
    <n v="2303.7600000000002"/>
    <n v="2.7910084397390694E-4"/>
    <n v="0.91880169021356417"/>
    <x v="2"/>
  </r>
  <r>
    <s v="0025-7"/>
    <x v="3"/>
    <n v="6.4432989690721648E-4"/>
    <n v="0.37113402061855555"/>
    <n v="18"/>
    <n v="127.89"/>
    <n v="2302.02"/>
    <n v="2.7889004273223475E-4"/>
    <n v="0.91908058025629635"/>
    <x v="2"/>
  </r>
  <r>
    <s v="0759-1"/>
    <x v="0"/>
    <n v="6.4432989690721648E-4"/>
    <n v="0.37177835051546276"/>
    <n v="5"/>
    <n v="459.59"/>
    <n v="2297.9499999999998"/>
    <n v="2.7839696166694419E-4"/>
    <n v="0.91935897721796334"/>
    <x v="2"/>
  </r>
  <r>
    <s v="0219-1"/>
    <x v="0"/>
    <n v="6.4432989690721648E-4"/>
    <n v="0.37242268041236998"/>
    <n v="6"/>
    <n v="382.82"/>
    <n v="2296.92"/>
    <n v="2.7827217702388539E-4"/>
    <n v="0.91963724939498726"/>
    <x v="2"/>
  </r>
  <r>
    <s v="0988-1"/>
    <x v="0"/>
    <n v="6.4432989690721648E-4"/>
    <n v="0.37306701030927719"/>
    <n v="2"/>
    <n v="1146.6099999999999"/>
    <n v="2293.2199999999998"/>
    <n v="2.7782392150998487E-4"/>
    <n v="0.91991507331649724"/>
    <x v="2"/>
  </r>
  <r>
    <s v="1667-3"/>
    <x v="1"/>
    <n v="6.4432989690721648E-4"/>
    <n v="0.37371134020618441"/>
    <n v="2"/>
    <n v="1144.8699999999999"/>
    <n v="2289.7399999999998"/>
    <n v="2.7740231902664061E-4"/>
    <n v="0.92019247563552387"/>
    <x v="2"/>
  </r>
  <r>
    <s v="0940-1"/>
    <x v="0"/>
    <n v="6.4432989690721648E-4"/>
    <n v="0.37435567010309162"/>
    <n v="4"/>
    <n v="570.57000000000005"/>
    <n v="2282.2800000000002"/>
    <n v="2.7649853899050611E-4"/>
    <n v="0.92046897417451434"/>
    <x v="2"/>
  </r>
  <r>
    <s v="0302-9"/>
    <x v="2"/>
    <n v="6.4432989690721648E-4"/>
    <n v="0.37499999999999883"/>
    <n v="28"/>
    <n v="81.34"/>
    <n v="2277.52"/>
    <n v="2.7592186432937998E-4"/>
    <n v="0.92074489603884369"/>
    <x v="2"/>
  </r>
  <r>
    <s v="0309-4"/>
    <x v="4"/>
    <n v="6.4432989690721648E-4"/>
    <n v="0.37564432989690605"/>
    <n v="29"/>
    <n v="78.260000000000005"/>
    <n v="2269.54"/>
    <n v="2.7495508622102155E-4"/>
    <n v="0.92101985112506468"/>
    <x v="2"/>
  </r>
  <r>
    <s v="0845-9"/>
    <x v="2"/>
    <n v="6.4432989690721648E-4"/>
    <n v="0.37628865979381326"/>
    <n v="14"/>
    <n v="162.09"/>
    <n v="2269.2600000000002"/>
    <n v="2.7492116418213183E-4"/>
    <n v="0.92129477228924683"/>
    <x v="2"/>
  </r>
  <r>
    <s v="0799-4"/>
    <x v="4"/>
    <n v="6.4432989690721648E-4"/>
    <n v="0.37693298969072048"/>
    <n v="6"/>
    <n v="377.96"/>
    <n v="2267.7599999999998"/>
    <n v="2.7473943897379376E-4"/>
    <n v="0.92156951172822066"/>
    <x v="2"/>
  </r>
  <r>
    <s v="1587-5"/>
    <x v="8"/>
    <n v="6.4432989690721648E-4"/>
    <n v="0.37757731958762769"/>
    <n v="17"/>
    <n v="133.26"/>
    <n v="2265.42"/>
    <n v="2.7445594764878643E-4"/>
    <n v="0.9218439676758694"/>
    <x v="2"/>
  </r>
  <r>
    <s v="0295-6"/>
    <x v="7"/>
    <n v="6.4432989690721648E-4"/>
    <n v="0.37822164948453491"/>
    <n v="27"/>
    <n v="83.57"/>
    <n v="2256.39"/>
    <n v="2.7336196189459134E-4"/>
    <n v="0.92211732963776394"/>
    <x v="2"/>
  </r>
  <r>
    <s v="0877-9"/>
    <x v="2"/>
    <n v="6.4432989690721648E-4"/>
    <n v="0.37886597938144212"/>
    <n v="7"/>
    <n v="321.38"/>
    <n v="2249.66"/>
    <n v="2.7254662145984797E-4"/>
    <n v="0.92238987625922375"/>
    <x v="2"/>
  </r>
  <r>
    <s v="0494-2"/>
    <x v="6"/>
    <n v="6.4432989690721648E-4"/>
    <n v="0.37951030927834933"/>
    <n v="67"/>
    <n v="33.49"/>
    <n v="2243.83"/>
    <n v="2.7184031615010742E-4"/>
    <n v="0.92266171657537388"/>
    <x v="2"/>
  </r>
  <r>
    <s v="1358-1"/>
    <x v="0"/>
    <n v="6.4432989690721648E-4"/>
    <n v="0.38015463917525655"/>
    <n v="2"/>
    <n v="1119.5"/>
    <n v="2239"/>
    <n v="2.7125516097925893E-4"/>
    <n v="0.92293297173635314"/>
    <x v="2"/>
  </r>
  <r>
    <s v="1071-7"/>
    <x v="3"/>
    <n v="6.4432989690721648E-4"/>
    <n v="0.38079896907216376"/>
    <n v="16"/>
    <n v="139.18"/>
    <n v="2226.88"/>
    <n v="2.6978682129588752E-4"/>
    <n v="0.92320275855764899"/>
    <x v="2"/>
  </r>
  <r>
    <s v="0677-3"/>
    <x v="1"/>
    <n v="6.4432989690721648E-4"/>
    <n v="0.38144329896907098"/>
    <n v="5"/>
    <n v="442.83"/>
    <n v="2214.15"/>
    <n v="2.6824458002779197E-4"/>
    <n v="0.92347100313767683"/>
    <x v="2"/>
  </r>
  <r>
    <s v="1091-1"/>
    <x v="0"/>
    <n v="6.4432989690721648E-4"/>
    <n v="0.38208762886597819"/>
    <n v="2"/>
    <n v="1103.27"/>
    <n v="2206.54"/>
    <n v="2.6732262747082358E-4"/>
    <n v="0.92373832576514769"/>
    <x v="2"/>
  </r>
  <r>
    <s v="0492-8"/>
    <x v="5"/>
    <n v="6.4432989690721648E-4"/>
    <n v="0.3827319587628854"/>
    <n v="34"/>
    <n v="64.760000000000005"/>
    <n v="2201.84"/>
    <n v="2.6675322181803106E-4"/>
    <n v="0.92400507898696571"/>
    <x v="2"/>
  </r>
  <r>
    <s v="1777-8"/>
    <x v="5"/>
    <n v="6.4432989690721648E-4"/>
    <n v="0.38337628865979262"/>
    <n v="90"/>
    <n v="24.44"/>
    <n v="2199.6"/>
    <n v="2.6648184550691285E-4"/>
    <n v="0.92427156083247264"/>
    <x v="2"/>
  </r>
  <r>
    <s v="1085-6"/>
    <x v="7"/>
    <n v="6.4432989690721648E-4"/>
    <n v="0.38402061855669983"/>
    <n v="59"/>
    <n v="37.25"/>
    <n v="2197.75"/>
    <n v="2.6625771774996265E-4"/>
    <n v="0.92453781855022266"/>
    <x v="2"/>
  </r>
  <r>
    <s v="1049-1"/>
    <x v="0"/>
    <n v="6.4432989690721648E-4"/>
    <n v="0.38466494845360705"/>
    <n v="3"/>
    <n v="731.56"/>
    <n v="2194.6799999999998"/>
    <n v="2.6588578682356409E-4"/>
    <n v="0.92480370433704617"/>
    <x v="2"/>
  </r>
  <r>
    <s v="0765-8"/>
    <x v="5"/>
    <n v="6.4432989690721648E-4"/>
    <n v="0.38530927835051426"/>
    <n v="55"/>
    <n v="39.9"/>
    <n v="2194.5"/>
    <n v="2.6586397979856354E-4"/>
    <n v="0.92506956831684473"/>
    <x v="2"/>
  </r>
  <r>
    <s v="0049-7"/>
    <x v="3"/>
    <n v="6.4432989690721648E-4"/>
    <n v="0.38595360824742148"/>
    <n v="17"/>
    <n v="128.13999999999999"/>
    <n v="2178.3799999999997"/>
    <n v="2.6391103955962394E-4"/>
    <n v="0.92533347935640431"/>
    <x v="2"/>
  </r>
  <r>
    <s v="1680-3"/>
    <x v="1"/>
    <n v="6.4432989690721648E-4"/>
    <n v="0.38659793814432869"/>
    <n v="3"/>
    <n v="725.63"/>
    <n v="2176.89"/>
    <n v="2.6373052585267482E-4"/>
    <n v="0.92559720988225702"/>
    <x v="2"/>
  </r>
  <r>
    <s v="1839-1"/>
    <x v="0"/>
    <n v="6.4432989690721648E-4"/>
    <n v="0.3872422680412359"/>
    <n v="3"/>
    <n v="725.27"/>
    <n v="2175.81"/>
    <n v="2.6359968370267146E-4"/>
    <n v="0.92586080956595973"/>
    <x v="2"/>
  </r>
  <r>
    <s v="1203-3"/>
    <x v="1"/>
    <n v="6.4432989690721648E-4"/>
    <n v="0.38788659793814312"/>
    <n v="2"/>
    <n v="1071.24"/>
    <n v="2142.48"/>
    <n v="2.5956174957340004E-4"/>
    <n v="0.92612037131553315"/>
    <x v="2"/>
  </r>
  <r>
    <s v="0376-7"/>
    <x v="3"/>
    <n v="6.4432989690721648E-4"/>
    <n v="0.38853092783505033"/>
    <n v="128"/>
    <n v="16.72"/>
    <n v="2140.16"/>
    <n v="2.5928068125117052E-4"/>
    <n v="0.92637965199678429"/>
    <x v="2"/>
  </r>
  <r>
    <s v="1287-8"/>
    <x v="5"/>
    <n v="6.4432989690721648E-4"/>
    <n v="0.38917525773195755"/>
    <n v="51"/>
    <n v="41.75"/>
    <n v="2129.25"/>
    <n v="2.5795893323585846E-4"/>
    <n v="0.92663761093002017"/>
    <x v="2"/>
  </r>
  <r>
    <s v="1210-9"/>
    <x v="2"/>
    <n v="6.4432989690721648E-4"/>
    <n v="0.38981958762886476"/>
    <n v="6"/>
    <n v="354.15"/>
    <n v="2124.8999999999996"/>
    <n v="2.5743193013167808E-4"/>
    <n v="0.9268950428601519"/>
    <x v="2"/>
  </r>
  <r>
    <s v="0962-1"/>
    <x v="0"/>
    <n v="6.4432989690721648E-4"/>
    <n v="0.39046391752577198"/>
    <n v="3"/>
    <n v="704.67"/>
    <n v="2114.0099999999998"/>
    <n v="2.5611260511914388E-4"/>
    <n v="0.92715115546527105"/>
    <x v="2"/>
  </r>
  <r>
    <s v="1195-3"/>
    <x v="1"/>
    <n v="6.4432989690721648E-4"/>
    <n v="0.39110824742267919"/>
    <n v="2"/>
    <n v="1055.4000000000001"/>
    <n v="2110.8000000000002"/>
    <n v="2.5572371317330049E-4"/>
    <n v="0.92740687917844433"/>
    <x v="2"/>
  </r>
  <r>
    <s v="1054-1"/>
    <x v="0"/>
    <n v="6.4432989690721648E-4"/>
    <n v="0.3917525773195864"/>
    <n v="3"/>
    <n v="699.97"/>
    <n v="2099.91"/>
    <n v="2.5440438816076624E-4"/>
    <n v="0.92766128356660504"/>
    <x v="2"/>
  </r>
  <r>
    <s v="1430-1"/>
    <x v="0"/>
    <n v="6.4432989690721648E-4"/>
    <n v="0.39239690721649362"/>
    <n v="2"/>
    <n v="1043.78"/>
    <n v="2087.56"/>
    <n v="2.5290818394544962E-4"/>
    <n v="0.92791419175055045"/>
    <x v="2"/>
  </r>
  <r>
    <s v="0551-1"/>
    <x v="0"/>
    <n v="6.4432989690721648E-4"/>
    <n v="0.39304123711340083"/>
    <n v="6"/>
    <n v="345.62"/>
    <n v="2073.7200000000003"/>
    <n v="2.5123146602318394E-4"/>
    <n v="0.92816542321657369"/>
    <x v="2"/>
  </r>
  <r>
    <s v="0842-8"/>
    <x v="5"/>
    <n v="6.4432989690721648E-4"/>
    <n v="0.39368556701030805"/>
    <n v="42"/>
    <n v="49.34"/>
    <n v="2072.2800000000002"/>
    <n v="2.5105700982317944E-4"/>
    <n v="0.92841648022639689"/>
    <x v="2"/>
  </r>
  <r>
    <s v="0819-5"/>
    <x v="8"/>
    <n v="6.4432989690721648E-4"/>
    <n v="0.39432989690721526"/>
    <n v="10"/>
    <n v="207.07"/>
    <n v="2070.6999999999998"/>
    <n v="2.5086559260372999E-4"/>
    <n v="0.92866734581900057"/>
    <x v="2"/>
  </r>
  <r>
    <s v="1693-6"/>
    <x v="7"/>
    <n v="6.4432989690721648E-4"/>
    <n v="0.39497422680412247"/>
    <n v="32"/>
    <n v="64.59"/>
    <n v="2066.88"/>
    <n v="2.5040279907316245E-4"/>
    <n v="0.92891774861807375"/>
    <x v="2"/>
  </r>
  <r>
    <s v="0670-1"/>
    <x v="0"/>
    <n v="6.4432989690721648E-4"/>
    <n v="0.39561855670102969"/>
    <n v="4"/>
    <n v="513.26"/>
    <n v="2053.04"/>
    <n v="2.4872608115089672E-4"/>
    <n v="0.92916647469922464"/>
    <x v="2"/>
  </r>
  <r>
    <s v="1464-1"/>
    <x v="0"/>
    <n v="6.4432989690721648E-4"/>
    <n v="0.3962628865979369"/>
    <n v="2"/>
    <n v="1025.3900000000001"/>
    <n v="2050.7800000000002"/>
    <n v="2.4845228183700076E-4"/>
    <n v="0.92941492698106165"/>
    <x v="2"/>
  </r>
  <r>
    <s v="1875-8"/>
    <x v="5"/>
    <n v="6.4432989690721648E-4"/>
    <n v="0.39690721649484412"/>
    <n v="103"/>
    <n v="19.8"/>
    <n v="2039.4"/>
    <n v="2.4707359325640944E-4"/>
    <n v="0.92966200057431803"/>
    <x v="2"/>
  </r>
  <r>
    <s v="0314-6"/>
    <x v="7"/>
    <n v="6.4432989690721648E-4"/>
    <n v="0.39755154639175133"/>
    <n v="24"/>
    <n v="84.47"/>
    <n v="2027.28"/>
    <n v="2.4560525357303798E-4"/>
    <n v="0.92990760582789111"/>
    <x v="2"/>
  </r>
  <r>
    <s v="0571-4"/>
    <x v="4"/>
    <n v="6.4432989690721648E-4"/>
    <n v="0.39819587628865855"/>
    <n v="15"/>
    <n v="134.11000000000001"/>
    <n v="2011.65"/>
    <n v="2.4371167690215553E-4"/>
    <n v="0.9301513175047933"/>
    <x v="2"/>
  </r>
  <r>
    <s v="0960-4"/>
    <x v="4"/>
    <n v="6.4432989690721648E-4"/>
    <n v="0.39884020618556576"/>
    <n v="14"/>
    <n v="143.58000000000001"/>
    <n v="2010.1200000000001"/>
    <n v="2.4352631718965072E-4"/>
    <n v="0.9303948438219829"/>
    <x v="2"/>
  </r>
  <r>
    <s v="0503-8"/>
    <x v="5"/>
    <n v="6.4432989690721648E-4"/>
    <n v="0.39948453608247297"/>
    <n v="87"/>
    <n v="23.1"/>
    <n v="2009.7"/>
    <n v="2.4347543413131607E-4"/>
    <n v="0.93063831925611418"/>
    <x v="2"/>
  </r>
  <r>
    <s v="1758-8"/>
    <x v="5"/>
    <n v="6.4432989690721648E-4"/>
    <n v="0.40012886597938019"/>
    <n v="36"/>
    <n v="55.8"/>
    <n v="2008.8"/>
    <n v="2.4336639900631322E-4"/>
    <n v="0.93088168565512053"/>
    <x v="2"/>
  </r>
  <r>
    <s v="0889-1"/>
    <x v="0"/>
    <n v="6.4432989690721648E-4"/>
    <n v="0.4007731958762874"/>
    <n v="6"/>
    <n v="334.79"/>
    <n v="2008.7400000000002"/>
    <n v="2.4335912999797973E-4"/>
    <n v="0.93112504478511848"/>
    <x v="2"/>
  </r>
  <r>
    <s v="1495-5"/>
    <x v="8"/>
    <n v="6.4432989690721648E-4"/>
    <n v="0.40141752577319462"/>
    <n v="38"/>
    <n v="52.7"/>
    <n v="2002.6000000000001"/>
    <n v="2.4261526814518266E-4"/>
    <n v="0.93136766005326366"/>
    <x v="2"/>
  </r>
  <r>
    <s v="1479-9"/>
    <x v="2"/>
    <n v="6.4432989690721648E-4"/>
    <n v="0.40206185567010183"/>
    <n v="26"/>
    <n v="76.930000000000007"/>
    <n v="2000.1800000000003"/>
    <n v="2.4232208480906396E-4"/>
    <n v="0.93160998213807267"/>
    <x v="2"/>
  </r>
  <r>
    <s v="0977-4"/>
    <x v="4"/>
    <n v="6.4432989690721648E-4"/>
    <n v="0.40270618556700905"/>
    <n v="15"/>
    <n v="132.63"/>
    <n v="1989.4499999999998"/>
    <n v="2.410221438187524E-4"/>
    <n v="0.93185100428189138"/>
    <x v="2"/>
  </r>
  <r>
    <s v="0094-4"/>
    <x v="4"/>
    <n v="6.4432989690721648E-4"/>
    <n v="0.40335051546391626"/>
    <n v="4"/>
    <n v="496.65"/>
    <n v="1986.6"/>
    <n v="2.4067686592291012E-4"/>
    <n v="0.93209168114781427"/>
    <x v="2"/>
  </r>
  <r>
    <s v="1019-1"/>
    <x v="0"/>
    <n v="6.4432989690721648E-4"/>
    <n v="0.40399484536082347"/>
    <n v="6"/>
    <n v="329.41"/>
    <n v="1976.46"/>
    <n v="2.3944840351454493E-4"/>
    <n v="0.9323311295513288"/>
    <x v="2"/>
  </r>
  <r>
    <s v="0909-4"/>
    <x v="4"/>
    <n v="6.4432989690721648E-4"/>
    <n v="0.40463917525773069"/>
    <n v="7"/>
    <n v="281.91000000000003"/>
    <n v="1973.3700000000001"/>
    <n v="2.3907404958536856E-4"/>
    <n v="0.93257020360091414"/>
    <x v="2"/>
  </r>
  <r>
    <s v="0087-1"/>
    <x v="0"/>
    <n v="6.4432989690721648E-4"/>
    <n v="0.4052835051546379"/>
    <n v="4"/>
    <n v="492.91"/>
    <n v="1971.64"/>
    <n v="2.3886445984508536E-4"/>
    <n v="0.93280906806075925"/>
    <x v="2"/>
  </r>
  <r>
    <s v="0370-8"/>
    <x v="5"/>
    <n v="6.4432989690721648E-4"/>
    <n v="0.40592783505154512"/>
    <n v="67"/>
    <n v="29.34"/>
    <n v="1965.78"/>
    <n v="2.3815452003117803E-4"/>
    <n v="0.93304722258079043"/>
    <x v="2"/>
  </r>
  <r>
    <s v="0251-9"/>
    <x v="2"/>
    <n v="6.4432989690721648E-4"/>
    <n v="0.40657216494845233"/>
    <n v="7"/>
    <n v="280.68"/>
    <n v="1964.76"/>
    <n v="2.3803094688950815E-4"/>
    <n v="0.93328525352767988"/>
    <x v="2"/>
  </r>
  <r>
    <s v="0259-1"/>
    <x v="0"/>
    <n v="6.4432989690721648E-4"/>
    <n v="0.40721649484535954"/>
    <n v="5"/>
    <n v="390.5"/>
    <n v="1952.5"/>
    <n v="2.3654564618669186E-4"/>
    <n v="0.93352179917386657"/>
    <x v="2"/>
  </r>
  <r>
    <s v="0855-1"/>
    <x v="0"/>
    <n v="6.4432989690721648E-4"/>
    <n v="0.40786082474226676"/>
    <n v="4"/>
    <n v="487.65"/>
    <n v="1950.6"/>
    <n v="2.3631546092279699E-4"/>
    <n v="0.93375811463478942"/>
    <x v="2"/>
  </r>
  <r>
    <s v="1551-5"/>
    <x v="8"/>
    <n v="6.4432989690721648E-4"/>
    <n v="0.40850515463917397"/>
    <n v="10"/>
    <n v="194.87"/>
    <n v="1948.7"/>
    <n v="2.3608527565890214E-4"/>
    <n v="0.9339941999104483"/>
    <x v="2"/>
  </r>
  <r>
    <s v="0664-9"/>
    <x v="2"/>
    <n v="6.4432989690721648E-4"/>
    <n v="0.40914948453608119"/>
    <n v="5"/>
    <n v="389.02"/>
    <n v="1945.1"/>
    <n v="2.356491351588908E-4"/>
    <n v="0.93422984904560724"/>
    <x v="2"/>
  </r>
  <r>
    <s v="1621-3"/>
    <x v="1"/>
    <n v="6.4432989690721648E-4"/>
    <n v="0.4097938144329884"/>
    <n v="6"/>
    <n v="321.5"/>
    <n v="1929"/>
    <n v="2.3369861792272911E-4"/>
    <n v="0.93446354766353001"/>
    <x v="2"/>
  </r>
  <r>
    <s v="0702-4"/>
    <x v="4"/>
    <n v="6.4432989690721648E-4"/>
    <n v="0.41043814432989562"/>
    <n v="10"/>
    <n v="191.78"/>
    <n v="1917.8"/>
    <n v="2.3234173636713836E-4"/>
    <n v="0.93469588939989712"/>
    <x v="2"/>
  </r>
  <r>
    <s v="0134-1"/>
    <x v="0"/>
    <n v="6.4432989690721648E-4"/>
    <n v="0.41108247422680283"/>
    <n v="5"/>
    <n v="382.82"/>
    <n v="1914.1"/>
    <n v="2.3189348085323781E-4"/>
    <n v="0.9349277828807504"/>
    <x v="2"/>
  </r>
  <r>
    <s v="1720-7"/>
    <x v="3"/>
    <n v="6.4432989690721648E-4"/>
    <n v="0.41172680412371004"/>
    <n v="17"/>
    <n v="112.48"/>
    <n v="1912.16"/>
    <n v="2.3165844958378731E-4"/>
    <n v="0.93515944133033424"/>
    <x v="2"/>
  </r>
  <r>
    <s v="1223-1"/>
    <x v="0"/>
    <n v="6.4432989690721648E-4"/>
    <n v="0.41237113402061726"/>
    <n v="5"/>
    <n v="381.65"/>
    <n v="1908.25"/>
    <n v="2.3118475254071944E-4"/>
    <n v="0.93539062608287493"/>
    <x v="2"/>
  </r>
  <r>
    <s v="0839-8"/>
    <x v="5"/>
    <n v="6.4432989690721648E-4"/>
    <n v="0.41301546391752447"/>
    <n v="67"/>
    <n v="28.42"/>
    <n v="1904.14"/>
    <n v="2.3068682546987322E-4"/>
    <n v="0.93562131290834483"/>
    <x v="2"/>
  </r>
  <r>
    <s v="1600-3"/>
    <x v="1"/>
    <n v="6.4432989690721648E-4"/>
    <n v="0.41365979381443169"/>
    <n v="3"/>
    <n v="633.63"/>
    <n v="1900.8899999999999"/>
    <n v="2.3029308751847409E-4"/>
    <n v="0.93585160599586326"/>
    <x v="2"/>
  </r>
  <r>
    <s v="0916-1"/>
    <x v="0"/>
    <n v="6.4432989690721648E-4"/>
    <n v="0.4143041237113389"/>
    <n v="2"/>
    <n v="950.3"/>
    <n v="1900.6"/>
    <n v="2.3025795397819539E-4"/>
    <n v="0.9360818639498415"/>
    <x v="2"/>
  </r>
  <r>
    <s v="1493-9"/>
    <x v="2"/>
    <n v="6.4432989690721648E-4"/>
    <n v="0.41494845360824612"/>
    <n v="5"/>
    <n v="378.99"/>
    <n v="1894.95"/>
    <n v="2.2957345569345544E-4"/>
    <n v="0.93631143740553491"/>
    <x v="2"/>
  </r>
  <r>
    <s v="0398-4"/>
    <x v="4"/>
    <n v="6.4432989690721648E-4"/>
    <n v="0.41559278350515333"/>
    <n v="10"/>
    <n v="188.76"/>
    <n v="1887.6"/>
    <n v="2.2868300217259899E-4"/>
    <n v="0.93654012040770751"/>
    <x v="2"/>
  </r>
  <r>
    <s v="1111-1"/>
    <x v="0"/>
    <n v="6.4432989690721648E-4"/>
    <n v="0.41623711340206054"/>
    <n v="4"/>
    <n v="470.49"/>
    <n v="1881.96"/>
    <n v="2.2799971538924795E-4"/>
    <n v="0.93676812012309674"/>
    <x v="2"/>
  </r>
  <r>
    <s v="0711-1"/>
    <x v="0"/>
    <n v="6.4432989690721648E-4"/>
    <n v="0.41688144329896776"/>
    <n v="4"/>
    <n v="470.18"/>
    <n v="1880.72"/>
    <n v="2.2784948921702181E-4"/>
    <n v="0.93699596961231379"/>
    <x v="2"/>
  </r>
  <r>
    <s v="1509-2"/>
    <x v="6"/>
    <n v="6.4432989690721648E-4"/>
    <n v="0.41752577319587497"/>
    <n v="30"/>
    <n v="62.53"/>
    <n v="1875.9"/>
    <n v="2.2726554554756224E-4"/>
    <n v="0.93722323515786132"/>
    <x v="2"/>
  </r>
  <r>
    <s v="0530-7"/>
    <x v="3"/>
    <n v="6.4432989690721648E-4"/>
    <n v="0.41817010309278219"/>
    <n v="104"/>
    <n v="17.920000000000002"/>
    <n v="1863.6800000000003"/>
    <n v="2.2578509085030164E-4"/>
    <n v="0.93744902024871157"/>
    <x v="2"/>
  </r>
  <r>
    <s v="1099-8"/>
    <x v="5"/>
    <n v="6.4432989690721648E-4"/>
    <n v="0.4188144329896894"/>
    <n v="51"/>
    <n v="36.51"/>
    <n v="1862.01"/>
    <n v="2.255827701183519E-4"/>
    <n v="0.93767460301882988"/>
    <x v="2"/>
  </r>
  <r>
    <s v="0131-4"/>
    <x v="4"/>
    <n v="6.4432989690721648E-4"/>
    <n v="0.41945876288659661"/>
    <n v="14"/>
    <n v="132.91"/>
    <n v="1860.74"/>
    <n v="2.2542890944195903E-4"/>
    <n v="0.93790003192827187"/>
    <x v="2"/>
  </r>
  <r>
    <s v="1506-4"/>
    <x v="4"/>
    <n v="6.4432989690721648E-4"/>
    <n v="0.42010309278350383"/>
    <n v="6"/>
    <n v="309.56"/>
    <n v="1857.3600000000001"/>
    <n v="2.2501942197250397E-4"/>
    <n v="0.93812505135024438"/>
    <x v="2"/>
  </r>
  <r>
    <s v="1042-8"/>
    <x v="5"/>
    <n v="6.4432989690721648E-4"/>
    <n v="0.42074742268041104"/>
    <n v="89"/>
    <n v="20.85"/>
    <n v="1855.65"/>
    <n v="2.248122552349986E-4"/>
    <n v="0.93834986360547934"/>
    <x v="2"/>
  </r>
  <r>
    <s v="1834-1"/>
    <x v="0"/>
    <n v="6.4432989690721648E-4"/>
    <n v="0.42139175257731826"/>
    <n v="2"/>
    <n v="924.99"/>
    <n v="1849.98"/>
    <n v="2.2412533394748077E-4"/>
    <n v="0.93857398893942678"/>
    <x v="2"/>
  </r>
  <r>
    <s v="1452-4"/>
    <x v="4"/>
    <n v="6.4432989690721648E-4"/>
    <n v="0.42203608247422547"/>
    <n v="8"/>
    <n v="231.15"/>
    <n v="1849.2"/>
    <n v="2.24030836839145E-4"/>
    <n v="0.93879801977626598"/>
    <x v="2"/>
  </r>
  <r>
    <s v="1856-9"/>
    <x v="2"/>
    <n v="6.4432989690721648E-4"/>
    <n v="0.42268041237113269"/>
    <n v="62"/>
    <n v="29.79"/>
    <n v="1846.98"/>
    <n v="2.2376188353080467E-4"/>
    <n v="0.93902178165979677"/>
    <x v="2"/>
  </r>
  <r>
    <s v="0401-1"/>
    <x v="0"/>
    <n v="6.4432989690721648E-4"/>
    <n v="0.4233247422680399"/>
    <n v="5"/>
    <n v="367.49"/>
    <n v="1837.45"/>
    <n v="2.2260732270716361E-4"/>
    <n v="0.93924438898250395"/>
    <x v="2"/>
  </r>
  <r>
    <s v="1250-8"/>
    <x v="5"/>
    <n v="6.4432989690721648E-4"/>
    <n v="0.42396907216494711"/>
    <n v="42"/>
    <n v="43.68"/>
    <n v="1834.56"/>
    <n v="2.2225719880576564E-4"/>
    <n v="0.93946664618130971"/>
    <x v="2"/>
  </r>
  <r>
    <s v="1849-2"/>
    <x v="6"/>
    <n v="6.4432989690721648E-4"/>
    <n v="0.42461340206185433"/>
    <n v="22"/>
    <n v="83.12"/>
    <n v="1828.64"/>
    <n v="2.2153998998352483E-4"/>
    <n v="0.93968818617129324"/>
    <x v="2"/>
  </r>
  <r>
    <s v="1822-1"/>
    <x v="0"/>
    <n v="6.4432989690721648E-4"/>
    <n v="0.42525773195876154"/>
    <n v="3"/>
    <n v="607.6"/>
    <n v="1822.8000000000002"/>
    <n v="2.2083247317239538E-4"/>
    <n v="0.93990901864446563"/>
    <x v="2"/>
  </r>
  <r>
    <s v="1833-1"/>
    <x v="0"/>
    <n v="6.4432989690721648E-4"/>
    <n v="0.42590206185566876"/>
    <n v="7"/>
    <n v="260.11"/>
    <n v="1820.77"/>
    <n v="2.2058653839044452E-4"/>
    <n v="0.94012960518285604"/>
    <x v="2"/>
  </r>
  <r>
    <s v="1557-1"/>
    <x v="0"/>
    <n v="6.4432989690721648E-4"/>
    <n v="0.42654639175257597"/>
    <n v="3"/>
    <n v="605.38"/>
    <n v="1816.1399999999999"/>
    <n v="2.200256132473744E-4"/>
    <n v="0.94034963079610345"/>
    <x v="2"/>
  </r>
  <r>
    <s v="0873-1"/>
    <x v="0"/>
    <n v="6.4432989690721648E-4"/>
    <n v="0.42719072164948318"/>
    <n v="2"/>
    <n v="905.75"/>
    <n v="1811.5"/>
    <n v="2.1946347660291537E-4"/>
    <n v="0.94056909427270641"/>
    <x v="2"/>
  </r>
  <r>
    <s v="1164-9"/>
    <x v="2"/>
    <n v="6.4432989690721648E-4"/>
    <n v="0.4278350515463904"/>
    <n v="13"/>
    <n v="139.09"/>
    <n v="1808.17"/>
    <n v="2.1906004664040492E-4"/>
    <n v="0.94078815431934681"/>
    <x v="2"/>
  </r>
  <r>
    <s v="1023-8"/>
    <x v="5"/>
    <n v="6.4432989690721648E-4"/>
    <n v="0.42847938144329761"/>
    <n v="43"/>
    <n v="42.04"/>
    <n v="1807.72"/>
    <n v="2.1900552907790351E-4"/>
    <n v="0.94100715984842476"/>
    <x v="2"/>
  </r>
  <r>
    <s v="0587-8"/>
    <x v="5"/>
    <n v="6.4432989690721648E-4"/>
    <n v="0.42912371134020483"/>
    <n v="40"/>
    <n v="45.05"/>
    <n v="1802"/>
    <n v="2.1831255028344109E-4"/>
    <n v="0.94122547239870824"/>
    <x v="2"/>
  </r>
  <r>
    <s v="0720-4"/>
    <x v="4"/>
    <n v="6.4432989690721648E-4"/>
    <n v="0.42976804123711204"/>
    <n v="6"/>
    <n v="299.97000000000003"/>
    <n v="1799.8200000000002"/>
    <n v="2.1804844298065648E-4"/>
    <n v="0.94144352084168892"/>
    <x v="2"/>
  </r>
  <r>
    <s v="1801-1"/>
    <x v="0"/>
    <n v="6.4432989690721648E-4"/>
    <n v="0.43041237113401926"/>
    <n v="2"/>
    <n v="899.37"/>
    <n v="1798.74"/>
    <n v="2.1791760083065306E-4"/>
    <n v="0.94166143844251959"/>
    <x v="2"/>
  </r>
  <r>
    <s v="0672-3"/>
    <x v="1"/>
    <n v="6.4432989690721648E-4"/>
    <n v="0.43105670103092647"/>
    <n v="2"/>
    <n v="897.75"/>
    <n v="1795.5"/>
    <n v="2.1752507438064288E-4"/>
    <n v="0.94187896351690026"/>
    <x v="2"/>
  </r>
  <r>
    <s v="0606-1"/>
    <x v="0"/>
    <n v="6.4432989690721648E-4"/>
    <n v="0.43170103092783368"/>
    <n v="2"/>
    <n v="889.32"/>
    <n v="1778.64"/>
    <n v="2.1548248303892323E-4"/>
    <n v="0.94209444599993919"/>
    <x v="2"/>
  </r>
  <r>
    <s v="1868-9"/>
    <x v="2"/>
    <n v="6.4432989690721648E-4"/>
    <n v="0.4323453608247409"/>
    <n v="7"/>
    <n v="252.99"/>
    <n v="1770.93"/>
    <n v="2.1454841546806566E-4"/>
    <n v="0.94230899441540728"/>
    <x v="2"/>
  </r>
  <r>
    <s v="0341-9"/>
    <x v="2"/>
    <n v="6.4432989690721648E-4"/>
    <n v="0.43298969072164811"/>
    <n v="54"/>
    <n v="32.770000000000003"/>
    <n v="1769.5800000000002"/>
    <n v="2.1438486278056143E-4"/>
    <n v="0.94252337927818786"/>
    <x v="2"/>
  </r>
  <r>
    <s v="0632-8"/>
    <x v="5"/>
    <n v="6.4432989690721648E-4"/>
    <n v="0.43363402061855533"/>
    <n v="84"/>
    <n v="20.98"/>
    <n v="1762.32"/>
    <n v="2.1350531277220525E-4"/>
    <n v="0.94273688459096006"/>
    <x v="2"/>
  </r>
  <r>
    <s v="1245-8"/>
    <x v="5"/>
    <n v="6.4432989690721648E-4"/>
    <n v="0.43427835051546254"/>
    <n v="35"/>
    <n v="50.09"/>
    <n v="1753.15"/>
    <n v="2.1239436599856536E-4"/>
    <n v="0.94294927895695857"/>
    <x v="2"/>
  </r>
  <r>
    <s v="0440-1"/>
    <x v="0"/>
    <n v="6.4432989690721648E-4"/>
    <n v="0.43492268041236976"/>
    <n v="2"/>
    <n v="873.88"/>
    <n v="1747.76"/>
    <n v="2.117413667499373E-4"/>
    <n v="0.94316102032370852"/>
    <x v="2"/>
  </r>
  <r>
    <s v="1236-9"/>
    <x v="2"/>
    <n v="6.4432989690721648E-4"/>
    <n v="0.43556701030927697"/>
    <n v="6"/>
    <n v="291.2"/>
    <n v="1747.1999999999998"/>
    <n v="2.1167352267215773E-4"/>
    <n v="0.94337269384638067"/>
    <x v="2"/>
  </r>
  <r>
    <s v="1513-4"/>
    <x v="4"/>
    <n v="6.4432989690721648E-4"/>
    <n v="0.43621134020618418"/>
    <n v="8"/>
    <n v="218.1"/>
    <n v="1744.8"/>
    <n v="2.1138276233881686E-4"/>
    <n v="0.94358407660871946"/>
    <x v="2"/>
  </r>
  <r>
    <s v="1571-4"/>
    <x v="4"/>
    <n v="6.4432989690721648E-4"/>
    <n v="0.4368556701030914"/>
    <n v="5"/>
    <n v="348.47"/>
    <n v="1742.3500000000001"/>
    <n v="2.110859444985314E-4"/>
    <n v="0.94379516255321794"/>
    <x v="2"/>
  </r>
  <r>
    <s v="0796-1"/>
    <x v="0"/>
    <n v="6.4432989690721648E-4"/>
    <n v="0.43749999999999861"/>
    <n v="3"/>
    <n v="580.54"/>
    <n v="1741.62"/>
    <n v="2.109975048971402E-4"/>
    <n v="0.94400616005811511"/>
    <x v="2"/>
  </r>
  <r>
    <s v="1158-1"/>
    <x v="0"/>
    <n v="6.4432989690721648E-4"/>
    <n v="0.43814432989690583"/>
    <n v="2"/>
    <n v="860.91"/>
    <n v="1721.82"/>
    <n v="2.0859873214707799E-4"/>
    <n v="0.94421475879026218"/>
    <x v="2"/>
  </r>
  <r>
    <s v="0811-7"/>
    <x v="3"/>
    <n v="6.4432989690721648E-4"/>
    <n v="0.43878865979381304"/>
    <n v="55"/>
    <n v="31.24"/>
    <n v="1718.1999999999998"/>
    <n v="2.0816016864428881E-4"/>
    <n v="0.94442291895890651"/>
    <x v="2"/>
  </r>
  <r>
    <s v="1712-1"/>
    <x v="0"/>
    <n v="6.4432989690721648E-4"/>
    <n v="0.43943298969072025"/>
    <n v="3"/>
    <n v="571.41999999999996"/>
    <n v="1714.2599999999998"/>
    <n v="2.0768283709705418E-4"/>
    <n v="0.94463060179600356"/>
    <x v="2"/>
  </r>
  <r>
    <s v="0808-3"/>
    <x v="1"/>
    <n v="6.4432989690721648E-4"/>
    <n v="0.44007731958762747"/>
    <n v="18"/>
    <n v="94.99"/>
    <n v="1709.82"/>
    <n v="2.0714493048037359E-4"/>
    <n v="0.94483774672648391"/>
    <x v="2"/>
  </r>
  <r>
    <s v="0867-8"/>
    <x v="5"/>
    <n v="6.4432989690721648E-4"/>
    <n v="0.44072164948453468"/>
    <n v="30"/>
    <n v="56.88"/>
    <n v="1706.4"/>
    <n v="2.0673059700536286E-4"/>
    <n v="0.94504447732348928"/>
    <x v="2"/>
  </r>
  <r>
    <s v="0006-9"/>
    <x v="2"/>
    <n v="6.4432989690721648E-4"/>
    <n v="0.4413659793814419"/>
    <n v="14"/>
    <n v="121.84"/>
    <n v="1705.76"/>
    <n v="2.0665306091647196E-4"/>
    <n v="0.94525113038440578"/>
    <x v="2"/>
  </r>
  <r>
    <s v="0722-4"/>
    <x v="4"/>
    <n v="6.4432989690721648E-4"/>
    <n v="0.44201030927834911"/>
    <n v="5"/>
    <n v="339.35"/>
    <n v="1696.75"/>
    <n v="2.0556149816505475E-4"/>
    <n v="0.94545669188257087"/>
    <x v="2"/>
  </r>
  <r>
    <s v="1219-8"/>
    <x v="5"/>
    <n v="6.4432989690721648E-4"/>
    <n v="0.44265463917525633"/>
    <n v="28"/>
    <n v="60.37"/>
    <n v="1690.36"/>
    <n v="2.0478734877753466E-4"/>
    <n v="0.94566147923134836"/>
    <x v="2"/>
  </r>
  <r>
    <s v="0269-4"/>
    <x v="4"/>
    <n v="6.4432989690721648E-4"/>
    <n v="0.44329896907216354"/>
    <n v="91"/>
    <n v="18.559999999999999"/>
    <n v="1688.9599999999998"/>
    <n v="2.0461773858308581E-4"/>
    <n v="0.9458660969699314"/>
    <x v="2"/>
  </r>
  <r>
    <s v="1750-1"/>
    <x v="0"/>
    <n v="6.4432989690721648E-4"/>
    <n v="0.44394329896907075"/>
    <n v="2"/>
    <n v="843.85"/>
    <n v="1687.7"/>
    <n v="2.0446508940808188E-4"/>
    <n v="0.94607056205933948"/>
    <x v="2"/>
  </r>
  <r>
    <s v="0560-7"/>
    <x v="3"/>
    <n v="6.4432989690721648E-4"/>
    <n v="0.44458762886597797"/>
    <n v="27"/>
    <n v="61.89"/>
    <n v="1671.03"/>
    <n v="2.0244551659275169E-4"/>
    <n v="0.94627300757593225"/>
    <x v="2"/>
  </r>
  <r>
    <s v="1631-7"/>
    <x v="3"/>
    <n v="6.4432989690721648E-4"/>
    <n v="0.44523195876288518"/>
    <n v="13"/>
    <n v="128.54"/>
    <n v="1671.02"/>
    <n v="2.0244430509136277E-4"/>
    <n v="0.94647545188102356"/>
    <x v="2"/>
  </r>
  <r>
    <s v="1300-9"/>
    <x v="2"/>
    <n v="6.4432989690721648E-4"/>
    <n v="0.4458762886597924"/>
    <n v="5"/>
    <n v="328.67"/>
    <n v="1643.3500000000001"/>
    <n v="1.9909208074822028E-4"/>
    <n v="0.94667454396177175"/>
    <x v="2"/>
  </r>
  <r>
    <s v="0360-4"/>
    <x v="4"/>
    <n v="6.4432989690721648E-4"/>
    <n v="0.44652061855669961"/>
    <n v="5"/>
    <n v="327.33999999999997"/>
    <n v="1636.6999999999998"/>
    <n v="1.9828643232458823E-4"/>
    <n v="0.94687283039409631"/>
    <x v="2"/>
  </r>
  <r>
    <s v="0247-8"/>
    <x v="5"/>
    <n v="6.4432989690721648E-4"/>
    <n v="0.44716494845360683"/>
    <n v="37"/>
    <n v="44.23"/>
    <n v="1636.51"/>
    <n v="1.9826341379819876E-4"/>
    <n v="0.94707109380789456"/>
    <x v="2"/>
  </r>
  <r>
    <s v="0599-1"/>
    <x v="0"/>
    <n v="6.4432989690721648E-4"/>
    <n v="0.44780927835051404"/>
    <n v="3"/>
    <n v="545.44000000000005"/>
    <n v="1636.3200000000002"/>
    <n v="1.9824039527180929E-4"/>
    <n v="0.94726933420316639"/>
    <x v="2"/>
  </r>
  <r>
    <s v="1765-4"/>
    <x v="4"/>
    <n v="6.4432989690721648E-4"/>
    <n v="0.44845360824742125"/>
    <n v="12"/>
    <n v="134.91"/>
    <n v="1618.92"/>
    <n v="1.9613238285508792E-4"/>
    <n v="0.94746546658602149"/>
    <x v="2"/>
  </r>
  <r>
    <s v="0280-6"/>
    <x v="7"/>
    <n v="6.4432989690721648E-4"/>
    <n v="0.44909793814432847"/>
    <n v="23"/>
    <n v="69.72"/>
    <n v="1603.56"/>
    <n v="1.9427151672170631E-4"/>
    <n v="0.94765973810274318"/>
    <x v="2"/>
  </r>
  <r>
    <s v="1718-7"/>
    <x v="3"/>
    <n v="6.4432989690721648E-4"/>
    <n v="0.44974226804123568"/>
    <n v="17"/>
    <n v="94.17"/>
    <n v="1600.89"/>
    <n v="1.939480458508646E-4"/>
    <n v="0.947853686148594"/>
    <x v="2"/>
  </r>
  <r>
    <s v="1799-2"/>
    <x v="6"/>
    <n v="6.4432989690721648E-4"/>
    <n v="0.4503865979381429"/>
    <n v="26"/>
    <n v="61.41"/>
    <n v="1596.6599999999999"/>
    <n v="1.9343558076335128E-4"/>
    <n v="0.94804712172935734"/>
    <x v="2"/>
  </r>
  <r>
    <s v="1706-4"/>
    <x v="4"/>
    <n v="6.4432989690721648E-4"/>
    <n v="0.45103092783505011"/>
    <n v="13"/>
    <n v="122.45"/>
    <n v="1591.8500000000001"/>
    <n v="1.9285284859528064E-4"/>
    <n v="0.94823997457795262"/>
    <x v="2"/>
  </r>
  <r>
    <s v="1231-1"/>
    <x v="0"/>
    <n v="6.4432989690721648E-4"/>
    <n v="0.45167525773195732"/>
    <n v="3"/>
    <n v="527.39"/>
    <n v="1582.17"/>
    <n v="1.9168011525080576E-4"/>
    <n v="0.94843165469320345"/>
    <x v="2"/>
  </r>
  <r>
    <s v="1253-3"/>
    <x v="1"/>
    <n v="6.4432989690721648E-4"/>
    <n v="0.45231958762886454"/>
    <n v="3"/>
    <n v="526.70000000000005"/>
    <n v="1580.1000000000001"/>
    <n v="1.9142933446329927E-4"/>
    <n v="0.94862308402766671"/>
    <x v="2"/>
  </r>
  <r>
    <s v="1655-8"/>
    <x v="5"/>
    <n v="6.4432989690721648E-4"/>
    <n v="0.45296391752577175"/>
    <n v="26"/>
    <n v="60.44"/>
    <n v="1571.44"/>
    <n v="1.9038017426049428E-4"/>
    <n v="0.94881346420192725"/>
    <x v="2"/>
  </r>
  <r>
    <s v="0857-3"/>
    <x v="1"/>
    <n v="6.4432989690721648E-4"/>
    <n v="0.45360824742267897"/>
    <n v="2"/>
    <n v="780.79"/>
    <n v="1561.58"/>
    <n v="1.8918563389101883E-4"/>
    <n v="0.94900264983581828"/>
    <x v="2"/>
  </r>
  <r>
    <s v="0391-9"/>
    <x v="2"/>
    <n v="6.4432989690721648E-4"/>
    <n v="0.45425257731958618"/>
    <n v="4"/>
    <n v="390.2"/>
    <n v="1560.8"/>
    <n v="1.8909113678268304E-4"/>
    <n v="0.94919174097260095"/>
    <x v="2"/>
  </r>
  <r>
    <s v="0917-3"/>
    <x v="1"/>
    <n v="6.4432989690721648E-4"/>
    <n v="0.4548969072164934"/>
    <n v="7"/>
    <n v="222.73"/>
    <n v="1559.11"/>
    <n v="1.8888639304795549E-4"/>
    <n v="0.94938062736564888"/>
    <x v="2"/>
  </r>
  <r>
    <s v="0636-4"/>
    <x v="4"/>
    <n v="6.4432989690721648E-4"/>
    <n v="0.45554123711340061"/>
    <n v="3"/>
    <n v="514.22"/>
    <n v="1542.66"/>
    <n v="1.8689347326318159E-4"/>
    <n v="0.94956752083891205"/>
    <x v="2"/>
  </r>
  <r>
    <s v="0640-8"/>
    <x v="5"/>
    <n v="6.4432989690721648E-4"/>
    <n v="0.45618556701030782"/>
    <n v="54"/>
    <n v="28.48"/>
    <n v="1537.92"/>
    <n v="1.8631922160483336E-4"/>
    <n v="0.94975384006051689"/>
    <x v="2"/>
  </r>
  <r>
    <s v="1313-2"/>
    <x v="6"/>
    <n v="6.4432989690721648E-4"/>
    <n v="0.45682989690721504"/>
    <n v="17"/>
    <n v="90.36"/>
    <n v="1536.12"/>
    <n v="1.8610115135482769E-4"/>
    <n v="0.94993994121187175"/>
    <x v="2"/>
  </r>
  <r>
    <s v="1259-3"/>
    <x v="1"/>
    <n v="6.4432989690721648E-4"/>
    <n v="0.45747422680412225"/>
    <n v="4"/>
    <n v="375.64"/>
    <n v="1502.56"/>
    <n v="1.8203535269361112E-4"/>
    <n v="0.95012197656456532"/>
    <x v="2"/>
  </r>
  <r>
    <s v="1277-4"/>
    <x v="4"/>
    <n v="6.4432989690721648E-4"/>
    <n v="0.45811855670102947"/>
    <n v="5"/>
    <n v="299.36"/>
    <n v="1496.8000000000002"/>
    <n v="1.8133752789359304E-4"/>
    <n v="0.95030331409245894"/>
    <x v="2"/>
  </r>
  <r>
    <s v="0324-8"/>
    <x v="5"/>
    <n v="6.4432989690721648E-4"/>
    <n v="0.45876288659793668"/>
    <n v="137"/>
    <n v="10.8"/>
    <n v="1479.6000000000001"/>
    <n v="1.7925374550465008E-4"/>
    <n v="0.95048256783796359"/>
    <x v="2"/>
  </r>
  <r>
    <s v="1390-1"/>
    <x v="0"/>
    <n v="6.4432989690721648E-4"/>
    <n v="0.4594072164948439"/>
    <n v="4"/>
    <n v="369.78"/>
    <n v="1479.12"/>
    <n v="1.7919559343798188E-4"/>
    <n v="0.95066176343140152"/>
    <x v="2"/>
  </r>
  <r>
    <s v="0122-1"/>
    <x v="0"/>
    <n v="6.4432989690721648E-4"/>
    <n v="0.46005154639175111"/>
    <n v="2"/>
    <n v="737.75"/>
    <n v="1475.5"/>
    <n v="1.7875702993519274E-4"/>
    <n v="0.95084052046133671"/>
    <x v="2"/>
  </r>
  <r>
    <s v="0534-1"/>
    <x v="0"/>
    <n v="6.4432989690721648E-4"/>
    <n v="0.46069587628865832"/>
    <n v="2"/>
    <n v="732.68"/>
    <n v="1465.36"/>
    <n v="1.7752856752682752E-4"/>
    <n v="0.95101804902886355"/>
    <x v="2"/>
  </r>
  <r>
    <s v="0970-8"/>
    <x v="5"/>
    <n v="6.4432989690721648E-4"/>
    <n v="0.46134020618556554"/>
    <n v="50"/>
    <n v="29.26"/>
    <n v="1463"/>
    <n v="1.7724265319904234E-4"/>
    <n v="0.95119529168206263"/>
    <x v="2"/>
  </r>
  <r>
    <s v="0679-8"/>
    <x v="5"/>
    <n v="6.4432989690721648E-4"/>
    <n v="0.46198453608247275"/>
    <n v="37"/>
    <n v="39.06"/>
    <n v="1445.22"/>
    <n v="1.7508860372954203E-4"/>
    <n v="0.95137038028579213"/>
    <x v="2"/>
  </r>
  <r>
    <s v="0930-9"/>
    <x v="2"/>
    <n v="6.4432989690721648E-4"/>
    <n v="0.46262886597937997"/>
    <n v="3"/>
    <n v="481.54"/>
    <n v="1444.6200000000001"/>
    <n v="1.7501591364620683E-4"/>
    <n v="0.95154539619943834"/>
    <x v="2"/>
  </r>
  <r>
    <s v="1623-3"/>
    <x v="1"/>
    <n v="6.4432989690721648E-4"/>
    <n v="0.46327319587628718"/>
    <n v="6"/>
    <n v="237.97"/>
    <n v="1427.82"/>
    <n v="1.7298059131282066E-4"/>
    <n v="0.95171837679075111"/>
    <x v="2"/>
  </r>
  <r>
    <s v="0887-9"/>
    <x v="2"/>
    <n v="6.4432989690721648E-4"/>
    <n v="0.46391752577319439"/>
    <n v="6"/>
    <n v="234.36"/>
    <n v="1406.16"/>
    <n v="1.7035647930441927E-4"/>
    <n v="0.95188873327005552"/>
    <x v="2"/>
  </r>
  <r>
    <s v="0311-9"/>
    <x v="2"/>
    <n v="6.4432989690721648E-4"/>
    <n v="0.46456185567010161"/>
    <n v="5"/>
    <n v="281.16000000000003"/>
    <n v="1405.8000000000002"/>
    <n v="1.7031286525441815E-4"/>
    <n v="0.95205904613530989"/>
    <x v="2"/>
  </r>
  <r>
    <s v="1844-4"/>
    <x v="4"/>
    <n v="6.4432989690721648E-4"/>
    <n v="0.46520618556700882"/>
    <n v="41"/>
    <n v="34.25"/>
    <n v="1404.25"/>
    <n v="1.7012508253913549E-4"/>
    <n v="0.952229171217849"/>
    <x v="2"/>
  </r>
  <r>
    <s v="0754-2"/>
    <x v="6"/>
    <n v="6.4432989690721648E-4"/>
    <n v="0.46585051546391604"/>
    <n v="19"/>
    <n v="73.14"/>
    <n v="1389.66"/>
    <n v="1.6835750201270075E-4"/>
    <n v="0.95239752871986172"/>
    <x v="2"/>
  </r>
  <r>
    <s v="1864-6"/>
    <x v="7"/>
    <n v="6.4432989690721648E-4"/>
    <n v="0.46649484536082325"/>
    <n v="181"/>
    <n v="7.66"/>
    <n v="1386.46"/>
    <n v="1.6796982156824626E-4"/>
    <n v="0.95256549854142991"/>
    <x v="2"/>
  </r>
  <r>
    <s v="1258-1"/>
    <x v="0"/>
    <n v="6.4432989690721648E-4"/>
    <n v="0.46713917525773047"/>
    <n v="4"/>
    <n v="343.99"/>
    <n v="1375.96"/>
    <n v="1.666977451098799E-4"/>
    <n v="0.95273219628653982"/>
    <x v="2"/>
  </r>
  <r>
    <s v="0170-8"/>
    <x v="5"/>
    <n v="6.4432989690721648E-4"/>
    <n v="0.46778350515463768"/>
    <n v="31"/>
    <n v="44.26"/>
    <n v="1372.06"/>
    <n v="1.6622525956820099E-4"/>
    <n v="0.95289842154610804"/>
    <x v="2"/>
  </r>
  <r>
    <s v="1244-1"/>
    <x v="0"/>
    <n v="6.4432989690721648E-4"/>
    <n v="0.46842783505154489"/>
    <n v="2"/>
    <n v="685.62"/>
    <n v="1371.24"/>
    <n v="1.6612591645430951E-4"/>
    <n v="0.95306454746256231"/>
    <x v="2"/>
  </r>
  <r>
    <s v="1368-8"/>
    <x v="5"/>
    <n v="6.4432989690721648E-4"/>
    <n v="0.46907216494845211"/>
    <n v="46"/>
    <n v="29.75"/>
    <n v="1368.5"/>
    <n v="1.6579396507374535E-4"/>
    <n v="0.95323034142763607"/>
    <x v="2"/>
  </r>
  <r>
    <s v="1490-5"/>
    <x v="8"/>
    <n v="6.4432989690721648E-4"/>
    <n v="0.46971649484535932"/>
    <n v="115"/>
    <n v="11.79"/>
    <n v="1355.85"/>
    <n v="1.6426141581676114E-4"/>
    <n v="0.95339460284345279"/>
    <x v="2"/>
  </r>
  <r>
    <s v="1159-1"/>
    <x v="0"/>
    <n v="6.4432989690721648E-4"/>
    <n v="0.47036082474226654"/>
    <n v="4"/>
    <n v="337.16"/>
    <n v="1348.64"/>
    <n v="1.633879233153496E-4"/>
    <n v="0.95355799076676817"/>
    <x v="2"/>
  </r>
  <r>
    <s v="0741-8"/>
    <x v="5"/>
    <n v="6.4432989690721648E-4"/>
    <n v="0.47100515463917375"/>
    <n v="34"/>
    <n v="39.46"/>
    <n v="1341.64"/>
    <n v="1.625398723431054E-4"/>
    <n v="0.95372053063911133"/>
    <x v="2"/>
  </r>
  <r>
    <s v="1391-9"/>
    <x v="2"/>
    <n v="6.4432989690721648E-4"/>
    <n v="0.47164948453608097"/>
    <n v="49"/>
    <n v="27.34"/>
    <n v="1339.66"/>
    <n v="1.6229999506809918E-4"/>
    <n v="0.95388283063417945"/>
    <x v="2"/>
  </r>
  <r>
    <s v="0543-4"/>
    <x v="4"/>
    <n v="6.4432989690721648E-4"/>
    <n v="0.47229381443298818"/>
    <n v="5"/>
    <n v="265.86"/>
    <n v="1329.3000000000002"/>
    <n v="1.6104487962917774E-4"/>
    <n v="0.95404387551380865"/>
    <x v="2"/>
  </r>
  <r>
    <s v="0886-1"/>
    <x v="0"/>
    <n v="6.4432989690721648E-4"/>
    <n v="0.47293814432989539"/>
    <n v="2"/>
    <n v="661.54"/>
    <n v="1323.08"/>
    <n v="1.6029132576526927E-4"/>
    <n v="0.95420416683957388"/>
    <x v="2"/>
  </r>
  <r>
    <s v="0417-3"/>
    <x v="1"/>
    <n v="6.4432989690721648E-4"/>
    <n v="0.47358247422680261"/>
    <n v="2"/>
    <n v="656.98"/>
    <n v="1313.96"/>
    <n v="1.5918643649857396E-4"/>
    <n v="0.95436335327607247"/>
    <x v="2"/>
  </r>
  <r>
    <s v="1815-9"/>
    <x v="2"/>
    <n v="6.4432989690721648E-4"/>
    <n v="0.47422680412370982"/>
    <n v="4"/>
    <n v="328.36"/>
    <n v="1313.44"/>
    <n v="1.591234384263501E-4"/>
    <n v="0.95452247671449886"/>
    <x v="2"/>
  </r>
  <r>
    <s v="0535-8"/>
    <x v="5"/>
    <n v="6.4432989690721648E-4"/>
    <n v="0.47487113402061704"/>
    <n v="17"/>
    <n v="77.03"/>
    <n v="1309.51"/>
    <n v="1.586473183805044E-4"/>
    <n v="0.95468112403287941"/>
    <x v="2"/>
  </r>
  <r>
    <s v="1280-1"/>
    <x v="0"/>
    <n v="6.4432989690721648E-4"/>
    <n v="0.47551546391752425"/>
    <n v="2"/>
    <n v="652.72"/>
    <n v="1305.44"/>
    <n v="1.5815423731521384E-4"/>
    <n v="0.95483927827019466"/>
    <x v="2"/>
  </r>
  <r>
    <s v="1756-1"/>
    <x v="0"/>
    <n v="6.4432989690721648E-4"/>
    <n v="0.47615979381443146"/>
    <n v="5"/>
    <n v="259.52999999999997"/>
    <n v="1297.6499999999999"/>
    <n v="1.5721047773324488E-4"/>
    <n v="0.95499648874792786"/>
    <x v="2"/>
  </r>
  <r>
    <s v="1578-1"/>
    <x v="0"/>
    <n v="6.4432989690721648E-4"/>
    <n v="0.47680412371133868"/>
    <n v="5"/>
    <n v="259.42"/>
    <n v="1297.1000000000001"/>
    <n v="1.571438451568543E-4"/>
    <n v="0.95515363259308472"/>
    <x v="2"/>
  </r>
  <r>
    <s v="0529-3"/>
    <x v="1"/>
    <n v="6.4432989690721648E-4"/>
    <n v="0.47744845360824589"/>
    <n v="1"/>
    <n v="1279.3399999999999"/>
    <n v="1279.3399999999999"/>
    <n v="1.549922186901318E-4"/>
    <n v="0.95530862481177481"/>
    <x v="2"/>
  </r>
  <r>
    <s v="0265-1"/>
    <x v="0"/>
    <n v="6.4432989690721648E-4"/>
    <n v="0.47809278350515311"/>
    <n v="1"/>
    <n v="1279.31"/>
    <n v="1279.31"/>
    <n v="1.5498858418596504E-4"/>
    <n v="0.95546361339596075"/>
    <x v="2"/>
  </r>
  <r>
    <s v="0803-3"/>
    <x v="1"/>
    <n v="6.4432989690721648E-4"/>
    <n v="0.47873711340206032"/>
    <n v="1"/>
    <n v="1269.06"/>
    <n v="1269.06"/>
    <n v="1.5374679526232172E-4"/>
    <n v="0.95561736019122312"/>
    <x v="2"/>
  </r>
  <r>
    <s v="1215-8"/>
    <x v="5"/>
    <n v="6.4432989690721648E-4"/>
    <n v="0.47938144329896754"/>
    <n v="67"/>
    <n v="18.93"/>
    <n v="1268.31"/>
    <n v="1.5365593265815269E-4"/>
    <n v="0.95577101612388127"/>
    <x v="2"/>
  </r>
  <r>
    <s v="1542-4"/>
    <x v="4"/>
    <n v="6.4432989690721648E-4"/>
    <n v="0.48002577319587475"/>
    <n v="3"/>
    <n v="421.12"/>
    <n v="1263.3600000000001"/>
    <n v="1.5305623947063716E-4"/>
    <n v="0.95592407236335186"/>
    <x v="2"/>
  </r>
  <r>
    <s v="0005-5"/>
    <x v="8"/>
    <n v="6.4432989690721648E-4"/>
    <n v="0.48067010309278196"/>
    <n v="5"/>
    <n v="252.32"/>
    <n v="1261.5999999999999"/>
    <n v="1.5284301522618715E-4"/>
    <n v="0.95607691537857808"/>
    <x v="2"/>
  </r>
  <r>
    <s v="0139-9"/>
    <x v="2"/>
    <n v="6.4432989690721648E-4"/>
    <n v="0.48131443298968918"/>
    <n v="4"/>
    <n v="314.17"/>
    <n v="1256.68"/>
    <n v="1.5224695654283838E-4"/>
    <n v="0.9562291623351209"/>
    <x v="2"/>
  </r>
  <r>
    <s v="0171-9"/>
    <x v="2"/>
    <n v="6.4432989690721648E-4"/>
    <n v="0.48195876288659639"/>
    <n v="7"/>
    <n v="179.04"/>
    <n v="1253.28"/>
    <n v="1.5183504607060546E-4"/>
    <n v="0.95638099738119153"/>
    <x v="2"/>
  </r>
  <r>
    <s v="0097-1"/>
    <x v="0"/>
    <n v="6.4432989690721648E-4"/>
    <n v="0.48260309278350361"/>
    <n v="2"/>
    <n v="626.6"/>
    <n v="1253.2"/>
    <n v="1.5182535405949412E-4"/>
    <n v="0.95653282273525098"/>
    <x v="2"/>
  </r>
  <r>
    <s v="0405-4"/>
    <x v="4"/>
    <n v="6.4432989690721648E-4"/>
    <n v="0.48324742268041082"/>
    <n v="10"/>
    <n v="124.53"/>
    <n v="1245.3"/>
    <n v="1.5086826796224706E-4"/>
    <n v="0.95668369100321327"/>
    <x v="2"/>
  </r>
  <r>
    <s v="1481-6"/>
    <x v="7"/>
    <n v="6.4432989690721648E-4"/>
    <n v="0.48389175257731804"/>
    <n v="49"/>
    <n v="25.4"/>
    <n v="1244.5999999999999"/>
    <n v="1.5078346286502261E-4"/>
    <n v="0.95683447446607828"/>
    <x v="2"/>
  </r>
  <r>
    <s v="0010-4"/>
    <x v="4"/>
    <n v="6.4432989690721648E-4"/>
    <n v="0.48453608247422525"/>
    <n v="3"/>
    <n v="412.39"/>
    <n v="1237.17"/>
    <n v="1.4988331733305484E-4"/>
    <n v="0.95698435778341129"/>
    <x v="2"/>
  </r>
  <r>
    <s v="1066-4"/>
    <x v="4"/>
    <n v="6.4432989690721648E-4"/>
    <n v="0.48518041237113246"/>
    <n v="7"/>
    <n v="176.39"/>
    <n v="1234.73"/>
    <n v="1.4958771099415829E-4"/>
    <n v="0.95713394549440545"/>
    <x v="2"/>
  </r>
  <r>
    <s v="0724-9"/>
    <x v="2"/>
    <n v="6.4432989690721648E-4"/>
    <n v="0.48582474226803968"/>
    <n v="6"/>
    <n v="204.58"/>
    <n v="1227.48"/>
    <n v="1.4870937248719104E-4"/>
    <n v="0.95728265486689268"/>
    <x v="2"/>
  </r>
  <r>
    <s v="1729-1"/>
    <x v="0"/>
    <n v="6.4432989690721648E-4"/>
    <n v="0.48646907216494689"/>
    <n v="3"/>
    <n v="407.65"/>
    <n v="1222.9499999999998"/>
    <n v="1.4816056235801011E-4"/>
    <n v="0.95743081542925068"/>
    <x v="2"/>
  </r>
  <r>
    <s v="0305-3"/>
    <x v="1"/>
    <n v="6.4432989690721648E-4"/>
    <n v="0.48711340206185411"/>
    <n v="12"/>
    <n v="101.63"/>
    <n v="1219.56"/>
    <n v="1.4774986338716615E-4"/>
    <n v="0.95757856529263785"/>
    <x v="2"/>
  </r>
  <r>
    <s v="0256-8"/>
    <x v="5"/>
    <n v="6.4432989690721648E-4"/>
    <n v="0.48775773195876132"/>
    <n v="23"/>
    <n v="52.93"/>
    <n v="1217.3900000000001"/>
    <n v="1.4748696758577046E-4"/>
    <n v="0.95772605226022367"/>
    <x v="2"/>
  </r>
  <r>
    <s v="1149-9"/>
    <x v="2"/>
    <n v="6.4432989690721648E-4"/>
    <n v="0.48840206185566853"/>
    <n v="17"/>
    <n v="71.34"/>
    <n v="1212.78"/>
    <n v="1.4692846544547817E-4"/>
    <n v="0.95787298072566918"/>
    <x v="2"/>
  </r>
  <r>
    <s v="1698-1"/>
    <x v="0"/>
    <n v="6.4432989690721648E-4"/>
    <n v="0.48904639175257575"/>
    <n v="4"/>
    <n v="302.27"/>
    <n v="1209.08"/>
    <n v="1.4648020993157765E-4"/>
    <n v="0.95801946093560075"/>
    <x v="2"/>
  </r>
  <r>
    <s v="0570-1"/>
    <x v="0"/>
    <n v="6.4432989690721648E-4"/>
    <n v="0.48969072164948296"/>
    <n v="1"/>
    <n v="1202.45"/>
    <n v="1202.45"/>
    <n v="1.4567698451072351E-4"/>
    <n v="0.95816513792011149"/>
    <x v="2"/>
  </r>
  <r>
    <s v="0447-4"/>
    <x v="4"/>
    <n v="6.4432989690721648E-4"/>
    <n v="0.49033505154639018"/>
    <n v="3"/>
    <n v="399.09"/>
    <n v="1197.27"/>
    <n v="1.4504942679126277E-4"/>
    <n v="0.95831018734690276"/>
    <x v="2"/>
  </r>
  <r>
    <s v="0422-1"/>
    <x v="0"/>
    <n v="6.4432989690721648E-4"/>
    <n v="0.49097938144329739"/>
    <n v="2"/>
    <n v="598.34"/>
    <n v="1196.68"/>
    <n v="1.4497794820931648E-4"/>
    <n v="0.9584551652951121"/>
    <x v="2"/>
  </r>
  <r>
    <s v="1036-3"/>
    <x v="1"/>
    <n v="6.4432989690721648E-4"/>
    <n v="0.49162371134020461"/>
    <n v="2"/>
    <n v="596.01"/>
    <n v="1192.02"/>
    <n v="1.4441338856207959E-4"/>
    <n v="0.95859957868367418"/>
    <x v="2"/>
  </r>
  <r>
    <s v="1555-7"/>
    <x v="3"/>
    <n v="6.4432989690721648E-4"/>
    <n v="0.49226804123711182"/>
    <n v="76"/>
    <n v="15.57"/>
    <n v="1183.32"/>
    <n v="1.4335938235371891E-4"/>
    <n v="0.95874293806602795"/>
    <x v="2"/>
  </r>
  <r>
    <s v="0021-1"/>
    <x v="0"/>
    <n v="6.4432989690721648E-4"/>
    <n v="0.49291237113401903"/>
    <n v="1"/>
    <n v="1182.6300000000001"/>
    <n v="1182.6300000000001"/>
    <n v="1.4327578875788344E-4"/>
    <n v="0.95888621385478578"/>
    <x v="2"/>
  </r>
  <r>
    <s v="0216-8"/>
    <x v="5"/>
    <n v="6.4432989690721648E-4"/>
    <n v="0.49355670103092625"/>
    <n v="18"/>
    <n v="65.510000000000005"/>
    <n v="1179.18"/>
    <n v="1.4285782077870591E-4"/>
    <n v="0.9590290716755645"/>
    <x v="2"/>
  </r>
  <r>
    <s v="0418-4"/>
    <x v="4"/>
    <n v="6.4432989690721648E-4"/>
    <n v="0.49420103092783346"/>
    <n v="3"/>
    <n v="388.7"/>
    <n v="1166.0999999999999"/>
    <n v="1.4127317696199814E-4"/>
    <n v="0.9591703448525265"/>
    <x v="2"/>
  </r>
  <r>
    <s v="1590-3"/>
    <x v="1"/>
    <n v="6.4432989690721648E-4"/>
    <n v="0.49484536082474068"/>
    <n v="10"/>
    <n v="116.4"/>
    <n v="1164"/>
    <n v="1.4101876167032487E-4"/>
    <n v="0.95931136361419678"/>
    <x v="2"/>
  </r>
  <r>
    <s v="0548-1"/>
    <x v="0"/>
    <n v="6.4432989690721648E-4"/>
    <n v="0.49548969072164789"/>
    <n v="1"/>
    <n v="1144.6600000000001"/>
    <n v="1144.6600000000001"/>
    <n v="1.38675717984153E-4"/>
    <n v="0.95945003933218098"/>
    <x v="2"/>
  </r>
  <r>
    <s v="1414-2"/>
    <x v="6"/>
    <n v="6.4432989690721648E-4"/>
    <n v="0.4961340206185551"/>
    <n v="27"/>
    <n v="42.04"/>
    <n v="1135.08"/>
    <n v="1.375150996535673E-4"/>
    <n v="0.95958755443183452"/>
    <x v="2"/>
  </r>
  <r>
    <s v="0830-1"/>
    <x v="0"/>
    <n v="6.4432989690721648E-4"/>
    <n v="0.49677835051546232"/>
    <n v="2"/>
    <n v="566.62"/>
    <n v="1133.24"/>
    <n v="1.3729218339800597E-4"/>
    <n v="0.9597248466152325"/>
    <x v="2"/>
  </r>
  <r>
    <s v="1788-3"/>
    <x v="1"/>
    <n v="6.4432989690721648E-4"/>
    <n v="0.49742268041236953"/>
    <n v="1"/>
    <n v="1130.81"/>
    <n v="1130.81"/>
    <n v="1.3699778856049834E-4"/>
    <n v="0.95986184440379296"/>
    <x v="2"/>
  </r>
  <r>
    <s v="0001-1"/>
    <x v="0"/>
    <n v="6.4432989690721648E-4"/>
    <n v="0.49806701030927675"/>
    <n v="3"/>
    <n v="374.5"/>
    <n v="1123.5"/>
    <n v="1.3611218104519758E-4"/>
    <n v="0.95999795658483811"/>
    <x v="2"/>
  </r>
  <r>
    <s v="1113-1"/>
    <x v="0"/>
    <n v="6.4432989690721648E-4"/>
    <n v="0.49871134020618396"/>
    <n v="2"/>
    <n v="557.86"/>
    <n v="1115.72"/>
    <n v="1.3516963296461757E-4"/>
    <n v="0.96013312621780278"/>
    <x v="2"/>
  </r>
  <r>
    <s v="1306-4"/>
    <x v="4"/>
    <n v="6.4432989690721648E-4"/>
    <n v="0.49935567010309118"/>
    <n v="5"/>
    <n v="222.1"/>
    <n v="1110.5"/>
    <n v="1.3453722923960118E-4"/>
    <n v="0.9602676634470424"/>
    <x v="2"/>
  </r>
  <r>
    <s v="0643-3"/>
    <x v="1"/>
    <n v="6.4432989690721648E-4"/>
    <n v="0.49999999999999839"/>
    <n v="1"/>
    <n v="1109.07"/>
    <n v="1109.07"/>
    <n v="1.3436398454098558E-4"/>
    <n v="0.96040202743158343"/>
    <x v="2"/>
  </r>
  <r>
    <s v="0162-1"/>
    <x v="0"/>
    <n v="6.4432989690721648E-4"/>
    <n v="0.50064432989690566"/>
    <n v="2"/>
    <n v="551.75"/>
    <n v="1103.5"/>
    <n v="1.3368917826735694E-4"/>
    <n v="0.96053571660985082"/>
    <x v="2"/>
  </r>
  <r>
    <s v="1152-1"/>
    <x v="0"/>
    <n v="6.4432989690721648E-4"/>
    <n v="0.50128865979381287"/>
    <n v="1"/>
    <n v="1099.24"/>
    <n v="1099.24"/>
    <n v="1.3317307867567692E-4"/>
    <n v="0.96066888968852648"/>
    <x v="2"/>
  </r>
  <r>
    <s v="1502-3"/>
    <x v="1"/>
    <n v="6.4432989690721648E-4"/>
    <n v="0.50193298969072009"/>
    <n v="1"/>
    <n v="1098.5899999999999"/>
    <n v="1098.5899999999999"/>
    <n v="1.3309433108539708E-4"/>
    <n v="0.96080198401961192"/>
    <x v="2"/>
  </r>
  <r>
    <s v="0046-9"/>
    <x v="2"/>
    <n v="6.4432989690721648E-4"/>
    <n v="0.5025773195876273"/>
    <n v="5"/>
    <n v="218.82"/>
    <n v="1094.0999999999999"/>
    <n v="1.3255036696177184E-4"/>
    <n v="0.96093453438657372"/>
    <x v="2"/>
  </r>
  <r>
    <s v="1039-5"/>
    <x v="8"/>
    <n v="6.4432989690721648E-4"/>
    <n v="0.50322164948453452"/>
    <n v="6"/>
    <n v="182.32"/>
    <n v="1093.92"/>
    <n v="1.325285599367713E-4"/>
    <n v="0.96106706294651045"/>
    <x v="2"/>
  </r>
  <r>
    <s v="1714-1"/>
    <x v="0"/>
    <n v="6.4432989690721648E-4"/>
    <n v="0.50386597938144173"/>
    <n v="1"/>
    <n v="1086.3900000000001"/>
    <n v="1086.3900000000001"/>
    <n v="1.316162993909143E-4"/>
    <n v="0.96119867924590141"/>
    <x v="2"/>
  </r>
  <r>
    <s v="0919-5"/>
    <x v="8"/>
    <n v="6.4432989690721648E-4"/>
    <n v="0.50451030927834895"/>
    <n v="9"/>
    <n v="120.68"/>
    <n v="1086.1200000000001"/>
    <n v="1.3158358885341346E-4"/>
    <n v="0.96133026283475487"/>
    <x v="2"/>
  </r>
  <r>
    <s v="0550-5"/>
    <x v="8"/>
    <n v="6.4432989690721648E-4"/>
    <n v="0.50515463917525616"/>
    <n v="6"/>
    <n v="180.19"/>
    <n v="1081.1399999999999"/>
    <n v="1.3098026116173113E-4"/>
    <n v="0.96146124309591663"/>
    <x v="2"/>
  </r>
  <r>
    <s v="1334-6"/>
    <x v="7"/>
    <n v="6.4432989690721648E-4"/>
    <n v="0.50579896907216337"/>
    <n v="15"/>
    <n v="72.040000000000006"/>
    <n v="1080.6000000000001"/>
    <n v="1.3091484008672944E-4"/>
    <n v="0.96159215793600339"/>
    <x v="2"/>
  </r>
  <r>
    <s v="1360-1"/>
    <x v="0"/>
    <n v="6.4432989690721648E-4"/>
    <n v="0.50644329896907059"/>
    <n v="1"/>
    <n v="1079.05"/>
    <n v="1079.05"/>
    <n v="1.3072705737144678E-4"/>
    <n v="0.96172288499337488"/>
    <x v="2"/>
  </r>
  <r>
    <s v="0989-3"/>
    <x v="1"/>
    <n v="6.4432989690721648E-4"/>
    <n v="0.5070876288659778"/>
    <n v="1"/>
    <n v="1064.79"/>
    <n v="1064.79"/>
    <n v="1.289994563908464E-4"/>
    <n v="0.96185188444976577"/>
    <x v="2"/>
  </r>
  <r>
    <s v="1567-1"/>
    <x v="0"/>
    <n v="6.4432989690721648E-4"/>
    <n v="0.50773195876288502"/>
    <n v="1"/>
    <n v="1062.52"/>
    <n v="1062.52"/>
    <n v="1.2872444557556151E-4"/>
    <n v="0.96198060889534132"/>
    <x v="2"/>
  </r>
  <r>
    <s v="0878-3"/>
    <x v="1"/>
    <n v="6.4432989690721648E-4"/>
    <n v="0.50837628865979223"/>
    <n v="8"/>
    <n v="132.71"/>
    <n v="1061.68"/>
    <n v="1.286226794588922E-4"/>
    <n v="0.96210923157480022"/>
    <x v="2"/>
  </r>
  <r>
    <s v="1877-1"/>
    <x v="0"/>
    <n v="6.4432989690721648E-4"/>
    <n v="0.50902061855669944"/>
    <n v="1"/>
    <n v="1059.4000000000001"/>
    <n v="1059.4000000000001"/>
    <n v="1.2834645714221836E-4"/>
    <n v="0.96223757803194243"/>
    <x v="2"/>
  </r>
  <r>
    <s v="0778-7"/>
    <x v="3"/>
    <n v="6.4432989690721648E-4"/>
    <n v="0.50966494845360666"/>
    <n v="14"/>
    <n v="75.53"/>
    <n v="1057.42"/>
    <n v="1.2810657986721215E-4"/>
    <n v="0.9623656846118096"/>
    <x v="2"/>
  </r>
  <r>
    <s v="1017-1"/>
    <x v="0"/>
    <n v="6.4432989690721648E-4"/>
    <n v="0.51030927835051387"/>
    <n v="2"/>
    <n v="524.04999999999995"/>
    <n v="1048.0999999999999"/>
    <n v="1.2697746057273838E-4"/>
    <n v="0.96249266207238238"/>
    <x v="2"/>
  </r>
  <r>
    <s v="0959-3"/>
    <x v="1"/>
    <n v="6.4432989690721648E-4"/>
    <n v="0.51095360824742109"/>
    <n v="8"/>
    <n v="130.84"/>
    <n v="1046.72"/>
    <n v="1.2681027338106739E-4"/>
    <n v="0.96261947234576339"/>
    <x v="2"/>
  </r>
  <r>
    <s v="0605-3"/>
    <x v="1"/>
    <n v="6.4432989690721648E-4"/>
    <n v="0.5115979381443283"/>
    <n v="1"/>
    <n v="1034.3399999999999"/>
    <n v="1034.3399999999999"/>
    <n v="1.2531043466158405E-4"/>
    <n v="0.96274478278042497"/>
    <x v="2"/>
  </r>
  <r>
    <s v="0859-7"/>
    <x v="3"/>
    <n v="6.4432989690721648E-4"/>
    <n v="0.51224226804123552"/>
    <n v="11"/>
    <n v="94.02"/>
    <n v="1034.22"/>
    <n v="1.2529589664491702E-4"/>
    <n v="0.96287007867706986"/>
    <x v="2"/>
  </r>
  <r>
    <s v="0885-1"/>
    <x v="0"/>
    <n v="6.4432989690721648E-4"/>
    <n v="0.51288659793814273"/>
    <n v="2"/>
    <n v="516.76"/>
    <n v="1033.52"/>
    <n v="1.2521109154769257E-4"/>
    <n v="0.96299528976861759"/>
    <x v="2"/>
  </r>
  <r>
    <s v="1787-1"/>
    <x v="0"/>
    <n v="6.4432989690721648E-4"/>
    <n v="0.51353092783504994"/>
    <n v="1"/>
    <n v="1027.03"/>
    <n v="1027.03"/>
    <n v="1.2442482714628328E-4"/>
    <n v="0.96311971459576384"/>
    <x v="2"/>
  </r>
  <r>
    <s v="0388-3"/>
    <x v="1"/>
    <n v="6.4432989690721648E-4"/>
    <n v="0.51417525773195716"/>
    <n v="18"/>
    <n v="56.95"/>
    <n v="1025.1000000000001"/>
    <n v="1.2419100737822168E-4"/>
    <n v="0.9632439056031421"/>
    <x v="2"/>
  </r>
  <r>
    <s v="0474-3"/>
    <x v="1"/>
    <n v="6.4432989690721648E-4"/>
    <n v="0.51481958762886437"/>
    <n v="1"/>
    <n v="1019.23"/>
    <n v="1019.23"/>
    <n v="1.2347985606292545E-4"/>
    <n v="0.96336738545920508"/>
    <x v="2"/>
  </r>
  <r>
    <s v="0833-8"/>
    <x v="5"/>
    <n v="6.4432989690721648E-4"/>
    <n v="0.51546391752577159"/>
    <n v="21"/>
    <n v="48.53"/>
    <n v="1019.13"/>
    <n v="1.2346774104903625E-4"/>
    <n v="0.96349085320025407"/>
    <x v="2"/>
  </r>
  <r>
    <s v="0195-4"/>
    <x v="4"/>
    <n v="6.4432989690721648E-4"/>
    <n v="0.5161082474226788"/>
    <n v="12"/>
    <n v="84.66"/>
    <n v="1015.92"/>
    <n v="1.2307884910319283E-4"/>
    <n v="0.9636139320493573"/>
    <x v="2"/>
  </r>
  <r>
    <s v="0449-9"/>
    <x v="2"/>
    <n v="6.4432989690721648E-4"/>
    <n v="0.51675257731958602"/>
    <n v="9"/>
    <n v="112.52"/>
    <n v="1012.68"/>
    <n v="1.2268632265318262E-4"/>
    <n v="0.96373661837201052"/>
    <x v="2"/>
  </r>
  <r>
    <s v="1380-8"/>
    <x v="5"/>
    <n v="6.4432989690721648E-4"/>
    <n v="0.51739690721649323"/>
    <n v="44"/>
    <n v="23.01"/>
    <n v="1012.44"/>
    <n v="1.2265724661984857E-4"/>
    <n v="0.96385927561863038"/>
    <x v="2"/>
  </r>
  <r>
    <s v="0396-1"/>
    <x v="0"/>
    <n v="6.4432989690721648E-4"/>
    <n v="0.51804123711340044"/>
    <n v="1"/>
    <n v="1010.88"/>
    <n v="1010.88"/>
    <n v="1.2246825240317698E-4"/>
    <n v="0.96398174387103353"/>
    <x v="2"/>
  </r>
  <r>
    <s v="1660-3"/>
    <x v="1"/>
    <n v="6.4432989690721648E-4"/>
    <n v="0.51868556701030766"/>
    <n v="1"/>
    <n v="1006.71"/>
    <n v="1006.71"/>
    <n v="1.2196305632399722E-4"/>
    <n v="0.96410370692735747"/>
    <x v="2"/>
  </r>
  <r>
    <s v="0598-8"/>
    <x v="5"/>
    <n v="6.4432989690721648E-4"/>
    <n v="0.51932989690721487"/>
    <n v="15"/>
    <n v="66.87"/>
    <n v="1003.0500000000001"/>
    <n v="1.2151964681565239E-4"/>
    <n v="0.96422522657417309"/>
    <x v="2"/>
  </r>
  <r>
    <s v="0519-5"/>
    <x v="8"/>
    <n v="6.4432989690721648E-4"/>
    <n v="0.51997422680412209"/>
    <n v="8"/>
    <n v="125.21"/>
    <n v="1001.68"/>
    <n v="1.2135367112537029E-4"/>
    <n v="0.96434658024529851"/>
    <x v="2"/>
  </r>
  <r>
    <s v="0303-1"/>
    <x v="0"/>
    <n v="6.4432989690721648E-4"/>
    <n v="0.5206185567010293"/>
    <n v="1"/>
    <n v="998.66"/>
    <n v="998.66"/>
    <n v="1.2098779770591635E-4"/>
    <n v="0.96446756804300438"/>
    <x v="2"/>
  </r>
  <r>
    <s v="0794-9"/>
    <x v="2"/>
    <n v="6.4432989690721648E-4"/>
    <n v="0.52126288659793651"/>
    <n v="3"/>
    <n v="331.3"/>
    <n v="993.90000000000009"/>
    <n v="1.204111230447903E-4"/>
    <n v="0.96458797916604921"/>
    <x v="2"/>
  </r>
  <r>
    <s v="1654-1"/>
    <x v="0"/>
    <n v="6.4432989690721648E-4"/>
    <n v="0.52190721649484373"/>
    <n v="3"/>
    <n v="331.26"/>
    <n v="993.78"/>
    <n v="1.2039658502812324E-4"/>
    <n v="0.96470837575107737"/>
    <x v="2"/>
  </r>
  <r>
    <s v="1387-8"/>
    <x v="5"/>
    <n v="6.4432989690721648E-4"/>
    <n v="0.52255154639175094"/>
    <n v="20"/>
    <n v="49.56"/>
    <n v="991.2"/>
    <n v="1.200840176697818E-4"/>
    <n v="0.9648284597687472"/>
    <x v="2"/>
  </r>
  <r>
    <s v="1024-8"/>
    <x v="5"/>
    <n v="6.4432989690721648E-4"/>
    <n v="0.52319587628865816"/>
    <n v="47"/>
    <n v="20.9"/>
    <n v="982.3"/>
    <n v="1.1900578143364272E-4"/>
    <n v="0.96494746555018085"/>
    <x v="2"/>
  </r>
  <r>
    <s v="1075-3"/>
    <x v="1"/>
    <n v="6.4432989690721648E-4"/>
    <n v="0.52384020618556537"/>
    <n v="1"/>
    <n v="979.4"/>
    <n v="979.4"/>
    <n v="1.1865444603085582E-4"/>
    <n v="0.96506611999621172"/>
    <x v="2"/>
  </r>
  <r>
    <s v="0628-1"/>
    <x v="0"/>
    <n v="6.4432989690721648E-4"/>
    <n v="0.52448453608247259"/>
    <n v="1"/>
    <n v="978.04"/>
    <n v="978.04"/>
    <n v="1.1848968184196266E-4"/>
    <n v="0.96518460967805364"/>
    <x v="2"/>
  </r>
  <r>
    <s v="1221-8"/>
    <x v="5"/>
    <n v="6.4432989690721648E-4"/>
    <n v="0.5251288659793798"/>
    <n v="28"/>
    <n v="34.83"/>
    <n v="975.24"/>
    <n v="1.1815046145306498E-4"/>
    <n v="0.96530276013950667"/>
    <x v="2"/>
  </r>
  <r>
    <s v="0592-3"/>
    <x v="1"/>
    <n v="6.4432989690721648E-4"/>
    <n v="0.52577319587628701"/>
    <n v="5"/>
    <n v="194.69"/>
    <n v="973.45"/>
    <n v="1.1793360270444825E-4"/>
    <n v="0.96542069374221107"/>
    <x v="2"/>
  </r>
  <r>
    <s v="1759-9"/>
    <x v="2"/>
    <n v="6.4432989690721648E-4"/>
    <n v="0.52641752577319423"/>
    <n v="4"/>
    <n v="242.76"/>
    <n v="971.04"/>
    <n v="1.1764163086971844E-4"/>
    <n v="0.96553833537308076"/>
    <x v="2"/>
  </r>
  <r>
    <s v="1611-3"/>
    <x v="1"/>
    <n v="6.4432989690721648E-4"/>
    <n v="0.52706185567010144"/>
    <n v="1"/>
    <n v="967.84"/>
    <n v="967.84"/>
    <n v="1.1725395042526395E-4"/>
    <n v="0.96565558932350604"/>
    <x v="2"/>
  </r>
  <r>
    <s v="1192-2"/>
    <x v="6"/>
    <n v="6.4432989690721648E-4"/>
    <n v="0.52770618556700866"/>
    <n v="18"/>
    <n v="53.61"/>
    <n v="964.98"/>
    <n v="1.1690746102803274E-4"/>
    <n v="0.96577249678453403"/>
    <x v="2"/>
  </r>
  <r>
    <s v="1265-3"/>
    <x v="1"/>
    <n v="6.4432989690721648E-4"/>
    <n v="0.52835051546391587"/>
    <n v="7"/>
    <n v="137.72999999999999"/>
    <n v="964.1099999999999"/>
    <n v="1.1680206040719664E-4"/>
    <n v="0.96588929884494124"/>
    <x v="2"/>
  </r>
  <r>
    <s v="0040-9"/>
    <x v="2"/>
    <n v="6.4432989690721648E-4"/>
    <n v="0.52899484536082308"/>
    <n v="4"/>
    <n v="240.95"/>
    <n v="963.8"/>
    <n v="1.1676450386414013E-4"/>
    <n v="0.96600606334880534"/>
    <x v="2"/>
  </r>
  <r>
    <s v="1515-3"/>
    <x v="1"/>
    <n v="6.4432989690721648E-4"/>
    <n v="0.5296391752577303"/>
    <n v="1"/>
    <n v="962.82"/>
    <n v="962.82"/>
    <n v="1.1664577672802595E-4"/>
    <n v="0.96612270912553333"/>
    <x v="2"/>
  </r>
  <r>
    <s v="1796-3"/>
    <x v="1"/>
    <n v="6.4432989690721648E-4"/>
    <n v="0.53028350515463751"/>
    <n v="1"/>
    <n v="960.84"/>
    <n v="960.84"/>
    <n v="1.1640589945301972E-4"/>
    <n v="0.96623911502498638"/>
    <x v="2"/>
  </r>
  <r>
    <s v="1626-7"/>
    <x v="3"/>
    <n v="6.4432989690721648E-4"/>
    <n v="0.53092783505154473"/>
    <n v="9"/>
    <n v="105.91"/>
    <n v="953.18999999999994"/>
    <n v="1.1547910089049568E-4"/>
    <n v="0.96635459412587688"/>
    <x v="2"/>
  </r>
  <r>
    <s v="1168-7"/>
    <x v="3"/>
    <n v="6.4432989690721648E-4"/>
    <n v="0.53157216494845194"/>
    <n v="9"/>
    <n v="105.81"/>
    <n v="952.29"/>
    <n v="1.1537006576549284E-4"/>
    <n v="0.96646996419164233"/>
    <x v="2"/>
  </r>
  <r>
    <s v="1329-1"/>
    <x v="0"/>
    <n v="6.4432989690721648E-4"/>
    <n v="0.53221649484535916"/>
    <n v="1"/>
    <n v="947.84"/>
    <n v="947.84"/>
    <n v="1.1483094764742331E-4"/>
    <n v="0.96658479513928974"/>
    <x v="2"/>
  </r>
  <r>
    <s v="1534-3"/>
    <x v="1"/>
    <n v="6.4432989690721648E-4"/>
    <n v="0.53286082474226637"/>
    <n v="2"/>
    <n v="470.98"/>
    <n v="941.96"/>
    <n v="1.1411858483073817E-4"/>
    <n v="0.96669891372412053"/>
    <x v="2"/>
  </r>
  <r>
    <s v="0455-9"/>
    <x v="2"/>
    <n v="6.4432989690721648E-4"/>
    <n v="0.53350515463917358"/>
    <n v="2"/>
    <n v="469.77"/>
    <n v="939.54"/>
    <n v="1.1382540149461944E-4"/>
    <n v="0.96681273912561516"/>
    <x v="2"/>
  </r>
  <r>
    <s v="0372-1"/>
    <x v="0"/>
    <n v="6.4432989690721648E-4"/>
    <n v="0.5341494845360808"/>
    <n v="1"/>
    <n v="938.99"/>
    <n v="938.99"/>
    <n v="1.1375876891822883E-4"/>
    <n v="0.96692649789453344"/>
    <x v="2"/>
  </r>
  <r>
    <s v="0721-1"/>
    <x v="0"/>
    <n v="6.4432989690721648E-4"/>
    <n v="0.53479381443298801"/>
    <n v="1"/>
    <n v="931.57"/>
    <n v="931.57"/>
    <n v="1.1285983488764995E-4"/>
    <n v="0.96703935772942107"/>
    <x v="2"/>
  </r>
  <r>
    <s v="1488-8"/>
    <x v="5"/>
    <n v="6.4432989690721648E-4"/>
    <n v="0.53543814432989523"/>
    <n v="29"/>
    <n v="31.82"/>
    <n v="922.78"/>
    <n v="1.1179492516678898E-4"/>
    <n v="0.96715115265458784"/>
    <x v="2"/>
  </r>
  <r>
    <s v="1128-3"/>
    <x v="1"/>
    <n v="6.4432989690721648E-4"/>
    <n v="0.53608247422680244"/>
    <n v="1"/>
    <n v="914.1"/>
    <n v="914.1"/>
    <n v="1.1074334196120616E-4"/>
    <n v="0.9672618959965491"/>
    <x v="2"/>
  </r>
  <r>
    <s v="1201-8"/>
    <x v="5"/>
    <n v="6.4432989690721648E-4"/>
    <n v="0.53672680412370966"/>
    <n v="84"/>
    <n v="10.82"/>
    <n v="908.88"/>
    <n v="1.1011093823618975E-4"/>
    <n v="0.96737200693478531"/>
    <x v="2"/>
  </r>
  <r>
    <s v="0700-7"/>
    <x v="3"/>
    <n v="6.4432989690721648E-4"/>
    <n v="0.53737113402061687"/>
    <n v="5"/>
    <n v="181.17"/>
    <n v="905.84999999999991"/>
    <n v="1.0974385331534689E-4"/>
    <n v="0.96748175078810061"/>
    <x v="2"/>
  </r>
  <r>
    <s v="1466-1"/>
    <x v="0"/>
    <n v="6.4432989690721648E-4"/>
    <n v="0.53801546391752408"/>
    <n v="1"/>
    <n v="905.8"/>
    <n v="905.8"/>
    <n v="1.0973779580840229E-4"/>
    <n v="0.96759148858390898"/>
    <x v="2"/>
  </r>
  <r>
    <s v="1124-1"/>
    <x v="0"/>
    <n v="6.4432989690721648E-4"/>
    <n v="0.5386597938144313"/>
    <n v="1"/>
    <n v="904.46"/>
    <n v="904.46"/>
    <n v="1.0957545462228698E-4"/>
    <n v="0.96770106403853129"/>
    <x v="2"/>
  </r>
  <r>
    <s v="0270-1"/>
    <x v="0"/>
    <n v="6.4432989690721648E-4"/>
    <n v="0.53930412371133851"/>
    <n v="1"/>
    <n v="902.04"/>
    <n v="902.04"/>
    <n v="1.0928227128616825E-4"/>
    <n v="0.96781034630981744"/>
    <x v="2"/>
  </r>
  <r>
    <s v="0142-3"/>
    <x v="1"/>
    <n v="6.4432989690721648E-4"/>
    <n v="0.53994845360824573"/>
    <n v="2"/>
    <n v="449.89"/>
    <n v="899.78"/>
    <n v="1.0900847197227226E-4"/>
    <n v="0.9679193547817897"/>
    <x v="2"/>
  </r>
  <r>
    <s v="0846-9"/>
    <x v="2"/>
    <n v="6.4432989690721648E-4"/>
    <n v="0.54059278350515294"/>
    <n v="3"/>
    <n v="299.86"/>
    <n v="899.58"/>
    <n v="1.0898424194449386E-4"/>
    <n v="0.9680283390237342"/>
    <x v="2"/>
  </r>
  <r>
    <s v="1077-9"/>
    <x v="2"/>
    <n v="6.4432989690721648E-4"/>
    <n v="0.54123711340206015"/>
    <n v="33"/>
    <n v="27.09"/>
    <n v="893.97"/>
    <n v="1.0830458966530957E-4"/>
    <n v="0.96813664361339946"/>
    <x v="2"/>
  </r>
  <r>
    <s v="1282-9"/>
    <x v="2"/>
    <n v="6.4432989690721648E-4"/>
    <n v="0.54188144329896737"/>
    <n v="3"/>
    <n v="297.41000000000003"/>
    <n v="892.23"/>
    <n v="1.0809378842363742E-4"/>
    <n v="0.96824473740182315"/>
    <x v="2"/>
  </r>
  <r>
    <s v="0392-9"/>
    <x v="2"/>
    <n v="6.4432989690721648E-4"/>
    <n v="0.54252577319587458"/>
    <n v="2"/>
    <n v="444.5"/>
    <n v="889"/>
    <n v="1.0770247347501616E-4"/>
    <n v="0.96835243987529818"/>
    <x v="2"/>
  </r>
  <r>
    <s v="1711-8"/>
    <x v="5"/>
    <n v="6.4432989690721648E-4"/>
    <n v="0.5431701030927818"/>
    <n v="12"/>
    <n v="74.05"/>
    <n v="888.59999999999991"/>
    <n v="1.0765401341945933E-4"/>
    <n v="0.96846009388871768"/>
    <x v="2"/>
  </r>
  <r>
    <s v="0374-8"/>
    <x v="5"/>
    <n v="6.4432989690721648E-4"/>
    <n v="0.54381443298968901"/>
    <n v="17"/>
    <n v="51.92"/>
    <n v="882.64"/>
    <n v="1.0693195859166284E-4"/>
    <n v="0.96856702584730936"/>
    <x v="2"/>
  </r>
  <r>
    <s v="1743-1"/>
    <x v="0"/>
    <n v="6.4432989690721648E-4"/>
    <n v="0.54445876288659623"/>
    <n v="1"/>
    <n v="875.12"/>
    <n v="875.12"/>
    <n v="1.0602090954719477E-4"/>
    <n v="0.9686730467568565"/>
    <x v="2"/>
  </r>
  <r>
    <s v="0177-8"/>
    <x v="5"/>
    <n v="6.4432989690721648E-4"/>
    <n v="0.54510309278350344"/>
    <n v="34"/>
    <n v="25.73"/>
    <n v="874.82"/>
    <n v="1.0598456450552716E-4"/>
    <n v="0.96877903132136201"/>
    <x v="2"/>
  </r>
  <r>
    <s v="0460-3"/>
    <x v="1"/>
    <n v="6.4432989690721648E-4"/>
    <n v="0.54574742268041065"/>
    <n v="1"/>
    <n v="872.08"/>
    <n v="872.08"/>
    <n v="1.0565261312496299E-4"/>
    <n v="0.96888468393448701"/>
    <x v="2"/>
  </r>
  <r>
    <s v="0276-1"/>
    <x v="0"/>
    <n v="6.4432989690721648E-4"/>
    <n v="0.54639175257731787"/>
    <n v="1"/>
    <n v="870.99"/>
    <n v="870.99"/>
    <n v="1.0552055947357067E-4"/>
    <n v="0.96899020449396056"/>
    <x v="2"/>
  </r>
  <r>
    <s v="0240-4"/>
    <x v="4"/>
    <n v="6.4432989690721648E-4"/>
    <n v="0.54703608247422508"/>
    <n v="3"/>
    <n v="289.63"/>
    <n v="868.89"/>
    <n v="1.0526614418189741E-4"/>
    <n v="0.9690954706381425"/>
    <x v="2"/>
  </r>
  <r>
    <s v="0145-8"/>
    <x v="5"/>
    <n v="6.4432989690721648E-4"/>
    <n v="0.5476804123711323"/>
    <n v="158"/>
    <n v="5.48"/>
    <n v="865.84"/>
    <n v="1.0489663625827672E-4"/>
    <n v="0.96920036727440073"/>
    <x v="2"/>
  </r>
  <r>
    <s v="0380-3"/>
    <x v="1"/>
    <n v="6.4432989690721648E-4"/>
    <n v="0.54832474226803951"/>
    <n v="1"/>
    <n v="864.82"/>
    <n v="864.82"/>
    <n v="1.0477306311660684E-4"/>
    <n v="0.96930514033751736"/>
    <x v="2"/>
  </r>
  <r>
    <s v="1754-1"/>
    <x v="0"/>
    <n v="6.4432989690721648E-4"/>
    <n v="0.54896907216494673"/>
    <n v="2"/>
    <n v="432.31"/>
    <n v="864.62"/>
    <n v="1.0474883308882843E-4"/>
    <n v="0.96940988917060622"/>
    <x v="2"/>
  </r>
  <r>
    <s v="1051-3"/>
    <x v="1"/>
    <n v="6.4432989690721648E-4"/>
    <n v="0.54961340206185394"/>
    <n v="6"/>
    <n v="144.02000000000001"/>
    <n v="864.12000000000012"/>
    <n v="1.0468825801938243E-4"/>
    <n v="0.96951457742862557"/>
    <x v="2"/>
  </r>
  <r>
    <s v="0847-3"/>
    <x v="1"/>
    <n v="6.4432989690721648E-4"/>
    <n v="0.55025773195876115"/>
    <n v="1"/>
    <n v="861.92"/>
    <n v="861.92"/>
    <n v="1.0442172771381994E-4"/>
    <n v="0.96961899915633942"/>
    <x v="2"/>
  </r>
  <r>
    <s v="0747-1"/>
    <x v="0"/>
    <n v="6.4432989690721648E-4"/>
    <n v="0.55090206185566837"/>
    <n v="1"/>
    <n v="859.04"/>
    <n v="859.04"/>
    <n v="1.0407281531381089E-4"/>
    <n v="0.96972307197165319"/>
    <x v="2"/>
  </r>
  <r>
    <s v="0475-5"/>
    <x v="8"/>
    <n v="6.4432989690721648E-4"/>
    <n v="0.55154639175257558"/>
    <n v="47"/>
    <n v="18.21"/>
    <n v="855.87"/>
    <n v="1.0368876937352316E-4"/>
    <n v="0.96982676074102669"/>
    <x v="2"/>
  </r>
  <r>
    <s v="1457-9"/>
    <x v="2"/>
    <n v="6.4432989690721648E-4"/>
    <n v="0.5521907216494828"/>
    <n v="5"/>
    <n v="170.78"/>
    <n v="853.9"/>
    <n v="1.0345010359990584E-4"/>
    <n v="0.96993021084462661"/>
    <x v="2"/>
  </r>
  <r>
    <s v="1821-4"/>
    <x v="4"/>
    <n v="6.4432989690721648E-4"/>
    <n v="0.55283505154639001"/>
    <n v="11"/>
    <n v="76.84"/>
    <n v="845.24"/>
    <n v="1.0240094339710086E-4"/>
    <n v="0.97003261178802369"/>
    <x v="2"/>
  </r>
  <r>
    <s v="0258-3"/>
    <x v="1"/>
    <n v="6.4432989690721648E-4"/>
    <n v="0.55347938144329722"/>
    <n v="1"/>
    <n v="844.08"/>
    <n v="844.08"/>
    <n v="1.0226040923598611E-4"/>
    <n v="0.97013487219725969"/>
    <x v="2"/>
  </r>
  <r>
    <s v="1627-4"/>
    <x v="4"/>
    <n v="6.4432989690721648E-4"/>
    <n v="0.55412371134020444"/>
    <n v="2"/>
    <n v="419.46"/>
    <n v="838.92"/>
    <n v="1.0163527451930322E-4"/>
    <n v="0.97023650747177903"/>
    <x v="2"/>
  </r>
  <r>
    <s v="1459-3"/>
    <x v="1"/>
    <n v="6.4432989690721648E-4"/>
    <n v="0.55476804123711165"/>
    <n v="4"/>
    <n v="209.67"/>
    <n v="838.68"/>
    <n v="1.0160619848596912E-4"/>
    <n v="0.97033811367026501"/>
    <x v="2"/>
  </r>
  <r>
    <s v="1335-4"/>
    <x v="4"/>
    <n v="6.4432989690721648E-4"/>
    <n v="0.55541237113401887"/>
    <n v="5"/>
    <n v="167.4"/>
    <n v="837"/>
    <n v="1.0140266625263052E-4"/>
    <n v="0.97043951633651759"/>
    <x v="2"/>
  </r>
  <r>
    <s v="0665-9"/>
    <x v="2"/>
    <n v="6.4432989690721648E-4"/>
    <n v="0.55605670103092608"/>
    <n v="3"/>
    <n v="276.13"/>
    <n v="828.39"/>
    <n v="1.0035956355677012E-4"/>
    <n v="0.9705398759000744"/>
    <x v="2"/>
  </r>
  <r>
    <s v="0752-9"/>
    <x v="2"/>
    <n v="6.4432989690721648E-4"/>
    <n v="0.5567010309278333"/>
    <n v="4"/>
    <n v="206.49"/>
    <n v="825.96"/>
    <n v="1.0006516871926249E-4"/>
    <n v="0.9706399410687937"/>
    <x v="2"/>
  </r>
  <r>
    <s v="0151-1"/>
    <x v="0"/>
    <n v="6.4432989690721648E-4"/>
    <n v="0.55734536082474051"/>
    <n v="1"/>
    <n v="823.04"/>
    <n v="823.04"/>
    <n v="9.9711410313697754E-5"/>
    <n v="0.97073965247910743"/>
    <x v="2"/>
  </r>
  <r>
    <s v="1163-2"/>
    <x v="6"/>
    <n v="6.4432989690721648E-4"/>
    <n v="0.55798969072164772"/>
    <n v="11"/>
    <n v="74.7"/>
    <n v="821.7"/>
    <n v="9.9549069127582434E-5"/>
    <n v="0.970839201548235"/>
    <x v="2"/>
  </r>
  <r>
    <s v="0784-7"/>
    <x v="3"/>
    <n v="6.4432989690721648E-4"/>
    <n v="0.55863402061855494"/>
    <n v="35"/>
    <n v="23.46"/>
    <n v="821.1"/>
    <n v="9.947637904424721E-5"/>
    <n v="0.97093867792727928"/>
    <x v="2"/>
  </r>
  <r>
    <s v="1530-6"/>
    <x v="7"/>
    <n v="6.4432989690721648E-4"/>
    <n v="0.55927835051546215"/>
    <n v="8"/>
    <n v="102.63"/>
    <n v="821.04"/>
    <n v="9.9469110035913682E-5"/>
    <n v="0.97103814703731517"/>
    <x v="2"/>
  </r>
  <r>
    <s v="1267-1"/>
    <x v="0"/>
    <n v="6.4432989690721648E-4"/>
    <n v="0.55992268041236937"/>
    <n v="2"/>
    <n v="410.05"/>
    <n v="820.1"/>
    <n v="9.9355228905355188E-5"/>
    <n v="0.97113750226622053"/>
    <x v="2"/>
  </r>
  <r>
    <s v="0703-9"/>
    <x v="2"/>
    <n v="6.4432989690721648E-4"/>
    <n v="0.56056701030927658"/>
    <n v="7"/>
    <n v="117.09"/>
    <n v="819.63"/>
    <n v="9.929828834007592E-5"/>
    <n v="0.97123680055456063"/>
    <x v="2"/>
  </r>
  <r>
    <s v="0682-6"/>
    <x v="7"/>
    <n v="6.4432989690721648E-4"/>
    <n v="0.5612113402061838"/>
    <n v="12"/>
    <n v="68.27"/>
    <n v="819.24"/>
    <n v="9.9251039785908037E-5"/>
    <n v="0.97133605159434655"/>
    <x v="2"/>
  </r>
  <r>
    <s v="1014-3"/>
    <x v="1"/>
    <n v="6.4432989690721648E-4"/>
    <n v="0.56185567010309101"/>
    <n v="1"/>
    <n v="817.23"/>
    <n v="817.23"/>
    <n v="9.9007528006735051E-5"/>
    <n v="0.97143505912235328"/>
    <x v="2"/>
  </r>
  <r>
    <s v="1197-8"/>
    <x v="5"/>
    <n v="6.4432989690721648E-4"/>
    <n v="0.56249999999999822"/>
    <n v="28"/>
    <n v="29.18"/>
    <n v="817.04"/>
    <n v="9.8984509480345553E-5"/>
    <n v="0.9715340436318336"/>
    <x v="2"/>
  </r>
  <r>
    <s v="0091-1"/>
    <x v="0"/>
    <n v="6.4432989690721648E-4"/>
    <n v="0.56314432989690544"/>
    <n v="1"/>
    <n v="817"/>
    <n v="817"/>
    <n v="9.8979663474789881E-5"/>
    <n v="0.97163302329530843"/>
    <x v="2"/>
  </r>
  <r>
    <s v="0538-3"/>
    <x v="1"/>
    <n v="6.4432989690721648E-4"/>
    <n v="0.56378865979381265"/>
    <n v="1"/>
    <n v="816.51"/>
    <n v="816.51"/>
    <n v="9.8920299906732784E-5"/>
    <n v="0.9717319435952152"/>
    <x v="2"/>
  </r>
  <r>
    <s v="0525-1"/>
    <x v="0"/>
    <n v="6.4432989690721648E-4"/>
    <n v="0.56443298969071987"/>
    <n v="1"/>
    <n v="813.68"/>
    <n v="813.68"/>
    <n v="9.8577445013668332E-5"/>
    <n v="0.97183052104022882"/>
    <x v="2"/>
  </r>
  <r>
    <s v="1850-9"/>
    <x v="2"/>
    <n v="6.4432989690721648E-4"/>
    <n v="0.56507731958762708"/>
    <n v="2"/>
    <n v="406.8"/>
    <n v="813.6"/>
    <n v="9.8567753002556975E-5"/>
    <n v="0.97192908879323137"/>
    <x v="2"/>
  </r>
  <r>
    <s v="1861-1"/>
    <x v="0"/>
    <n v="6.4432989690721648E-4"/>
    <n v="0.56572164948453429"/>
    <n v="1"/>
    <n v="813.41"/>
    <n v="813.41"/>
    <n v="9.8544734476167477E-5"/>
    <n v="0.97202763352770749"/>
    <x v="2"/>
  </r>
  <r>
    <s v="1285-9"/>
    <x v="2"/>
    <n v="6.4432989690721648E-4"/>
    <n v="0.56636597938144151"/>
    <n v="2"/>
    <n v="406.42"/>
    <n v="812.84"/>
    <n v="9.8475678896999038E-5"/>
    <n v="0.97212610920660447"/>
    <x v="2"/>
  </r>
  <r>
    <s v="1538-6"/>
    <x v="7"/>
    <n v="6.4432989690721648E-4"/>
    <n v="0.56701030927834872"/>
    <n v="17"/>
    <n v="47.67"/>
    <n v="810.39"/>
    <n v="9.8178861056713555E-5"/>
    <n v="0.97222428806766115"/>
    <x v="2"/>
  </r>
  <r>
    <s v="1330-8"/>
    <x v="5"/>
    <n v="6.4432989690721648E-4"/>
    <n v="0.56765463917525594"/>
    <n v="17"/>
    <n v="47.27"/>
    <n v="803.59"/>
    <n v="9.7355040112247744E-5"/>
    <n v="0.97232164310777336"/>
    <x v="2"/>
  </r>
  <r>
    <s v="1739-1"/>
    <x v="0"/>
    <n v="6.4432989690721648E-4"/>
    <n v="0.56829896907216315"/>
    <n v="1"/>
    <n v="801.07"/>
    <n v="801.07"/>
    <n v="9.7049741762239819E-5"/>
    <n v="0.97241869284953564"/>
    <x v="2"/>
  </r>
  <r>
    <s v="1841-9"/>
    <x v="2"/>
    <n v="6.4432989690721648E-4"/>
    <n v="0.56894329896907037"/>
    <n v="11"/>
    <n v="72.52"/>
    <n v="797.71999999999991"/>
    <n v="9.6643888796951499E-5"/>
    <n v="0.97251533673833257"/>
    <x v="2"/>
  </r>
  <r>
    <s v="0876-2"/>
    <x v="6"/>
    <n v="6.4432989690721648E-4"/>
    <n v="0.56958762886597758"/>
    <n v="14"/>
    <n v="56.91"/>
    <n v="796.74"/>
    <n v="9.652516166083732E-5"/>
    <n v="0.97261186189999338"/>
    <x v="2"/>
  </r>
  <r>
    <s v="0471-3"/>
    <x v="1"/>
    <n v="6.4432989690721648E-4"/>
    <n v="0.57023195876288479"/>
    <n v="3"/>
    <n v="263.79000000000002"/>
    <n v="791.37000000000012"/>
    <n v="9.5874585414987127E-5"/>
    <n v="0.97270773648540831"/>
    <x v="2"/>
  </r>
  <r>
    <s v="1263-3"/>
    <x v="1"/>
    <n v="6.4432989690721648E-4"/>
    <n v="0.57087628865979201"/>
    <n v="1"/>
    <n v="790.31"/>
    <n v="790.31"/>
    <n v="9.574616626776155E-5"/>
    <n v="0.97280348265167604"/>
    <x v="2"/>
  </r>
  <r>
    <s v="1375-9"/>
    <x v="2"/>
    <n v="6.4432989690721648E-4"/>
    <n v="0.57152061855669922"/>
    <n v="3"/>
    <n v="260.66000000000003"/>
    <n v="781.98"/>
    <n v="9.4736985610790935E-5"/>
    <n v="0.97289821963728684"/>
    <x v="2"/>
  </r>
  <r>
    <s v="0193-1"/>
    <x v="0"/>
    <n v="6.4432989690721648E-4"/>
    <n v="0.57216494845360644"/>
    <n v="2"/>
    <n v="390.86"/>
    <n v="781.72"/>
    <n v="9.4705486574679008E-5"/>
    <n v="0.97299292512386149"/>
    <x v="2"/>
  </r>
  <r>
    <s v="1679-1"/>
    <x v="0"/>
    <n v="6.4432989690721648E-4"/>
    <n v="0.57280927835051365"/>
    <n v="1"/>
    <n v="779.28"/>
    <n v="779.28"/>
    <n v="9.440988023578244E-5"/>
    <n v="0.97308733500409728"/>
    <x v="2"/>
  </r>
  <r>
    <s v="1695-5"/>
    <x v="8"/>
    <n v="6.4432989690721648E-4"/>
    <n v="0.57345360824742087"/>
    <n v="8"/>
    <n v="97.37"/>
    <n v="778.96"/>
    <n v="9.4371112191336999E-5"/>
    <n v="0.97318170611628863"/>
    <x v="2"/>
  </r>
  <r>
    <s v="0939-1"/>
    <x v="0"/>
    <n v="6.4432989690721648E-4"/>
    <n v="0.57409793814432808"/>
    <n v="1"/>
    <n v="778.26"/>
    <n v="778.26"/>
    <n v="9.4286307094112575E-5"/>
    <n v="0.9732759924233827"/>
    <x v="2"/>
  </r>
  <r>
    <s v="0760-3"/>
    <x v="1"/>
    <n v="6.4432989690721648E-4"/>
    <n v="0.57474226804123529"/>
    <n v="1"/>
    <n v="774.27"/>
    <n v="774.27"/>
    <n v="9.380291803993336E-5"/>
    <n v="0.97336979534142265"/>
    <x v="2"/>
  </r>
  <r>
    <s v="1271-8"/>
    <x v="5"/>
    <n v="6.4432989690721648E-4"/>
    <n v="0.57538659793814251"/>
    <n v="17"/>
    <n v="45.44"/>
    <n v="772.48"/>
    <n v="9.3586059291316629E-5"/>
    <n v="0.97346338140071398"/>
    <x v="2"/>
  </r>
  <r>
    <s v="0558-7"/>
    <x v="3"/>
    <n v="6.4432989690721648E-4"/>
    <n v="0.57603092783504972"/>
    <n v="6"/>
    <n v="128.66"/>
    <n v="771.96"/>
    <n v="9.3523061219092775E-5"/>
    <n v="0.9735569044619331"/>
    <x v="2"/>
  </r>
  <r>
    <s v="0964-1"/>
    <x v="0"/>
    <n v="6.4432989690721648E-4"/>
    <n v="0.57667525773195694"/>
    <n v="1"/>
    <n v="771.37"/>
    <n v="771.37"/>
    <n v="9.3451582637146479E-5"/>
    <n v="0.97365035604457029"/>
    <x v="2"/>
  </r>
  <r>
    <s v="1818-1"/>
    <x v="0"/>
    <n v="6.4432989690721648E-4"/>
    <n v="0.57731958762886415"/>
    <n v="1"/>
    <n v="769.43"/>
    <n v="769.43"/>
    <n v="9.3216551367695922E-5"/>
    <n v="0.97374357259593802"/>
    <x v="2"/>
  </r>
  <r>
    <s v="0518-3"/>
    <x v="1"/>
    <n v="6.4432989690721648E-4"/>
    <n v="0.57796391752577136"/>
    <n v="1"/>
    <n v="768.89"/>
    <n v="768.89"/>
    <n v="9.3151130292694239E-5"/>
    <n v="0.97383672372623076"/>
    <x v="2"/>
  </r>
  <r>
    <s v="0090-6"/>
    <x v="7"/>
    <n v="6.4432989690721648E-4"/>
    <n v="0.57860824742267858"/>
    <n v="9"/>
    <n v="85.41"/>
    <n v="768.68999999999994"/>
    <n v="9.3126900264915827E-5"/>
    <n v="0.97392985062649562"/>
    <x v="2"/>
  </r>
  <r>
    <s v="1683-7"/>
    <x v="3"/>
    <n v="6.4432989690721648E-4"/>
    <n v="0.57925257731958579"/>
    <n v="5"/>
    <n v="153.56"/>
    <n v="767.8"/>
    <n v="9.3019076641301919E-5"/>
    <n v="0.9740228697031369"/>
    <x v="2"/>
  </r>
  <r>
    <s v="1302-4"/>
    <x v="4"/>
    <n v="6.4432989690721648E-4"/>
    <n v="0.57989690721649301"/>
    <n v="2"/>
    <n v="383.51"/>
    <n v="767.02"/>
    <n v="9.2924579532966138E-5"/>
    <n v="0.97411579428266981"/>
    <x v="2"/>
  </r>
  <r>
    <s v="0650-1"/>
    <x v="0"/>
    <n v="6.4432989690721648E-4"/>
    <n v="0.58054123711340022"/>
    <n v="1"/>
    <n v="765.25"/>
    <n v="765.25"/>
    <n v="9.2710143787127236E-5"/>
    <n v="0.9742085044264569"/>
    <x v="2"/>
  </r>
  <r>
    <s v="0918-4"/>
    <x v="4"/>
    <n v="6.4432989690721648E-4"/>
    <n v="0.58118556701030744"/>
    <n v="2"/>
    <n v="381.76"/>
    <n v="763.52"/>
    <n v="9.250055404684402E-5"/>
    <n v="0.97430100498050376"/>
    <x v="2"/>
  </r>
  <r>
    <s v="1859-8"/>
    <x v="5"/>
    <n v="6.4432989690721648E-4"/>
    <n v="0.58182989690721465"/>
    <n v="23"/>
    <n v="33.08"/>
    <n v="760.83999999999992"/>
    <n v="9.2175871674613367E-5"/>
    <n v="0.97439318085217841"/>
    <x v="2"/>
  </r>
  <r>
    <s v="0812-1"/>
    <x v="0"/>
    <n v="6.4432989690721648E-4"/>
    <n v="0.58247422680412186"/>
    <n v="1"/>
    <n v="759.05"/>
    <n v="759.05"/>
    <n v="9.1959012925996636E-5"/>
    <n v="0.97448513986510443"/>
    <x v="2"/>
  </r>
  <r>
    <s v="0559-1"/>
    <x v="0"/>
    <n v="6.4432989690721648E-4"/>
    <n v="0.58311855670102908"/>
    <n v="1"/>
    <n v="758.77"/>
    <n v="758.77"/>
    <n v="9.192509088710688E-5"/>
    <n v="0.9745770649559915"/>
    <x v="2"/>
  </r>
  <r>
    <s v="1755-9"/>
    <x v="2"/>
    <n v="6.4432989690721648E-4"/>
    <n v="0.58376288659793629"/>
    <n v="3"/>
    <n v="252.12"/>
    <n v="756.36"/>
    <n v="9.1633119052377082E-5"/>
    <n v="0.97466869807504386"/>
    <x v="2"/>
  </r>
  <r>
    <s v="0204-3"/>
    <x v="1"/>
    <n v="6.4432989690721648E-4"/>
    <n v="0.58440721649484351"/>
    <n v="1"/>
    <n v="752.52"/>
    <n v="752.52"/>
    <n v="9.116790251903168E-5"/>
    <n v="0.97475986597756292"/>
    <x v="2"/>
  </r>
  <r>
    <s v="0383-4"/>
    <x v="4"/>
    <n v="6.4432989690721648E-4"/>
    <n v="0.58505154639175072"/>
    <n v="4"/>
    <n v="187.95"/>
    <n v="751.8"/>
    <n v="9.1080674419029414E-5"/>
    <n v="0.97485094665198191"/>
    <x v="2"/>
  </r>
  <r>
    <s v="0384-7"/>
    <x v="3"/>
    <n v="6.4432989690721648E-4"/>
    <n v="0.58569587628865794"/>
    <n v="11"/>
    <n v="68.319999999999993"/>
    <n v="751.52"/>
    <n v="9.1046752380139644E-5"/>
    <n v="0.97494199340436205"/>
    <x v="2"/>
  </r>
  <r>
    <s v="1397-9"/>
    <x v="2"/>
    <n v="6.4432989690721648E-4"/>
    <n v="0.58634020618556515"/>
    <n v="9"/>
    <n v="83.29"/>
    <n v="749.61"/>
    <n v="9.0815355614855871E-5"/>
    <n v="0.97503280875997689"/>
    <x v="2"/>
  </r>
  <r>
    <s v="1690-9"/>
    <x v="2"/>
    <n v="6.4432989690721648E-4"/>
    <n v="0.58698453608247236"/>
    <n v="12"/>
    <n v="62.25"/>
    <n v="747"/>
    <n v="9.0499153752347661E-5"/>
    <n v="0.97512330791372925"/>
    <x v="2"/>
  </r>
  <r>
    <s v="1242-3"/>
    <x v="1"/>
    <n v="6.4432989690721648E-4"/>
    <n v="0.58762886597937958"/>
    <n v="1"/>
    <n v="736.61"/>
    <n v="736.61"/>
    <n v="8.9240403809259461E-5"/>
    <n v="0.97521254831753856"/>
    <x v="2"/>
  </r>
  <r>
    <s v="0385-3"/>
    <x v="1"/>
    <n v="6.4432989690721648E-4"/>
    <n v="0.58827319587628679"/>
    <n v="2"/>
    <n v="368.11"/>
    <n v="736.22"/>
    <n v="8.9193155255091564E-5"/>
    <n v="0.97530174147279369"/>
    <x v="2"/>
  </r>
  <r>
    <s v="0804-1"/>
    <x v="0"/>
    <n v="6.4432989690721648E-4"/>
    <n v="0.58891752577319401"/>
    <n v="1"/>
    <n v="734.77"/>
    <n v="734.77"/>
    <n v="8.9017487553698116E-5"/>
    <n v="0.97539075896034744"/>
    <x v="2"/>
  </r>
  <r>
    <s v="1011-1"/>
    <x v="0"/>
    <n v="6.4432989690721648E-4"/>
    <n v="0.58956185567010122"/>
    <n v="1"/>
    <n v="734.38"/>
    <n v="734.38"/>
    <n v="8.8970238999530219E-5"/>
    <n v="0.975479729199347"/>
    <x v="2"/>
  </r>
  <r>
    <s v="1814-1"/>
    <x v="0"/>
    <n v="6.4432989690721648E-4"/>
    <n v="0.59020618556700843"/>
    <n v="1"/>
    <n v="732.55"/>
    <n v="732.55"/>
    <n v="8.8748534245357803E-5"/>
    <n v="0.97556847773359234"/>
    <x v="2"/>
  </r>
  <r>
    <s v="0614-4"/>
    <x v="4"/>
    <n v="6.4432989690721648E-4"/>
    <n v="0.59085051546391565"/>
    <n v="2"/>
    <n v="363.84"/>
    <n v="727.68"/>
    <n v="8.8158533068953608E-5"/>
    <n v="0.97565663626666133"/>
    <x v="2"/>
  </r>
  <r>
    <s v="1807-3"/>
    <x v="1"/>
    <n v="6.4432989690721648E-4"/>
    <n v="0.59149484536082286"/>
    <n v="1"/>
    <n v="726.69"/>
    <n v="726.69"/>
    <n v="8.8038594431450514E-5"/>
    <n v="0.97574467486109273"/>
    <x v="2"/>
  </r>
  <r>
    <s v="0976-1"/>
    <x v="0"/>
    <n v="6.4432989690721648E-4"/>
    <n v="0.59213917525773008"/>
    <n v="1"/>
    <n v="725.97"/>
    <n v="725.97"/>
    <n v="8.7951366331448248E-5"/>
    <n v="0.97583262622742417"/>
    <x v="2"/>
  </r>
  <r>
    <s v="1454-3"/>
    <x v="1"/>
    <n v="6.4432989690721648E-4"/>
    <n v="0.59278350515463729"/>
    <n v="1"/>
    <n v="725.32"/>
    <n v="725.32"/>
    <n v="8.7872618741168424E-5"/>
    <n v="0.97592049884616539"/>
    <x v="2"/>
  </r>
  <r>
    <s v="0713-9"/>
    <x v="2"/>
    <n v="6.4432989690721648E-4"/>
    <n v="0.59342783505154451"/>
    <n v="4"/>
    <n v="180.98"/>
    <n v="723.92"/>
    <n v="8.7703008546719563E-5"/>
    <n v="0.97600820185471215"/>
    <x v="2"/>
  </r>
  <r>
    <s v="0431-3"/>
    <x v="1"/>
    <n v="6.4432989690721648E-4"/>
    <n v="0.59407216494845172"/>
    <n v="1"/>
    <n v="720.66"/>
    <n v="720.66"/>
    <n v="8.7308059093931542E-5"/>
    <n v="0.97609550991380611"/>
    <x v="2"/>
  </r>
  <r>
    <s v="0746-9"/>
    <x v="2"/>
    <n v="6.4432989690721648E-4"/>
    <n v="0.59471649484535893"/>
    <n v="2"/>
    <n v="358.23"/>
    <n v="716.46"/>
    <n v="8.6799228510585027E-5"/>
    <n v="0.97618230914231674"/>
    <x v="2"/>
  </r>
  <r>
    <s v="0150-3"/>
    <x v="1"/>
    <n v="6.4432989690721648E-4"/>
    <n v="0.59536082474226615"/>
    <n v="2"/>
    <n v="356.44"/>
    <n v="712.88"/>
    <n v="8.6365511013351538E-5"/>
    <n v="0.97626867465333012"/>
    <x v="2"/>
  </r>
  <r>
    <s v="0386-6"/>
    <x v="7"/>
    <n v="6.4432989690721648E-4"/>
    <n v="0.59600515463917336"/>
    <n v="53"/>
    <n v="13.42"/>
    <n v="711.26"/>
    <n v="8.6169247788346449E-5"/>
    <n v="0.97635484390111849"/>
    <x v="2"/>
  </r>
  <r>
    <s v="1377-4"/>
    <x v="4"/>
    <n v="6.4432989690721648E-4"/>
    <n v="0.59664948453608058"/>
    <n v="2"/>
    <n v="355.46"/>
    <n v="710.92"/>
    <n v="8.6128056741123152E-5"/>
    <n v="0.97644097195785962"/>
    <x v="2"/>
  </r>
  <r>
    <s v="0266-1"/>
    <x v="0"/>
    <n v="6.4432989690721648E-4"/>
    <n v="0.59729381443298779"/>
    <n v="2"/>
    <n v="354.95"/>
    <n v="709.9"/>
    <n v="8.6004483599453287E-5"/>
    <n v="0.97652697644145903"/>
    <x v="2"/>
  </r>
  <r>
    <s v="1050-4"/>
    <x v="4"/>
    <n v="6.4432989690721648E-4"/>
    <n v="0.597938144329895"/>
    <n v="2"/>
    <n v="354.46"/>
    <n v="708.92"/>
    <n v="8.5885756463339094E-5"/>
    <n v="0.97661286219792232"/>
    <x v="2"/>
  </r>
  <r>
    <s v="0929-4"/>
    <x v="4"/>
    <n v="6.4432989690721648E-4"/>
    <n v="0.59858247422680222"/>
    <n v="13"/>
    <n v="54.03"/>
    <n v="702.39"/>
    <n v="8.5094646056374125E-5"/>
    <n v="0.97669795684397864"/>
    <x v="2"/>
  </r>
  <r>
    <s v="1394-5"/>
    <x v="8"/>
    <n v="6.4432989690721648E-4"/>
    <n v="0.59922680412370943"/>
    <n v="6"/>
    <n v="116.25"/>
    <n v="697.5"/>
    <n v="8.45022218771921E-5"/>
    <n v="0.97678245906585581"/>
    <x v="2"/>
  </r>
  <r>
    <s v="0911-3"/>
    <x v="1"/>
    <n v="6.4432989690721648E-4"/>
    <n v="0.59987113402061665"/>
    <n v="1"/>
    <n v="696.6"/>
    <n v="696.6"/>
    <n v="8.4393186752189264E-5"/>
    <n v="0.97686685225260805"/>
    <x v="2"/>
  </r>
  <r>
    <s v="1342-6"/>
    <x v="7"/>
    <n v="6.4432989690721648E-4"/>
    <n v="0.60051546391752386"/>
    <n v="13"/>
    <n v="53.57"/>
    <n v="696.41"/>
    <n v="8.437016822579978E-5"/>
    <n v="0.97695122242083388"/>
    <x v="2"/>
  </r>
  <r>
    <s v="0199-5"/>
    <x v="8"/>
    <n v="6.4432989690721648E-4"/>
    <n v="0.60115979381443108"/>
    <n v="6"/>
    <n v="115.63"/>
    <n v="693.78"/>
    <n v="8.405154336051374E-5"/>
    <n v="0.97703527396419443"/>
    <x v="2"/>
  </r>
  <r>
    <s v="0450-3"/>
    <x v="1"/>
    <n v="6.4432989690721648E-4"/>
    <n v="0.60180412371133829"/>
    <n v="1"/>
    <n v="693.71"/>
    <n v="693.71"/>
    <n v="8.4043062850791298E-5"/>
    <n v="0.97711931702704524"/>
    <x v="2"/>
  </r>
  <r>
    <s v="0250-3"/>
    <x v="1"/>
    <n v="6.4432989690721648E-4"/>
    <n v="0.6024484536082455"/>
    <n v="2"/>
    <n v="346.41"/>
    <n v="692.82"/>
    <n v="8.393523922717739E-5"/>
    <n v="0.97720325226627247"/>
    <x v="2"/>
  </r>
  <r>
    <s v="0980-8"/>
    <x v="5"/>
    <n v="6.4432989690721648E-4"/>
    <n v="0.60309278350515272"/>
    <n v="11"/>
    <n v="62.42"/>
    <n v="686.62"/>
    <n v="8.318410836604679E-5"/>
    <n v="0.97728643637463852"/>
    <x v="2"/>
  </r>
  <r>
    <s v="1448-1"/>
    <x v="0"/>
    <n v="6.4432989690721648E-4"/>
    <n v="0.60373711340205993"/>
    <n v="1"/>
    <n v="679.29"/>
    <n v="679.29"/>
    <n v="8.2296077847968197E-5"/>
    <n v="0.97736873245248646"/>
    <x v="2"/>
  </r>
  <r>
    <s v="1247-9"/>
    <x v="2"/>
    <n v="6.4432989690721648E-4"/>
    <n v="0.60438144329896715"/>
    <n v="2"/>
    <n v="337.18"/>
    <n v="674.36"/>
    <n v="8.1698807663230488E-5"/>
    <n v="0.97745043126014963"/>
    <x v="2"/>
  </r>
  <r>
    <s v="1326-8"/>
    <x v="5"/>
    <n v="6.4432989690721648E-4"/>
    <n v="0.60502577319587436"/>
    <n v="10"/>
    <n v="67.41"/>
    <n v="674.09999999999991"/>
    <n v="8.1667308627118547E-5"/>
    <n v="0.97753209856877676"/>
    <x v="2"/>
  </r>
  <r>
    <s v="0568-1"/>
    <x v="0"/>
    <n v="6.4432989690721648E-4"/>
    <n v="0.60567010309278158"/>
    <n v="1"/>
    <n v="673.32"/>
    <n v="673.32"/>
    <n v="8.157281151878278E-5"/>
    <n v="0.97761367138029553"/>
    <x v="2"/>
  </r>
  <r>
    <s v="1790-5"/>
    <x v="8"/>
    <n v="6.4432989690721648E-4"/>
    <n v="0.60631443298968879"/>
    <n v="5"/>
    <n v="133.91999999999999"/>
    <n v="669.59999999999991"/>
    <n v="8.1122133002104407E-5"/>
    <n v="0.97769479351329769"/>
    <x v="2"/>
  </r>
  <r>
    <s v="1043-1"/>
    <x v="0"/>
    <n v="6.4432989690721648E-4"/>
    <n v="0.606958762886596"/>
    <n v="1"/>
    <n v="669.53"/>
    <n v="669.53"/>
    <n v="8.1113652492381964E-5"/>
    <n v="0.9777759071657901"/>
    <x v="2"/>
  </r>
  <r>
    <s v="1823-1"/>
    <x v="0"/>
    <n v="6.4432989690721648E-4"/>
    <n v="0.60760309278350322"/>
    <n v="1"/>
    <n v="663.16"/>
    <n v="663.16"/>
    <n v="8.0341926107639722E-5"/>
    <n v="0.97785624909189772"/>
    <x v="2"/>
  </r>
  <r>
    <s v="0109-2"/>
    <x v="6"/>
    <n v="6.4432989690721648E-4"/>
    <n v="0.60824742268041043"/>
    <n v="8"/>
    <n v="81.73"/>
    <n v="653.84"/>
    <n v="7.9212806813166E-5"/>
    <n v="0.97793546189871083"/>
    <x v="2"/>
  </r>
  <r>
    <s v="0185-3"/>
    <x v="1"/>
    <n v="6.4432989690721648E-4"/>
    <n v="0.60889175257731765"/>
    <n v="1"/>
    <n v="653.73"/>
    <n v="653.73"/>
    <n v="7.9199480297887872E-5"/>
    <n v="0.97801466137900872"/>
    <x v="2"/>
  </r>
  <r>
    <s v="0387-9"/>
    <x v="2"/>
    <n v="6.4432989690721648E-4"/>
    <n v="0.60953608247422486"/>
    <n v="3"/>
    <n v="217.91"/>
    <n v="653.73"/>
    <n v="7.9199480297887872E-5"/>
    <n v="0.97809386085930661"/>
    <x v="2"/>
  </r>
  <r>
    <s v="0078-9"/>
    <x v="2"/>
    <n v="6.4432989690721648E-4"/>
    <n v="0.61018041237113207"/>
    <n v="6"/>
    <n v="107.84"/>
    <n v="647.04"/>
    <n v="7.8388985868700175E-5"/>
    <n v="0.97817224984517526"/>
    <x v="2"/>
  </r>
  <r>
    <s v="1803-5"/>
    <x v="8"/>
    <n v="6.4432989690721648E-4"/>
    <n v="0.61082474226803929"/>
    <n v="3"/>
    <n v="215.66"/>
    <n v="646.98"/>
    <n v="7.8381716860366661E-5"/>
    <n v="0.97825063156203562"/>
    <x v="2"/>
  </r>
  <r>
    <s v="1076-9"/>
    <x v="2"/>
    <n v="6.4432989690721648E-4"/>
    <n v="0.6114690721649465"/>
    <n v="4"/>
    <n v="160.86000000000001"/>
    <n v="643.44000000000005"/>
    <n v="7.7952845368688871E-5"/>
    <n v="0.97832858440740433"/>
    <x v="2"/>
  </r>
  <r>
    <s v="0409-9"/>
    <x v="2"/>
    <n v="6.4432989690721648E-4"/>
    <n v="0.61211340206185372"/>
    <n v="4"/>
    <n v="160.66999999999999"/>
    <n v="642.67999999999995"/>
    <n v="7.786077126313092E-5"/>
    <n v="0.97840644517866748"/>
    <x v="2"/>
  </r>
  <r>
    <s v="0415-9"/>
    <x v="2"/>
    <n v="6.4432989690721648E-4"/>
    <n v="0.61275773195876093"/>
    <n v="15"/>
    <n v="42.69"/>
    <n v="640.34999999999991"/>
    <n v="7.7578491439512479E-5"/>
    <n v="0.97848402367010701"/>
    <x v="2"/>
  </r>
  <r>
    <s v="0088-3"/>
    <x v="1"/>
    <n v="6.4432989690721648E-4"/>
    <n v="0.61340206185566815"/>
    <n v="1"/>
    <n v="636.92999999999995"/>
    <n v="636.92999999999995"/>
    <n v="7.7164157964501731E-5"/>
    <n v="0.97856118782807155"/>
    <x v="2"/>
  </r>
  <r>
    <s v="0217-3"/>
    <x v="1"/>
    <n v="6.4432989690721648E-4"/>
    <n v="0.61404639175257536"/>
    <n v="1"/>
    <n v="636.78"/>
    <n v="636.78"/>
    <n v="7.7145985443667932E-5"/>
    <n v="0.97863833381351517"/>
    <x v="2"/>
  </r>
  <r>
    <s v="1435-8"/>
    <x v="5"/>
    <n v="6.4432989690721648E-4"/>
    <n v="0.61469072164948257"/>
    <n v="14"/>
    <n v="45.45"/>
    <n v="636.30000000000007"/>
    <n v="7.7087833376999763E-5"/>
    <n v="0.97871542164689218"/>
    <x v="2"/>
  </r>
  <r>
    <s v="1773-1"/>
    <x v="0"/>
    <n v="6.4432989690721648E-4"/>
    <n v="0.61533505154638979"/>
    <n v="2"/>
    <n v="317.61"/>
    <n v="635.22"/>
    <n v="7.695699122699637E-5"/>
    <n v="0.97879237863811919"/>
    <x v="2"/>
  </r>
  <r>
    <s v="1134-9"/>
    <x v="2"/>
    <n v="6.4432989690721648E-4"/>
    <n v="0.615979381443297"/>
    <n v="2"/>
    <n v="317.24"/>
    <n v="634.48"/>
    <n v="7.6867340124216261E-5"/>
    <n v="0.97886924597824343"/>
    <x v="2"/>
  </r>
  <r>
    <s v="0913-2"/>
    <x v="6"/>
    <n v="6.4432989690721648E-4"/>
    <n v="0.61662371134020422"/>
    <n v="72"/>
    <n v="8.8000000000000007"/>
    <n v="633.6"/>
    <n v="7.6760728001991281E-5"/>
    <n v="0.97894600670624543"/>
    <x v="2"/>
  </r>
  <r>
    <s v="0594-3"/>
    <x v="1"/>
    <n v="6.4432989690721648E-4"/>
    <n v="0.61726804123711143"/>
    <n v="2"/>
    <n v="316.5"/>
    <n v="633"/>
    <n v="7.6688037918656057E-5"/>
    <n v="0.97902269474416403"/>
    <x v="2"/>
  </r>
  <r>
    <s v="0771-2"/>
    <x v="6"/>
    <n v="6.4432989690721648E-4"/>
    <n v="0.61791237113401865"/>
    <n v="91"/>
    <n v="6.95"/>
    <n v="632.45000000000005"/>
    <n v="7.6621405342265446E-5"/>
    <n v="0.97909931614950629"/>
    <x v="2"/>
  </r>
  <r>
    <s v="1013-1"/>
    <x v="0"/>
    <n v="6.4432989690721648E-4"/>
    <n v="0.61855670103092586"/>
    <n v="1"/>
    <n v="627.04"/>
    <n v="627.04"/>
    <n v="7.5965983090859541E-5"/>
    <n v="0.97917528213259719"/>
    <x v="2"/>
  </r>
  <r>
    <s v="1148-4"/>
    <x v="4"/>
    <n v="6.4432989690721648E-4"/>
    <n v="0.61920103092783307"/>
    <n v="8"/>
    <n v="78.319999999999993"/>
    <n v="626.55999999999995"/>
    <n v="7.5907831024191359E-5"/>
    <n v="0.97925118996362137"/>
    <x v="2"/>
  </r>
  <r>
    <s v="0180-6"/>
    <x v="7"/>
    <n v="6.4432989690721648E-4"/>
    <n v="0.61984536082474029"/>
    <n v="7"/>
    <n v="89.18"/>
    <n v="624.26"/>
    <n v="7.5629185704739689E-5"/>
    <n v="0.97932681914932607"/>
    <x v="2"/>
  </r>
  <r>
    <s v="0178-9"/>
    <x v="2"/>
    <n v="6.4432989690721648E-4"/>
    <n v="0.6204896907216475"/>
    <n v="18"/>
    <n v="34.47"/>
    <n v="620.46"/>
    <n v="7.5168815176949986E-5"/>
    <n v="0.97940198796450306"/>
    <x v="2"/>
  </r>
  <r>
    <s v="1797-8"/>
    <x v="5"/>
    <n v="6.4432989690721648E-4"/>
    <n v="0.62113402061855472"/>
    <n v="23"/>
    <n v="26.93"/>
    <n v="619.39"/>
    <n v="7.5039184528335494E-5"/>
    <n v="0.9794770271490314"/>
    <x v="2"/>
  </r>
  <r>
    <s v="1675-5"/>
    <x v="8"/>
    <n v="6.4432989690721648E-4"/>
    <n v="0.62177835051546193"/>
    <n v="15"/>
    <n v="41.24"/>
    <n v="618.6"/>
    <n v="7.4943475918610799E-5"/>
    <n v="0.97955197062495003"/>
    <x v="2"/>
  </r>
  <r>
    <s v="1122-9"/>
    <x v="2"/>
    <n v="6.4432989690721648E-4"/>
    <n v="0.62242268041236914"/>
    <n v="4"/>
    <n v="154.22"/>
    <n v="616.88"/>
    <n v="7.4735097679716497E-5"/>
    <n v="0.97962670572262978"/>
    <x v="2"/>
  </r>
  <r>
    <s v="1094-9"/>
    <x v="2"/>
    <n v="6.4432989690721648E-4"/>
    <n v="0.62306701030927636"/>
    <n v="4"/>
    <n v="154.02000000000001"/>
    <n v="616.08000000000004"/>
    <n v="7.4638177568602887E-5"/>
    <n v="0.97970134390019836"/>
    <x v="2"/>
  </r>
  <r>
    <s v="0832-1"/>
    <x v="0"/>
    <n v="6.4432989690721648E-4"/>
    <n v="0.62371134020618357"/>
    <n v="1"/>
    <n v="612.96"/>
    <n v="612.96"/>
    <n v="7.4260189135259738E-5"/>
    <n v="0.97977560408933362"/>
    <x v="2"/>
  </r>
  <r>
    <s v="0296-4"/>
    <x v="4"/>
    <n v="6.4432989690721648E-4"/>
    <n v="0.62435567010309079"/>
    <n v="30"/>
    <n v="20.37"/>
    <n v="611.1"/>
    <n v="7.4034849876920564E-5"/>
    <n v="0.97984963893921051"/>
    <x v="2"/>
  </r>
  <r>
    <s v="1697-4"/>
    <x v="4"/>
    <n v="6.4432989690721648E-4"/>
    <n v="0.624999999999998"/>
    <n v="2"/>
    <n v="303.94"/>
    <n v="607.88"/>
    <n v="7.3644746429688216E-5"/>
    <n v="0.97992328368564019"/>
    <x v="2"/>
  </r>
  <r>
    <s v="1813-8"/>
    <x v="5"/>
    <n v="6.4432989690721648E-4"/>
    <n v="0.62564432989690522"/>
    <n v="20"/>
    <n v="30.36"/>
    <n v="607.20000000000005"/>
    <n v="7.3562364335241634E-5"/>
    <n v="0.97999684604997539"/>
    <x v="2"/>
  </r>
  <r>
    <s v="1792-1"/>
    <x v="0"/>
    <n v="6.4432989690721648E-4"/>
    <n v="0.62628865979381243"/>
    <n v="1"/>
    <n v="604.32000000000005"/>
    <n v="604.32000000000005"/>
    <n v="7.3213451935232596E-5"/>
    <n v="0.98007005950191062"/>
    <x v="2"/>
  </r>
  <r>
    <s v="0948-6"/>
    <x v="7"/>
    <n v="6.4432989690721648E-4"/>
    <n v="0.62693298969071964"/>
    <n v="15"/>
    <n v="39.92"/>
    <n v="598.80000000000007"/>
    <n v="7.2544703168548577E-5"/>
    <n v="0.98014260420507915"/>
    <x v="2"/>
  </r>
  <r>
    <s v="1095-2"/>
    <x v="6"/>
    <n v="6.4432989690721648E-4"/>
    <n v="0.62757731958762686"/>
    <n v="10"/>
    <n v="59.68"/>
    <n v="596.79999999999995"/>
    <n v="7.2302402890764506E-5"/>
    <n v="0.98021490660796995"/>
    <x v="2"/>
  </r>
  <r>
    <s v="0651-6"/>
    <x v="7"/>
    <n v="6.4432989690721648E-4"/>
    <n v="0.62822164948453407"/>
    <n v="65"/>
    <n v="9.17"/>
    <n v="596.04999999999995"/>
    <n v="7.2211540286595482E-5"/>
    <n v="0.98028711814825653"/>
    <x v="2"/>
  </r>
  <r>
    <s v="0461-1"/>
    <x v="0"/>
    <n v="6.4432989690721648E-4"/>
    <n v="0.62886597938144129"/>
    <n v="1"/>
    <n v="589.89"/>
    <n v="589.89"/>
    <n v="7.1465255431020567E-5"/>
    <n v="0.98035858340368753"/>
    <x v="2"/>
  </r>
  <r>
    <s v="1256-8"/>
    <x v="5"/>
    <n v="6.4432989690721648E-4"/>
    <n v="0.6295103092783485"/>
    <n v="9"/>
    <n v="65.45"/>
    <n v="589.05000000000007"/>
    <n v="7.1363489314351273E-5"/>
    <n v="0.98042994689300189"/>
    <x v="2"/>
  </r>
  <r>
    <s v="1133-6"/>
    <x v="7"/>
    <n v="6.4432989690721648E-4"/>
    <n v="0.63015463917525572"/>
    <n v="26"/>
    <n v="22.61"/>
    <n v="587.86"/>
    <n v="7.1219320649069739E-5"/>
    <n v="0.98050116621365091"/>
    <x v="2"/>
  </r>
  <r>
    <s v="1476-7"/>
    <x v="3"/>
    <n v="6.4432989690721648E-4"/>
    <n v="0.63079896907216293"/>
    <n v="4"/>
    <n v="146.57"/>
    <n v="586.28"/>
    <n v="7.1027903429620335E-5"/>
    <n v="0.98057219411708052"/>
    <x v="2"/>
  </r>
  <r>
    <s v="0222-6"/>
    <x v="7"/>
    <n v="6.4432989690721648E-4"/>
    <n v="0.63144329896907014"/>
    <n v="33"/>
    <n v="17.739999999999998"/>
    <n v="585.41999999999996"/>
    <n v="7.0923714310173184E-5"/>
    <n v="0.98064311783139069"/>
    <x v="2"/>
  </r>
  <r>
    <s v="1810-5"/>
    <x v="8"/>
    <n v="6.4432989690721648E-4"/>
    <n v="0.63208762886597736"/>
    <n v="42"/>
    <n v="13.81"/>
    <n v="580.02"/>
    <n v="7.0269503560156207E-5"/>
    <n v="0.98071338733495084"/>
    <x v="2"/>
  </r>
  <r>
    <s v="0332-3"/>
    <x v="1"/>
    <n v="6.4432989690721648E-4"/>
    <n v="0.63273195876288457"/>
    <n v="3"/>
    <n v="193.23"/>
    <n v="579.68999999999994"/>
    <n v="7.0229524014321838E-5"/>
    <n v="0.9807836168589652"/>
    <x v="2"/>
  </r>
  <r>
    <s v="1764-8"/>
    <x v="5"/>
    <n v="6.4432989690721648E-4"/>
    <n v="0.63337628865979179"/>
    <n v="8"/>
    <n v="72.41"/>
    <n v="579.28"/>
    <n v="7.0179852457376112E-5"/>
    <n v="0.98085379671142259"/>
    <x v="2"/>
  </r>
  <r>
    <s v="1858-1"/>
    <x v="0"/>
    <n v="6.4432989690721648E-4"/>
    <n v="0.634020618556699"/>
    <n v="1"/>
    <n v="578.54999999999995"/>
    <n v="578.54999999999995"/>
    <n v="7.0091412855984917E-5"/>
    <n v="0.98092388812427855"/>
    <x v="2"/>
  </r>
  <r>
    <s v="0537-3"/>
    <x v="1"/>
    <n v="6.4432989690721648E-4"/>
    <n v="0.63466494845360621"/>
    <n v="1"/>
    <n v="577.21"/>
    <n v="577.21"/>
    <n v="6.9929071669869611E-5"/>
    <n v="0.98099381719594847"/>
    <x v="2"/>
  </r>
  <r>
    <s v="0352-3"/>
    <x v="1"/>
    <n v="6.4432989690721648E-4"/>
    <n v="0.63530927835051343"/>
    <n v="1"/>
    <n v="576.12"/>
    <n v="576.12"/>
    <n v="6.9797018018477291E-5"/>
    <n v="0.98106361421396693"/>
    <x v="2"/>
  </r>
  <r>
    <s v="0762-7"/>
    <x v="3"/>
    <n v="6.4432989690721648E-4"/>
    <n v="0.63595360824742064"/>
    <n v="18"/>
    <n v="31.98"/>
    <n v="575.64"/>
    <n v="6.9738865951809108E-5"/>
    <n v="0.98113335307991878"/>
    <x v="2"/>
  </r>
  <r>
    <s v="0414-1"/>
    <x v="0"/>
    <n v="6.4432989690721648E-4"/>
    <n v="0.63659793814432786"/>
    <n v="1"/>
    <n v="574.48"/>
    <n v="574.48"/>
    <n v="6.9598331790694359E-5"/>
    <n v="0.98120295141170943"/>
    <x v="2"/>
  </r>
  <r>
    <s v="1325-8"/>
    <x v="5"/>
    <n v="6.4432989690721648E-4"/>
    <n v="0.63724226804123507"/>
    <n v="22"/>
    <n v="25.94"/>
    <n v="570.68000000000006"/>
    <n v="6.9137961262904642E-5"/>
    <n v="0.98127208937297239"/>
    <x v="2"/>
  </r>
  <r>
    <s v="0350-3"/>
    <x v="1"/>
    <n v="6.4432989690721648E-4"/>
    <n v="0.63788659793814229"/>
    <n v="1"/>
    <n v="570.08000000000004"/>
    <n v="570.08000000000004"/>
    <n v="6.9065271179569431E-5"/>
    <n v="0.98134115464415195"/>
    <x v="2"/>
  </r>
  <r>
    <s v="1249-4"/>
    <x v="4"/>
    <n v="6.4432989690721648E-4"/>
    <n v="0.6385309278350495"/>
    <n v="9"/>
    <n v="63.33"/>
    <n v="569.97"/>
    <n v="6.9051944664291304E-5"/>
    <n v="0.98141020658881628"/>
    <x v="2"/>
  </r>
  <r>
    <s v="1539-6"/>
    <x v="7"/>
    <n v="6.4432989690721648E-4"/>
    <n v="0.63917525773195671"/>
    <n v="8"/>
    <n v="70.75"/>
    <n v="566"/>
    <n v="6.8570978612889931E-5"/>
    <n v="0.98147877756742918"/>
    <x v="2"/>
  </r>
  <r>
    <s v="0505-8"/>
    <x v="5"/>
    <n v="6.4432989690721648E-4"/>
    <n v="0.63981958762886393"/>
    <n v="24"/>
    <n v="23.56"/>
    <n v="565.43999999999994"/>
    <n v="6.8503134535110379E-5"/>
    <n v="0.98154728070196429"/>
    <x v="2"/>
  </r>
  <r>
    <s v="0639-4"/>
    <x v="4"/>
    <n v="6.4432989690721648E-4"/>
    <n v="0.64046391752577114"/>
    <n v="2"/>
    <n v="282.58"/>
    <n v="565.16"/>
    <n v="6.8469212496220623E-5"/>
    <n v="0.98161574991446054"/>
    <x v="2"/>
  </r>
  <r>
    <s v="0061-3"/>
    <x v="1"/>
    <n v="6.4432989690721648E-4"/>
    <n v="0.64110824742267836"/>
    <n v="2"/>
    <n v="281.35000000000002"/>
    <n v="562.70000000000005"/>
    <n v="6.8171183154546225E-5"/>
    <n v="0.98168392109761504"/>
    <x v="2"/>
  </r>
  <r>
    <s v="0615-5"/>
    <x v="8"/>
    <n v="6.4432989690721648E-4"/>
    <n v="0.64175257731958557"/>
    <n v="10"/>
    <n v="56.23"/>
    <n v="562.29999999999995"/>
    <n v="6.8122723098989414E-5"/>
    <n v="0.98175204382071402"/>
    <x v="2"/>
  </r>
  <r>
    <s v="0485-1"/>
    <x v="0"/>
    <n v="6.4432989690721648E-4"/>
    <n v="0.64239690721649279"/>
    <n v="1"/>
    <n v="562.20000000000005"/>
    <n v="562.20000000000005"/>
    <n v="6.8110608085100214E-5"/>
    <n v="0.98182015442879911"/>
    <x v="2"/>
  </r>
  <r>
    <s v="0709-9"/>
    <x v="2"/>
    <n v="6.4432989690721648E-4"/>
    <n v="0.6430412371134"/>
    <n v="2"/>
    <n v="280.74"/>
    <n v="561.48"/>
    <n v="6.8023379985097948E-5"/>
    <n v="0.98188817780878423"/>
    <x v="2"/>
  </r>
  <r>
    <s v="0237-8"/>
    <x v="5"/>
    <n v="6.4432989690721648E-4"/>
    <n v="0.64368556701030721"/>
    <n v="22"/>
    <n v="25.47"/>
    <n v="560.33999999999992"/>
    <n v="6.7885268826761027E-5"/>
    <n v="0.98195606307761096"/>
    <x v="2"/>
  </r>
  <r>
    <s v="1746-9"/>
    <x v="2"/>
    <n v="6.4432989690721648E-4"/>
    <n v="0.64432989690721443"/>
    <n v="3"/>
    <n v="186.55"/>
    <n v="559.65000000000009"/>
    <n v="6.7801675230925545E-5"/>
    <n v="0.98202386475284187"/>
    <x v="2"/>
  </r>
  <r>
    <s v="0047-4"/>
    <x v="4"/>
    <n v="6.4432989690721648E-4"/>
    <n v="0.64497422680412164"/>
    <n v="3"/>
    <n v="185.84"/>
    <n v="557.52"/>
    <n v="6.7543625435085504E-5"/>
    <n v="0.98209140837827691"/>
    <x v="2"/>
  </r>
  <r>
    <s v="1643-2"/>
    <x v="6"/>
    <n v="6.4432989690721648E-4"/>
    <n v="0.64561855670102886"/>
    <n v="31"/>
    <n v="17.940000000000001"/>
    <n v="556.14"/>
    <n v="6.7376438243414499E-5"/>
    <n v="0.9821587848165203"/>
    <x v="2"/>
  </r>
  <r>
    <s v="0837-4"/>
    <x v="4"/>
    <n v="6.4432989690721648E-4"/>
    <n v="0.64626288659793607"/>
    <n v="2"/>
    <n v="277.31"/>
    <n v="554.62"/>
    <n v="6.7192290032298609E-5"/>
    <n v="0.98222597710655257"/>
    <x v="2"/>
  </r>
  <r>
    <s v="0173-8"/>
    <x v="5"/>
    <n v="6.4432989690721648E-4"/>
    <n v="0.64690721649484328"/>
    <n v="116"/>
    <n v="4.78"/>
    <n v="554.48"/>
    <n v="6.7175329012853725E-5"/>
    <n v="0.98229315243556548"/>
    <x v="2"/>
  </r>
  <r>
    <s v="1672-8"/>
    <x v="5"/>
    <n v="6.4432989690721648E-4"/>
    <n v="0.6475515463917505"/>
    <n v="14"/>
    <n v="39.6"/>
    <n v="554.4"/>
    <n v="6.7165637001742354E-5"/>
    <n v="0.98236031807256718"/>
    <x v="2"/>
  </r>
  <r>
    <s v="1053-7"/>
    <x v="3"/>
    <n v="6.4432989690721648E-4"/>
    <n v="0.64819587628865771"/>
    <n v="36"/>
    <n v="15.36"/>
    <n v="552.96"/>
    <n v="6.6991180801737835E-5"/>
    <n v="0.98242730925336896"/>
    <x v="2"/>
  </r>
  <r>
    <s v="0946-2"/>
    <x v="6"/>
    <n v="6.4432989690721648E-4"/>
    <n v="0.64884020618556493"/>
    <n v="33"/>
    <n v="16.71"/>
    <n v="551.43000000000006"/>
    <n v="6.6805821089233031E-5"/>
    <n v="0.98249411507445816"/>
    <x v="2"/>
  </r>
  <r>
    <s v="0369-4"/>
    <x v="4"/>
    <n v="6.4432989690721648E-4"/>
    <n v="0.64948453608247214"/>
    <n v="274"/>
    <n v="2.0099999999999998"/>
    <n v="550.7399999999999"/>
    <n v="6.6722227493397508E-5"/>
    <n v="0.98256083730195154"/>
    <x v="2"/>
  </r>
  <r>
    <s v="1021-6"/>
    <x v="7"/>
    <n v="6.4432989690721648E-4"/>
    <n v="0.65012886597937936"/>
    <n v="11"/>
    <n v="49.95"/>
    <n v="549.45000000000005"/>
    <n v="6.6565943814226816E-5"/>
    <n v="0.98262740324576581"/>
    <x v="2"/>
  </r>
  <r>
    <s v="0349-9"/>
    <x v="2"/>
    <n v="6.4432989690721648E-4"/>
    <n v="0.65077319587628657"/>
    <n v="35"/>
    <n v="15.67"/>
    <n v="548.45000000000005"/>
    <n v="6.644479367533478E-5"/>
    <n v="0.98269384803944115"/>
    <x v="2"/>
  </r>
  <r>
    <s v="1166-4"/>
    <x v="4"/>
    <n v="6.4432989690721648E-4"/>
    <n v="0.65141752577319378"/>
    <n v="2"/>
    <n v="273.41000000000003"/>
    <n v="546.82000000000005"/>
    <n v="6.6247318948940763E-5"/>
    <n v="0.98276009535839004"/>
    <x v="2"/>
  </r>
  <r>
    <s v="0093-1"/>
    <x v="0"/>
    <n v="6.4432989690721648E-4"/>
    <n v="0.652061855670101"/>
    <n v="1"/>
    <n v="544.66"/>
    <n v="544.66"/>
    <n v="6.5985634648933964E-5"/>
    <n v="0.98282608099303892"/>
    <x v="2"/>
  </r>
  <r>
    <s v="1392-1"/>
    <x v="0"/>
    <n v="6.4432989690721648E-4"/>
    <n v="0.65270618556700821"/>
    <n v="1"/>
    <n v="544.1"/>
    <n v="544.1"/>
    <n v="6.5917790571154439E-5"/>
    <n v="0.98289199878361011"/>
    <x v="2"/>
  </r>
  <r>
    <s v="1353-9"/>
    <x v="2"/>
    <n v="6.4432989690721648E-4"/>
    <n v="0.65335051546391543"/>
    <n v="3"/>
    <n v="180.83"/>
    <n v="542.49"/>
    <n v="6.5722738847538264E-5"/>
    <n v="0.98295772152245764"/>
    <x v="2"/>
  </r>
  <r>
    <s v="0523-5"/>
    <x v="8"/>
    <n v="6.4432989690721648E-4"/>
    <n v="0.65399484536082264"/>
    <n v="7"/>
    <n v="77.25"/>
    <n v="540.75"/>
    <n v="6.5511937605866133E-5"/>
    <n v="0.98302323346006348"/>
    <x v="2"/>
  </r>
  <r>
    <s v="0502-6"/>
    <x v="7"/>
    <n v="6.4432989690721648E-4"/>
    <n v="0.65463917525772986"/>
    <n v="18"/>
    <n v="29.99"/>
    <n v="539.81999999999994"/>
    <n v="6.539926797669654E-5"/>
    <n v="0.98308863272804015"/>
    <x v="2"/>
  </r>
  <r>
    <s v="1109-6"/>
    <x v="7"/>
    <n v="6.4432989690721648E-4"/>
    <n v="0.65528350515463707"/>
    <n v="10"/>
    <n v="53.82"/>
    <n v="538.20000000000005"/>
    <n v="6.5203004751691451E-5"/>
    <n v="0.9831538357327918"/>
    <x v="2"/>
  </r>
  <r>
    <s v="1106-8"/>
    <x v="5"/>
    <n v="6.4432989690721648E-4"/>
    <n v="0.65592783505154428"/>
    <n v="8"/>
    <n v="66.97"/>
    <n v="535.76"/>
    <n v="6.4907398412794896E-5"/>
    <n v="0.98321874313120461"/>
    <x v="2"/>
  </r>
  <r>
    <s v="0577-9"/>
    <x v="2"/>
    <n v="6.4432989690721648E-4"/>
    <n v="0.6565721649484515"/>
    <n v="5"/>
    <n v="107.06"/>
    <n v="535.29999999999995"/>
    <n v="6.4851669348904556E-5"/>
    <n v="0.9832835948005535"/>
    <x v="2"/>
  </r>
  <r>
    <s v="1637-1"/>
    <x v="0"/>
    <n v="6.4432989690721648E-4"/>
    <n v="0.65721649484535871"/>
    <n v="1"/>
    <n v="535.11"/>
    <n v="535.11"/>
    <n v="6.4828650822515072E-5"/>
    <n v="0.98334842345137596"/>
    <x v="2"/>
  </r>
  <r>
    <s v="0625-4"/>
    <x v="4"/>
    <n v="6.4432989690721648E-4"/>
    <n v="0.65786082474226593"/>
    <n v="35"/>
    <n v="15.15"/>
    <n v="530.25"/>
    <n v="6.4239861147499791E-5"/>
    <n v="0.98341266331252342"/>
    <x v="2"/>
  </r>
  <r>
    <s v="0504-5"/>
    <x v="8"/>
    <n v="6.4432989690721648E-4"/>
    <n v="0.65850515463917314"/>
    <n v="4"/>
    <n v="132.53"/>
    <n v="530.12"/>
    <n v="6.4224111629443835E-5"/>
    <n v="0.98347688742415285"/>
    <x v="2"/>
  </r>
  <r>
    <s v="0307-6"/>
    <x v="7"/>
    <n v="6.4432989690721648E-4"/>
    <n v="0.65914948453608035"/>
    <n v="25"/>
    <n v="21.2"/>
    <n v="530"/>
    <n v="6.4209573612776792E-5"/>
    <n v="0.9835410969977656"/>
    <x v="2"/>
  </r>
  <r>
    <s v="1569-4"/>
    <x v="4"/>
    <n v="6.4432989690721648E-4"/>
    <n v="0.65979381443298757"/>
    <n v="1"/>
    <n v="529.21"/>
    <n v="529.21"/>
    <n v="6.4113865003052084E-5"/>
    <n v="0.98360521086276864"/>
    <x v="2"/>
  </r>
  <r>
    <s v="1736-9"/>
    <x v="2"/>
    <n v="6.4432989690721648E-4"/>
    <n v="0.66043814432989478"/>
    <n v="1"/>
    <n v="525.24"/>
    <n v="525.24"/>
    <n v="6.3632898951650725E-5"/>
    <n v="0.98366884376172026"/>
    <x v="2"/>
  </r>
  <r>
    <s v="1640-1"/>
    <x v="0"/>
    <n v="6.4432989690721648E-4"/>
    <n v="0.661082474226802"/>
    <n v="1"/>
    <n v="524.89"/>
    <n v="524.89"/>
    <n v="6.3590496403038513E-5"/>
    <n v="0.98373243425812329"/>
    <x v="2"/>
  </r>
  <r>
    <s v="1119-4"/>
    <x v="4"/>
    <n v="6.4432989690721648E-4"/>
    <n v="0.66172680412370921"/>
    <n v="16"/>
    <n v="32.770000000000003"/>
    <n v="524.32000000000005"/>
    <n v="6.352144082387006E-5"/>
    <n v="0.98379595569894718"/>
    <x v="2"/>
  </r>
  <r>
    <s v="1795-4"/>
    <x v="4"/>
    <n v="6.4432989690721648E-4"/>
    <n v="0.66237113402061643"/>
    <n v="3"/>
    <n v="173.92"/>
    <n v="521.76"/>
    <n v="6.3211296468306449E-5"/>
    <n v="0.98385916699541553"/>
    <x v="2"/>
  </r>
  <r>
    <s v="1034-6"/>
    <x v="7"/>
    <n v="6.4432989690721648E-4"/>
    <n v="0.66301546391752364"/>
    <n v="13"/>
    <n v="40.08"/>
    <n v="521.04"/>
    <n v="6.3124068368304183E-5"/>
    <n v="0.98392229106378382"/>
    <x v="2"/>
  </r>
  <r>
    <s v="1082-7"/>
    <x v="3"/>
    <n v="6.4432989690721648E-4"/>
    <n v="0.66365979381443085"/>
    <n v="115"/>
    <n v="4.53"/>
    <n v="520.95000000000005"/>
    <n v="6.3113164855803911E-5"/>
    <n v="0.98398540422863967"/>
    <x v="2"/>
  </r>
  <r>
    <s v="1305-4"/>
    <x v="4"/>
    <n v="6.4432989690721648E-4"/>
    <n v="0.66430412371133807"/>
    <n v="3"/>
    <n v="173.51"/>
    <n v="520.53"/>
    <n v="6.3062281797469244E-5"/>
    <n v="0.98404846651043709"/>
    <x v="2"/>
  </r>
  <r>
    <s v="1103-9"/>
    <x v="2"/>
    <n v="6.4432989690721648E-4"/>
    <n v="0.66494845360824528"/>
    <n v="1"/>
    <n v="520.1"/>
    <n v="520.1"/>
    <n v="6.3010187237745675E-5"/>
    <n v="0.98411147669767485"/>
    <x v="2"/>
  </r>
  <r>
    <s v="1142-3"/>
    <x v="1"/>
    <n v="6.4432989690721648E-4"/>
    <n v="0.6655927835051525"/>
    <n v="2"/>
    <n v="259.57"/>
    <n v="519.14"/>
    <n v="6.2893883104409324E-5"/>
    <n v="0.98417437058077928"/>
    <x v="2"/>
  </r>
  <r>
    <s v="0187-8"/>
    <x v="5"/>
    <n v="6.4432989690721648E-4"/>
    <n v="0.66623711340205971"/>
    <n v="35"/>
    <n v="14.75"/>
    <n v="516.25"/>
    <n v="6.2543759203011358E-5"/>
    <n v="0.98423691433998228"/>
    <x v="2"/>
  </r>
  <r>
    <s v="0118-8"/>
    <x v="5"/>
    <n v="6.4432989690721648E-4"/>
    <n v="0.66688144329896692"/>
    <n v="10"/>
    <n v="51.54"/>
    <n v="515.4"/>
    <n v="6.2440781584953122E-5"/>
    <n v="0.98429935512156719"/>
    <x v="2"/>
  </r>
  <r>
    <s v="0901-7"/>
    <x v="3"/>
    <n v="6.4432989690721648E-4"/>
    <n v="0.66752577319587414"/>
    <n v="24"/>
    <n v="21.44"/>
    <n v="514.56000000000006"/>
    <n v="6.2339015468283827E-5"/>
    <n v="0.98436169413703545"/>
    <x v="2"/>
  </r>
  <r>
    <s v="1692-5"/>
    <x v="8"/>
    <n v="6.4432989690721648E-4"/>
    <n v="0.66817010309278135"/>
    <n v="34"/>
    <n v="15.07"/>
    <n v="512.38"/>
    <n v="6.2074908165499185E-5"/>
    <n v="0.9844237690452009"/>
    <x v="2"/>
  </r>
  <r>
    <s v="1550-4"/>
    <x v="4"/>
    <n v="6.4432989690721648E-4"/>
    <n v="0.66881443298968857"/>
    <n v="17"/>
    <n v="30.08"/>
    <n v="511.35999999999996"/>
    <n v="6.195133502382932E-5"/>
    <n v="0.98448572038022475"/>
    <x v="2"/>
  </r>
  <r>
    <s v="0053-9"/>
    <x v="2"/>
    <n v="6.4432989690721648E-4"/>
    <n v="0.66945876288659578"/>
    <n v="29"/>
    <n v="17.61"/>
    <n v="510.69"/>
    <n v="6.1870164430771654E-5"/>
    <n v="0.98454759054465557"/>
    <x v="2"/>
  </r>
  <r>
    <s v="0942-4"/>
    <x v="4"/>
    <n v="6.4432989690721648E-4"/>
    <n v="0.670103092783503"/>
    <n v="3"/>
    <n v="170.1"/>
    <n v="510.29999999999995"/>
    <n v="6.1822915876603757E-5"/>
    <n v="0.98460941346053221"/>
    <x v="2"/>
  </r>
  <r>
    <s v="1114-5"/>
    <x v="8"/>
    <n v="6.4432989690721648E-4"/>
    <n v="0.67074742268041021"/>
    <n v="33"/>
    <n v="15.31"/>
    <n v="505.23"/>
    <n v="6.1208684672421163E-5"/>
    <n v="0.98467062214520462"/>
    <x v="2"/>
  </r>
  <r>
    <s v="0825-1"/>
    <x v="0"/>
    <n v="6.4432989690721648E-4"/>
    <n v="0.67139175257731742"/>
    <n v="2"/>
    <n v="251.71"/>
    <n v="503.42"/>
    <n v="6.0989402921026589E-5"/>
    <n v="0.98473161154812561"/>
    <x v="2"/>
  </r>
  <r>
    <s v="1845-1"/>
    <x v="0"/>
    <n v="6.4432989690721648E-4"/>
    <n v="0.67203608247422464"/>
    <n v="1"/>
    <n v="501.94"/>
    <n v="501.94"/>
    <n v="6.0810100715466378E-5"/>
    <n v="0.98479242164884107"/>
    <x v="2"/>
  </r>
  <r>
    <s v="1347-1"/>
    <x v="0"/>
    <n v="6.4432989690721648E-4"/>
    <n v="0.67268041237113185"/>
    <n v="1"/>
    <n v="501.47"/>
    <n v="501.47"/>
    <n v="6.0753160150187131E-5"/>
    <n v="0.98485317480899126"/>
    <x v="2"/>
  </r>
  <r>
    <s v="0773-9"/>
    <x v="2"/>
    <n v="6.4432989690721648E-4"/>
    <n v="0.67332474226803907"/>
    <n v="2"/>
    <n v="250.25"/>
    <n v="500.5"/>
    <n v="6.0635644515461852E-5"/>
    <n v="0.98491381045350668"/>
    <x v="2"/>
  </r>
  <r>
    <s v="0864-1"/>
    <x v="0"/>
    <n v="6.4432989690721648E-4"/>
    <n v="0.67396907216494628"/>
    <n v="1"/>
    <n v="498.19"/>
    <n v="498.19"/>
    <n v="6.0355787694621261E-5"/>
    <n v="0.98497416624120127"/>
    <x v="2"/>
  </r>
  <r>
    <s v="1284-5"/>
    <x v="8"/>
    <n v="6.4432989690721648E-4"/>
    <n v="0.6746134020618535"/>
    <n v="4"/>
    <n v="124.35"/>
    <n v="497.4"/>
    <n v="6.0260079084896552E-5"/>
    <n v="0.98503442632028615"/>
    <x v="2"/>
  </r>
  <r>
    <s v="0071-2"/>
    <x v="6"/>
    <n v="6.4432989690721648E-4"/>
    <n v="0.67525773195876071"/>
    <n v="12"/>
    <n v="41.39"/>
    <n v="496.68"/>
    <n v="6.0172850984894293E-5"/>
    <n v="0.98509459917127107"/>
    <x v="2"/>
  </r>
  <r>
    <s v="1819-9"/>
    <x v="2"/>
    <n v="6.4432989690721648E-4"/>
    <n v="0.67590206185566792"/>
    <n v="3"/>
    <n v="165.33"/>
    <n v="495.99"/>
    <n v="6.008925738905879E-5"/>
    <n v="0.98515468842866016"/>
    <x v="2"/>
  </r>
  <r>
    <s v="0294-2"/>
    <x v="6"/>
    <n v="6.4432989690721648E-4"/>
    <n v="0.67654639175257514"/>
    <n v="6"/>
    <n v="82.46"/>
    <n v="494.76"/>
    <n v="5.9940242718221592E-5"/>
    <n v="0.98521462867137843"/>
    <x v="2"/>
  </r>
  <r>
    <s v="0572-1"/>
    <x v="0"/>
    <n v="6.4432989690721648E-4"/>
    <n v="0.67719072164948235"/>
    <n v="1"/>
    <n v="490.8"/>
    <n v="490.8"/>
    <n v="5.9460488168209147E-5"/>
    <n v="0.98527408915954662"/>
    <x v="2"/>
  </r>
  <r>
    <s v="1565-1"/>
    <x v="0"/>
    <n v="6.4432989690721648E-4"/>
    <n v="0.67783505154638957"/>
    <n v="1"/>
    <n v="490.78"/>
    <n v="490.78"/>
    <n v="5.9458065165431305E-5"/>
    <n v="0.985333547224712"/>
    <x v="2"/>
  </r>
  <r>
    <s v="0482-6"/>
    <x v="7"/>
    <n v="6.4432989690721648E-4"/>
    <n v="0.67847938144329678"/>
    <n v="16"/>
    <n v="30.61"/>
    <n v="489.76"/>
    <n v="5.9334492023761433E-5"/>
    <n v="0.98539288171673578"/>
    <x v="2"/>
  </r>
  <r>
    <s v="1673-5"/>
    <x v="8"/>
    <n v="6.4432989690721648E-4"/>
    <n v="0.67912371134020399"/>
    <n v="2"/>
    <n v="244.35"/>
    <n v="488.7"/>
    <n v="5.9206072876535883E-5"/>
    <n v="0.98545208778961235"/>
    <x v="2"/>
  </r>
  <r>
    <s v="1402-5"/>
    <x v="8"/>
    <n v="6.4432989690721648E-4"/>
    <n v="0.67976804123711121"/>
    <n v="9"/>
    <n v="54.15"/>
    <n v="487.34999999999997"/>
    <n v="5.9042520189031635E-5"/>
    <n v="0.98551113030980142"/>
    <x v="2"/>
  </r>
  <r>
    <s v="0602-6"/>
    <x v="7"/>
    <n v="6.4432989690721648E-4"/>
    <n v="0.68041237113401842"/>
    <n v="8"/>
    <n v="60.89"/>
    <n v="487.12"/>
    <n v="5.9014655657086472E-5"/>
    <n v="0.98557014496545847"/>
    <x v="2"/>
  </r>
  <r>
    <s v="0050-1"/>
    <x v="0"/>
    <n v="6.4432989690721648E-4"/>
    <n v="0.68105670103092564"/>
    <n v="1"/>
    <n v="486.83"/>
    <n v="486.83"/>
    <n v="5.8979522116807782E-5"/>
    <n v="0.98562912448757523"/>
    <x v="2"/>
  </r>
  <r>
    <s v="1556-7"/>
    <x v="3"/>
    <n v="6.4432989690721648E-4"/>
    <n v="0.68170103092783285"/>
    <n v="4"/>
    <n v="121.54"/>
    <n v="486.16"/>
    <n v="5.8898351523750122E-5"/>
    <n v="0.98568802283909895"/>
    <x v="2"/>
  </r>
  <r>
    <s v="1401-1"/>
    <x v="0"/>
    <n v="6.4432989690721648E-4"/>
    <n v="0.68234536082474007"/>
    <n v="1"/>
    <n v="485.72"/>
    <n v="485.72"/>
    <n v="5.8845045462637632E-5"/>
    <n v="0.98574686788456156"/>
    <x v="2"/>
  </r>
  <r>
    <s v="0129-1"/>
    <x v="0"/>
    <n v="6.4432989690721648E-4"/>
    <n v="0.68298969072164728"/>
    <n v="1"/>
    <n v="484.76"/>
    <n v="484.76"/>
    <n v="5.8728741329301275E-5"/>
    <n v="0.98580559662589085"/>
    <x v="2"/>
  </r>
  <r>
    <s v="0491-8"/>
    <x v="5"/>
    <n v="6.4432989690721648E-4"/>
    <n v="0.68363402061855449"/>
    <n v="8"/>
    <n v="60.28"/>
    <n v="482.24"/>
    <n v="5.8423442979293356E-5"/>
    <n v="0.98586402006887008"/>
    <x v="2"/>
  </r>
  <r>
    <s v="0586-8"/>
    <x v="5"/>
    <n v="6.4432989690721648E-4"/>
    <n v="0.68427835051546171"/>
    <n v="15"/>
    <n v="32.119999999999997"/>
    <n v="481.79999999999995"/>
    <n v="5.8370136918180859E-5"/>
    <n v="0.98592239020578831"/>
    <x v="2"/>
  </r>
  <r>
    <s v="0432-4"/>
    <x v="4"/>
    <n v="6.4432989690721648E-4"/>
    <n v="0.68492268041236892"/>
    <n v="1"/>
    <n v="475.29"/>
    <n v="475.29"/>
    <n v="5.7581449513993739E-5"/>
    <n v="0.98597997165530227"/>
    <x v="2"/>
  </r>
  <r>
    <s v="1633-1"/>
    <x v="0"/>
    <n v="6.4432989690721648E-4"/>
    <n v="0.68556701030927614"/>
    <n v="1"/>
    <n v="475.16"/>
    <n v="475.16"/>
    <n v="5.7565699995937776E-5"/>
    <n v="0.9860375373552982"/>
    <x v="2"/>
  </r>
  <r>
    <s v="1560-8"/>
    <x v="5"/>
    <n v="6.4432989690721648E-4"/>
    <n v="0.68621134020618335"/>
    <n v="16"/>
    <n v="29.57"/>
    <n v="473.12"/>
    <n v="5.7318553712598026E-5"/>
    <n v="0.9860948559090108"/>
    <x v="2"/>
  </r>
  <r>
    <s v="1180-7"/>
    <x v="3"/>
    <n v="6.4432989690721648E-4"/>
    <n v="0.68685567010309057"/>
    <n v="3"/>
    <n v="157.37"/>
    <n v="472.11"/>
    <n v="5.7196192072317075E-5"/>
    <n v="0.98615205210108314"/>
    <x v="2"/>
  </r>
  <r>
    <s v="0039-7"/>
    <x v="3"/>
    <n v="6.4432989690721648E-4"/>
    <n v="0.68749999999999778"/>
    <n v="5"/>
    <n v="94.11"/>
    <n v="470.55"/>
    <n v="5.7007197855645508E-5"/>
    <n v="0.98620905929893876"/>
    <x v="2"/>
  </r>
  <r>
    <s v="1371-6"/>
    <x v="7"/>
    <n v="6.4432989690721648E-4"/>
    <n v="0.68814432989690499"/>
    <n v="39"/>
    <n v="12.04"/>
    <n v="469.55999999999995"/>
    <n v="5.6887259218142386E-5"/>
    <n v="0.98626594655815691"/>
    <x v="2"/>
  </r>
  <r>
    <s v="0921-7"/>
    <x v="3"/>
    <n v="6.4432989690721648E-4"/>
    <n v="0.68878865979381221"/>
    <n v="10"/>
    <n v="46.86"/>
    <n v="468.6"/>
    <n v="5.6770955084806049E-5"/>
    <n v="0.98632271751324174"/>
    <x v="2"/>
  </r>
  <r>
    <s v="1682-8"/>
    <x v="5"/>
    <n v="6.4432989690721648E-4"/>
    <n v="0.68943298969071942"/>
    <n v="13"/>
    <n v="35.97"/>
    <n v="467.61"/>
    <n v="5.6651016447302935E-5"/>
    <n v="0.98637936852968899"/>
    <x v="2"/>
  </r>
  <r>
    <s v="0335-8"/>
    <x v="5"/>
    <n v="6.4432989690721648E-4"/>
    <n v="0.69007731958762664"/>
    <n v="7"/>
    <n v="66.62"/>
    <n v="466.34000000000003"/>
    <n v="5.6497155770910058E-5"/>
    <n v="0.98643586568545993"/>
    <x v="2"/>
  </r>
  <r>
    <s v="1554-7"/>
    <x v="3"/>
    <n v="6.4432989690721648E-4"/>
    <n v="0.69072164948453385"/>
    <n v="7"/>
    <n v="66.489999999999995"/>
    <n v="465.42999999999995"/>
    <n v="5.63869091445183E-5"/>
    <n v="0.98649225259460449"/>
    <x v="2"/>
  </r>
  <r>
    <s v="1558-9"/>
    <x v="2"/>
    <n v="6.4432989690721648E-4"/>
    <n v="0.69136597938144106"/>
    <n v="1"/>
    <n v="464"/>
    <n v="464"/>
    <n v="5.6213664445902702E-5"/>
    <n v="0.98654846625905035"/>
    <x v="2"/>
  </r>
  <r>
    <s v="1472-7"/>
    <x v="3"/>
    <n v="6.4432989690721648E-4"/>
    <n v="0.69201030927834828"/>
    <n v="8"/>
    <n v="57.7"/>
    <n v="461.6"/>
    <n v="5.5922904112561826E-5"/>
    <n v="0.98660438916316295"/>
    <x v="2"/>
  </r>
  <r>
    <s v="1429-5"/>
    <x v="8"/>
    <n v="6.4432989690721648E-4"/>
    <n v="0.69265463917525549"/>
    <n v="4"/>
    <n v="115.21"/>
    <n v="460.84"/>
    <n v="5.5830830007003874E-5"/>
    <n v="0.98666021999317"/>
    <x v="2"/>
  </r>
  <r>
    <s v="1612-8"/>
    <x v="5"/>
    <n v="6.4432989690721648E-4"/>
    <n v="0.69329896907216271"/>
    <n v="21"/>
    <n v="21.93"/>
    <n v="460.53"/>
    <n v="5.5793273463947348E-5"/>
    <n v="0.98671601326663394"/>
    <x v="2"/>
  </r>
  <r>
    <s v="1879-4"/>
    <x v="4"/>
    <n v="6.4432989690721648E-4"/>
    <n v="0.69394329896906992"/>
    <n v="4"/>
    <n v="114.83"/>
    <n v="459.32"/>
    <n v="5.5646681795887992E-5"/>
    <n v="0.98677165994842986"/>
    <x v="2"/>
  </r>
  <r>
    <s v="1451-4"/>
    <x v="4"/>
    <n v="6.4432989690721648E-4"/>
    <n v="0.69458762886597714"/>
    <n v="1"/>
    <n v="459.16"/>
    <n v="459.16"/>
    <n v="5.5627297773665271E-5"/>
    <n v="0.9868272872462035"/>
    <x v="2"/>
  </r>
  <r>
    <s v="0169-4"/>
    <x v="4"/>
    <n v="6.4432989690721648E-4"/>
    <n v="0.69523195876288435"/>
    <n v="9"/>
    <n v="50.88"/>
    <n v="457.92"/>
    <n v="5.5477071601439151E-5"/>
    <n v="0.98688276431780497"/>
    <x v="2"/>
  </r>
  <r>
    <s v="1468-5"/>
    <x v="8"/>
    <n v="6.4432989690721648E-4"/>
    <n v="0.69587628865979156"/>
    <n v="7"/>
    <n v="64.989999999999995"/>
    <n v="454.92999999999995"/>
    <n v="5.5114832686151965E-5"/>
    <n v="0.98693787915049114"/>
    <x v="2"/>
  </r>
  <r>
    <s v="0445-9"/>
    <x v="2"/>
    <n v="6.4432989690721648E-4"/>
    <n v="0.69652061855669878"/>
    <n v="1"/>
    <n v="453.25"/>
    <n v="453.25"/>
    <n v="5.4911300452813362E-5"/>
    <n v="0.9869927904509439"/>
    <x v="2"/>
  </r>
  <r>
    <s v="1237-8"/>
    <x v="5"/>
    <n v="6.4432989690721648E-4"/>
    <n v="0.69716494845360599"/>
    <n v="45"/>
    <n v="10.02"/>
    <n v="450.9"/>
    <n v="5.4626597626417078E-5"/>
    <n v="0.98704741704857035"/>
    <x v="2"/>
  </r>
  <r>
    <s v="0014-9"/>
    <x v="2"/>
    <n v="6.4432989690721648E-4"/>
    <n v="0.69780927835051321"/>
    <n v="3"/>
    <n v="149.75"/>
    <n v="449.25"/>
    <n v="5.4426699897245232E-5"/>
    <n v="0.98710184374846754"/>
    <x v="2"/>
  </r>
  <r>
    <s v="1073-1"/>
    <x v="0"/>
    <n v="6.4432989690721648E-4"/>
    <n v="0.69845360824742042"/>
    <n v="1"/>
    <n v="448.76"/>
    <n v="448.76"/>
    <n v="5.4367336329188136E-5"/>
    <n v="0.98715621108479679"/>
    <x v="2"/>
  </r>
  <r>
    <s v="1572-7"/>
    <x v="3"/>
    <n v="6.4432989690721648E-4"/>
    <n v="0.69909793814432764"/>
    <n v="3"/>
    <n v="149.58000000000001"/>
    <n v="448.74"/>
    <n v="5.43649133264103E-5"/>
    <n v="0.98721057599812323"/>
    <x v="2"/>
  </r>
  <r>
    <s v="0790-8"/>
    <x v="5"/>
    <n v="6.4432989690721648E-4"/>
    <n v="0.69974226804123485"/>
    <n v="8"/>
    <n v="55.9"/>
    <n v="447.2"/>
    <n v="5.4178342112516568E-5"/>
    <n v="0.98726475434023575"/>
    <x v="2"/>
  </r>
  <r>
    <s v="1266-3"/>
    <x v="1"/>
    <n v="6.4432989690721648E-4"/>
    <n v="0.70038659793814206"/>
    <n v="1"/>
    <n v="446.9"/>
    <n v="446.9"/>
    <n v="5.4141997070848956E-5"/>
    <n v="0.98731889633730663"/>
    <x v="2"/>
  </r>
  <r>
    <s v="1485-1"/>
    <x v="0"/>
    <n v="6.4432989690721648E-4"/>
    <n v="0.70103092783504928"/>
    <n v="1"/>
    <n v="446.87"/>
    <n v="446.87"/>
    <n v="5.4138362566682198E-5"/>
    <n v="0.98737303469987336"/>
    <x v="2"/>
  </r>
  <r>
    <s v="1345-8"/>
    <x v="5"/>
    <n v="6.4432989690721648E-4"/>
    <n v="0.70167525773195649"/>
    <n v="18"/>
    <n v="24.8"/>
    <n v="446.40000000000003"/>
    <n v="5.4081422001402945E-5"/>
    <n v="0.98742711612187473"/>
    <x v="2"/>
  </r>
  <r>
    <s v="0816-8"/>
    <x v="5"/>
    <n v="6.4432989690721648E-4"/>
    <n v="0.70231958762886371"/>
    <n v="6"/>
    <n v="73.64"/>
    <n v="441.84000000000003"/>
    <n v="5.3528977368055283E-5"/>
    <n v="0.98748064509924283"/>
    <x v="2"/>
  </r>
  <r>
    <s v="1027-4"/>
    <x v="4"/>
    <n v="6.4432989690721648E-4"/>
    <n v="0.70296391752577092"/>
    <n v="5"/>
    <n v="88.27"/>
    <n v="441.34999999999997"/>
    <n v="5.3469613799998179E-5"/>
    <n v="0.98753411471304287"/>
    <x v="2"/>
  </r>
  <r>
    <s v="0698-1"/>
    <x v="0"/>
    <n v="6.4432989690721648E-4"/>
    <n v="0.70360824742267813"/>
    <n v="1"/>
    <n v="441.33"/>
    <n v="441.33"/>
    <n v="5.3467190797220337E-5"/>
    <n v="0.98758758190384011"/>
    <x v="2"/>
  </r>
  <r>
    <s v="1766-1"/>
    <x v="0"/>
    <n v="6.4432989690721648E-4"/>
    <n v="0.70425257731958535"/>
    <n v="1"/>
    <n v="441.18"/>
    <n v="441.18"/>
    <n v="5.3449018276386538E-5"/>
    <n v="0.98764103092211653"/>
    <x v="2"/>
  </r>
  <r>
    <s v="0073-8"/>
    <x v="5"/>
    <n v="6.4432989690721648E-4"/>
    <n v="0.70489690721649256"/>
    <n v="7"/>
    <n v="62.32"/>
    <n v="436.24"/>
    <n v="5.28505365902599E-5"/>
    <n v="0.98769388145870674"/>
    <x v="2"/>
  </r>
  <r>
    <s v="0735-5"/>
    <x v="8"/>
    <n v="6.4432989690721648E-4"/>
    <n v="0.70554123711339978"/>
    <n v="25"/>
    <n v="17.399999999999999"/>
    <n v="434.99999999999994"/>
    <n v="5.2700310418033773E-5"/>
    <n v="0.98774658176912478"/>
    <x v="2"/>
  </r>
  <r>
    <s v="1317-8"/>
    <x v="5"/>
    <n v="6.4432989690721648E-4"/>
    <n v="0.70618556701030699"/>
    <n v="32"/>
    <n v="13.59"/>
    <n v="434.88"/>
    <n v="5.2685772401366738E-5"/>
    <n v="0.98779926754152614"/>
    <x v="2"/>
  </r>
  <r>
    <s v="1030-1"/>
    <x v="0"/>
    <n v="6.4432989690721648E-4"/>
    <n v="0.70682989690721421"/>
    <n v="1"/>
    <n v="434.05"/>
    <n v="434.05"/>
    <n v="5.2585217786086351E-5"/>
    <n v="0.9878518527593122"/>
    <x v="2"/>
  </r>
  <r>
    <s v="0336-8"/>
    <x v="5"/>
    <n v="6.4432989690721648E-4"/>
    <n v="0.70747422680412142"/>
    <n v="9"/>
    <n v="48.08"/>
    <n v="432.71999999999997"/>
    <n v="5.2424088101359946E-5"/>
    <n v="0.98790427684741355"/>
    <x v="2"/>
  </r>
  <r>
    <s v="0751-9"/>
    <x v="2"/>
    <n v="6.4432989690721648E-4"/>
    <n v="0.70811855670102863"/>
    <n v="3"/>
    <n v="144.19999999999999"/>
    <n v="432.59999999999997"/>
    <n v="5.2409550084692897E-5"/>
    <n v="0.98795668639749823"/>
    <x v="2"/>
  </r>
  <r>
    <s v="1584-3"/>
    <x v="1"/>
    <n v="6.4432989690721648E-4"/>
    <n v="0.70876288659793585"/>
    <n v="1"/>
    <n v="431.51"/>
    <n v="431.51"/>
    <n v="5.227749643330059E-5"/>
    <n v="0.98800896389393156"/>
    <x v="2"/>
  </r>
  <r>
    <s v="0776-5"/>
    <x v="8"/>
    <n v="6.4432989690721648E-4"/>
    <n v="0.70940721649484306"/>
    <n v="5"/>
    <n v="86.28"/>
    <n v="431.4"/>
    <n v="5.2264169918022462E-5"/>
    <n v="0.98806122806384955"/>
    <x v="2"/>
  </r>
  <r>
    <s v="1782-8"/>
    <x v="5"/>
    <n v="6.4432989690721648E-4"/>
    <n v="0.71005154639175028"/>
    <n v="7"/>
    <n v="61.29"/>
    <n v="429.03"/>
    <n v="5.197704408884835E-5"/>
    <n v="0.98811320510793843"/>
    <x v="2"/>
  </r>
  <r>
    <s v="0809-3"/>
    <x v="1"/>
    <n v="6.4432989690721648E-4"/>
    <n v="0.71069587628865749"/>
    <n v="1"/>
    <n v="427.41"/>
    <n v="427.41"/>
    <n v="5.1780780863843261E-5"/>
    <n v="0.98816498588880231"/>
    <x v="2"/>
  </r>
  <r>
    <s v="0840-9"/>
    <x v="2"/>
    <n v="6.4432989690721648E-4"/>
    <n v="0.71134020618556471"/>
    <n v="1"/>
    <n v="427.24"/>
    <n v="427.24"/>
    <n v="5.1760185340231619E-5"/>
    <n v="0.98821674607414256"/>
    <x v="2"/>
  </r>
  <r>
    <s v="0509-9"/>
    <x v="2"/>
    <n v="6.4432989690721648E-4"/>
    <n v="0.71198453608247192"/>
    <n v="2"/>
    <n v="212.72"/>
    <n v="425.44"/>
    <n v="5.154211509022596E-5"/>
    <n v="0.98826828818923274"/>
    <x v="2"/>
  </r>
  <r>
    <s v="1504-2"/>
    <x v="6"/>
    <n v="6.4432989690721648E-4"/>
    <n v="0.71262886597937913"/>
    <n v="7"/>
    <n v="60.74"/>
    <n v="425.18"/>
    <n v="5.1510616054114033E-5"/>
    <n v="0.98831979880528686"/>
    <x v="2"/>
  </r>
  <r>
    <s v="1568-3"/>
    <x v="1"/>
    <n v="6.4432989690721648E-4"/>
    <n v="0.71327319587628635"/>
    <n v="1"/>
    <n v="423.37"/>
    <n v="423.37"/>
    <n v="5.1291334302719453E-5"/>
    <n v="0.98837109013958957"/>
    <x v="2"/>
  </r>
  <r>
    <s v="0912-8"/>
    <x v="5"/>
    <n v="6.4432989690721648E-4"/>
    <n v="0.71391752577319356"/>
    <n v="63"/>
    <n v="6.7"/>
    <n v="422.1"/>
    <n v="5.1137473626326575E-5"/>
    <n v="0.98842222761321585"/>
    <x v="2"/>
  </r>
  <r>
    <s v="0608-8"/>
    <x v="5"/>
    <n v="6.4432989690721648E-4"/>
    <n v="0.71456185567010078"/>
    <n v="16"/>
    <n v="26.31"/>
    <n v="420.96"/>
    <n v="5.0999362467989655E-5"/>
    <n v="0.98847322697568385"/>
    <x v="2"/>
  </r>
  <r>
    <s v="0786-9"/>
    <x v="2"/>
    <n v="6.4432989690721648E-4"/>
    <n v="0.71520618556700799"/>
    <n v="1"/>
    <n v="420.54"/>
    <n v="420.54"/>
    <n v="5.0948479409655008E-5"/>
    <n v="0.98852417545509352"/>
    <x v="2"/>
  </r>
  <r>
    <s v="0694-3"/>
    <x v="1"/>
    <n v="6.4432989690721648E-4"/>
    <n v="0.7158505154639152"/>
    <n v="1"/>
    <n v="417.83"/>
    <n v="417.83"/>
    <n v="5.0620162533257598E-5"/>
    <n v="0.98857479561762673"/>
    <x v="2"/>
  </r>
  <r>
    <s v="1007-9"/>
    <x v="2"/>
    <n v="6.4432989690721648E-4"/>
    <n v="0.71649484536082242"/>
    <n v="6"/>
    <n v="69.62"/>
    <n v="417.72"/>
    <n v="5.0606836017979477E-5"/>
    <n v="0.98862540245364472"/>
    <x v="2"/>
  </r>
  <r>
    <s v="0191-8"/>
    <x v="5"/>
    <n v="6.4432989690721648E-4"/>
    <n v="0.71713917525772963"/>
    <n v="20"/>
    <n v="20.84"/>
    <n v="416.8"/>
    <n v="5.0495377890198805E-5"/>
    <n v="0.98867589783153487"/>
    <x v="2"/>
  </r>
  <r>
    <s v="0862-8"/>
    <x v="5"/>
    <n v="6.4432989690721648E-4"/>
    <n v="0.71778350515463685"/>
    <n v="12"/>
    <n v="34.72"/>
    <n v="416.64"/>
    <n v="5.0475993867976077E-5"/>
    <n v="0.98872637382540285"/>
    <x v="2"/>
  </r>
  <r>
    <s v="1243-1"/>
    <x v="0"/>
    <n v="6.4432989690721648E-4"/>
    <n v="0.71842783505154406"/>
    <n v="1"/>
    <n v="414.58"/>
    <n v="414.58"/>
    <n v="5.0226424581858492E-5"/>
    <n v="0.98877660024998471"/>
    <x v="2"/>
  </r>
  <r>
    <s v="1367-4"/>
    <x v="4"/>
    <n v="6.4432989690721648E-4"/>
    <n v="0.71907216494845128"/>
    <n v="1"/>
    <n v="414.33"/>
    <n v="414.33"/>
    <n v="5.0196137047135486E-5"/>
    <n v="0.98882679638703186"/>
    <x v="2"/>
  </r>
  <r>
    <s v="1279-2"/>
    <x v="6"/>
    <n v="6.4432989690721648E-4"/>
    <n v="0.71971649484535849"/>
    <n v="5"/>
    <n v="82.81"/>
    <n v="414.05"/>
    <n v="5.0162215008245717E-5"/>
    <n v="0.98887695860204006"/>
    <x v="2"/>
  </r>
  <r>
    <s v="0896-6"/>
    <x v="7"/>
    <n v="6.4432989690721648E-4"/>
    <n v="0.7203608247422657"/>
    <n v="7"/>
    <n v="58.93"/>
    <n v="412.51"/>
    <n v="4.9975643794351985E-5"/>
    <n v="0.98892693424583444"/>
    <x v="2"/>
  </r>
  <r>
    <s v="0026-8"/>
    <x v="5"/>
    <n v="6.4432989690721648E-4"/>
    <n v="0.72100515463917292"/>
    <n v="6"/>
    <n v="68.59"/>
    <n v="411.54"/>
    <n v="4.9858128159626719E-5"/>
    <n v="0.98897679237399405"/>
    <x v="2"/>
  </r>
  <r>
    <s v="0802-7"/>
    <x v="3"/>
    <n v="6.4432989690721648E-4"/>
    <n v="0.72164948453608013"/>
    <n v="9"/>
    <n v="45.58"/>
    <n v="410.21999999999997"/>
    <n v="4.9698209976289229E-5"/>
    <n v="0.9890264905839703"/>
    <x v="2"/>
  </r>
  <r>
    <s v="1511-6"/>
    <x v="7"/>
    <n v="6.4432989690721648E-4"/>
    <n v="0.72229381443298735"/>
    <n v="37"/>
    <n v="11.05"/>
    <n v="408.85"/>
    <n v="4.9532234286007152E-5"/>
    <n v="0.98907602281825635"/>
    <x v="2"/>
  </r>
  <r>
    <s v="1439-3"/>
    <x v="1"/>
    <n v="6.4432989690721648E-4"/>
    <n v="0.72293814432989456"/>
    <n v="1"/>
    <n v="407.83"/>
    <n v="407.83"/>
    <n v="4.9408661144337281E-5"/>
    <n v="0.98912543147940069"/>
    <x v="2"/>
  </r>
  <r>
    <s v="1425-7"/>
    <x v="3"/>
    <n v="6.4432989690721648E-4"/>
    <n v="0.72358247422680178"/>
    <n v="3"/>
    <n v="135.47999999999999"/>
    <n v="406.43999999999994"/>
    <n v="4.9240262451277348E-5"/>
    <n v="0.98917467174185192"/>
    <x v="2"/>
  </r>
  <r>
    <s v="0872-8"/>
    <x v="5"/>
    <n v="6.4432989690721648E-4"/>
    <n v="0.72422680412370899"/>
    <n v="76"/>
    <n v="5.34"/>
    <n v="405.84"/>
    <n v="4.916757236794213E-5"/>
    <n v="0.98922383931421987"/>
    <x v="2"/>
  </r>
  <r>
    <s v="1597-4"/>
    <x v="4"/>
    <n v="6.4432989690721648E-4"/>
    <n v="0.7248711340206162"/>
    <n v="1"/>
    <n v="404.29"/>
    <n v="404.29"/>
    <n v="4.8979789652659491E-5"/>
    <n v="0.98927281910387255"/>
    <x v="2"/>
  </r>
  <r>
    <s v="1825-3"/>
    <x v="1"/>
    <n v="6.4432989690721648E-4"/>
    <n v="0.72551546391752342"/>
    <n v="1"/>
    <n v="403.12"/>
    <n v="403.12"/>
    <n v="4.8838043990155813E-5"/>
    <n v="0.98932165714786269"/>
    <x v="2"/>
  </r>
  <r>
    <s v="0547-9"/>
    <x v="2"/>
    <n v="6.4432989690721648E-4"/>
    <n v="0.72615979381443063"/>
    <n v="1"/>
    <n v="402.96"/>
    <n v="402.96"/>
    <n v="4.8818659967933086E-5"/>
    <n v="0.98937047580783066"/>
    <x v="2"/>
  </r>
  <r>
    <s v="1573-1"/>
    <x v="0"/>
    <n v="6.4432989690721648E-4"/>
    <n v="0.72680412371133785"/>
    <n v="1"/>
    <n v="401.97"/>
    <n v="401.97"/>
    <n v="4.8698721330429978E-5"/>
    <n v="0.98941917452916106"/>
    <x v="2"/>
  </r>
  <r>
    <s v="1376-3"/>
    <x v="1"/>
    <n v="6.4432989690721648E-4"/>
    <n v="0.72744845360824506"/>
    <n v="1"/>
    <n v="399.72"/>
    <n v="399.72"/>
    <n v="4.8426133517922908E-5"/>
    <n v="0.98946760066267903"/>
    <x v="2"/>
  </r>
  <r>
    <s v="1198-4"/>
    <x v="4"/>
    <n v="6.4432989690721648E-4"/>
    <n v="0.72809278350515227"/>
    <n v="3"/>
    <n v="132.77000000000001"/>
    <n v="398.31000000000006"/>
    <n v="4.8255311822085146E-5"/>
    <n v="0.98951585597450109"/>
    <x v="2"/>
  </r>
  <r>
    <s v="0297-8"/>
    <x v="5"/>
    <n v="6.4432989690721648E-4"/>
    <n v="0.72873711340205949"/>
    <n v="18"/>
    <n v="22.07"/>
    <n v="397.26"/>
    <n v="4.8128104176248503E-5"/>
    <n v="0.98956398407867729"/>
    <x v="2"/>
  </r>
  <r>
    <s v="0339-9"/>
    <x v="2"/>
    <n v="6.4432989690721648E-4"/>
    <n v="0.7293814432989667"/>
    <n v="1"/>
    <n v="396.76"/>
    <n v="396.76"/>
    <n v="4.8067529106802485E-5"/>
    <n v="0.98961205160778409"/>
    <x v="2"/>
  </r>
  <r>
    <s v="1196-4"/>
    <x v="4"/>
    <n v="6.4432989690721648E-4"/>
    <n v="0.73002577319587392"/>
    <n v="2"/>
    <n v="198.21"/>
    <n v="396.42"/>
    <n v="4.8026338059579202E-5"/>
    <n v="0.98966007794584365"/>
    <x v="2"/>
  </r>
  <r>
    <s v="0973-6"/>
    <x v="7"/>
    <n v="6.4432989690721648E-4"/>
    <n v="0.73067010309278113"/>
    <n v="16"/>
    <n v="24.75"/>
    <n v="396"/>
    <n v="4.7975455001244547E-5"/>
    <n v="0.98970805340084489"/>
    <x v="2"/>
  </r>
  <r>
    <s v="1778-9"/>
    <x v="2"/>
    <n v="6.4432989690721648E-4"/>
    <n v="0.73131443298968835"/>
    <n v="1"/>
    <n v="394.71"/>
    <n v="394.71"/>
    <n v="4.7819171322073821E-5"/>
    <n v="0.98975587257216702"/>
    <x v="2"/>
  </r>
  <r>
    <s v="0562-6"/>
    <x v="7"/>
    <n v="6.4432989690721648E-4"/>
    <n v="0.73195876288659556"/>
    <n v="10"/>
    <n v="39.24"/>
    <n v="392.40000000000003"/>
    <n v="4.7539314501233236E-5"/>
    <n v="0.98980341188666821"/>
    <x v="2"/>
  </r>
  <r>
    <s v="0895-8"/>
    <x v="5"/>
    <n v="6.4432989690721648E-4"/>
    <n v="0.73260309278350277"/>
    <n v="19"/>
    <n v="20.53"/>
    <n v="390.07000000000005"/>
    <n v="4.7257034677614802E-5"/>
    <n v="0.98985066892134577"/>
    <x v="2"/>
  </r>
  <r>
    <s v="0532-8"/>
    <x v="5"/>
    <n v="6.4432989690721648E-4"/>
    <n v="0.73324742268040999"/>
    <n v="11"/>
    <n v="35.39"/>
    <n v="389.29"/>
    <n v="4.7162537569279015E-5"/>
    <n v="0.98989783145891508"/>
    <x v="2"/>
  </r>
  <r>
    <s v="0730-8"/>
    <x v="5"/>
    <n v="6.4432989690721648E-4"/>
    <n v="0.7338917525773172"/>
    <n v="19"/>
    <n v="20.47"/>
    <n v="388.92999999999995"/>
    <n v="4.7118923519277875E-5"/>
    <n v="0.98994495038243435"/>
    <x v="2"/>
  </r>
  <r>
    <s v="0429-5"/>
    <x v="8"/>
    <n v="6.4432989690721648E-4"/>
    <n v="0.73453608247422442"/>
    <n v="2"/>
    <n v="194.2"/>
    <n v="388.4"/>
    <n v="4.70547139456651E-5"/>
    <n v="0.98999200509637997"/>
    <x v="2"/>
  </r>
  <r>
    <s v="0412-4"/>
    <x v="4"/>
    <n v="6.4432989690721648E-4"/>
    <n v="0.73518041237113163"/>
    <n v="1"/>
    <n v="388.34"/>
    <n v="388.34"/>
    <n v="4.7047444937331579E-5"/>
    <n v="0.9900390525413173"/>
    <x v="2"/>
  </r>
  <r>
    <s v="0743-9"/>
    <x v="2"/>
    <n v="6.4432989690721648E-4"/>
    <n v="0.73582474226803884"/>
    <n v="3"/>
    <n v="129.19"/>
    <n v="387.57"/>
    <n v="4.695415933038472E-5"/>
    <n v="0.99008600670064772"/>
    <x v="2"/>
  </r>
  <r>
    <s v="1423-3"/>
    <x v="1"/>
    <n v="6.4432989690721648E-4"/>
    <n v="0.73646907216494606"/>
    <n v="2"/>
    <n v="192.69"/>
    <n v="385.38"/>
    <n v="4.668884052621117E-5"/>
    <n v="0.99013269554117389"/>
    <x v="2"/>
  </r>
  <r>
    <s v="0758-4"/>
    <x v="4"/>
    <n v="6.4432989690721648E-4"/>
    <n v="0.73711340206185327"/>
    <n v="1"/>
    <n v="385.24"/>
    <n v="385.24"/>
    <n v="4.6671879506766286E-5"/>
    <n v="0.99017936742068069"/>
    <x v="2"/>
  </r>
  <r>
    <s v="0095-4"/>
    <x v="4"/>
    <n v="6.4432989690721648E-4"/>
    <n v="0.73775773195876049"/>
    <n v="10"/>
    <n v="38.450000000000003"/>
    <n v="384.5"/>
    <n v="4.6582228403986183E-5"/>
    <n v="0.99022594964908472"/>
    <x v="2"/>
  </r>
  <r>
    <s v="0378-8"/>
    <x v="5"/>
    <n v="6.4432989690721648E-4"/>
    <n v="0.7384020618556677"/>
    <n v="8"/>
    <n v="48.01"/>
    <n v="384.08"/>
    <n v="4.6531345345651522E-5"/>
    <n v="0.99027248099443033"/>
    <x v="2"/>
  </r>
  <r>
    <s v="1400-9"/>
    <x v="2"/>
    <n v="6.4432989690721648E-4"/>
    <n v="0.73904639175257492"/>
    <n v="1"/>
    <n v="382.38"/>
    <n v="382.38"/>
    <n v="4.632539010953507E-5"/>
    <n v="0.99031880638453984"/>
    <x v="2"/>
  </r>
  <r>
    <s v="1383-1"/>
    <x v="0"/>
    <n v="6.4432989690721648E-4"/>
    <n v="0.73969072164948213"/>
    <n v="1"/>
    <n v="380.09"/>
    <n v="380.09"/>
    <n v="4.6047956291472321E-5"/>
    <n v="0.99036485434083132"/>
    <x v="2"/>
  </r>
  <r>
    <s v="1373-2"/>
    <x v="6"/>
    <n v="6.4432989690721648E-4"/>
    <n v="0.74033505154638934"/>
    <n v="59"/>
    <n v="6.42"/>
    <n v="378.78"/>
    <n v="4.5889249609523759E-5"/>
    <n v="0.9904107435904409"/>
    <x v="2"/>
  </r>
  <r>
    <s v="1131-6"/>
    <x v="7"/>
    <n v="6.4432989690721648E-4"/>
    <n v="0.74097938144329656"/>
    <n v="81"/>
    <n v="4.67"/>
    <n v="378.27"/>
    <n v="4.5827463038688819E-5"/>
    <n v="0.99045657105347962"/>
    <x v="2"/>
  </r>
  <r>
    <s v="0994-7"/>
    <x v="3"/>
    <n v="6.4432989690721648E-4"/>
    <n v="0.74162371134020377"/>
    <n v="4"/>
    <n v="94.56"/>
    <n v="378.24"/>
    <n v="4.5823828534522062E-5"/>
    <n v="0.99050239488201419"/>
    <x v="2"/>
  </r>
  <r>
    <s v="1705-1"/>
    <x v="0"/>
    <n v="6.4432989690721648E-4"/>
    <n v="0.74226804123711099"/>
    <n v="1"/>
    <n v="377.19"/>
    <n v="377.19"/>
    <n v="4.5696620888685427E-5"/>
    <n v="0.99054809150290291"/>
    <x v="2"/>
  </r>
  <r>
    <s v="1586-4"/>
    <x v="4"/>
    <n v="6.4432989690721648E-4"/>
    <n v="0.7429123711340182"/>
    <n v="2"/>
    <n v="187.54"/>
    <n v="375.08"/>
    <n v="4.5440994095623241E-5"/>
    <n v="0.99059353249699855"/>
    <x v="2"/>
  </r>
  <r>
    <s v="0933-4"/>
    <x v="4"/>
    <n v="6.4432989690721648E-4"/>
    <n v="0.74355670103092542"/>
    <n v="13"/>
    <n v="28.85"/>
    <n v="375.05"/>
    <n v="4.5437359591456484E-5"/>
    <n v="0.99063896985659006"/>
    <x v="2"/>
  </r>
  <r>
    <s v="1848-4"/>
    <x v="4"/>
    <n v="6.4432989690721648E-4"/>
    <n v="0.74420103092783263"/>
    <n v="1"/>
    <n v="375.01"/>
    <n v="375.01"/>
    <n v="4.5432513585900799E-5"/>
    <n v="0.99068440237017596"/>
    <x v="2"/>
  </r>
  <r>
    <s v="0020-4"/>
    <x v="4"/>
    <n v="6.4432989690721648E-4"/>
    <n v="0.74484536082473984"/>
    <n v="1"/>
    <n v="374.5"/>
    <n v="374.5"/>
    <n v="4.5370727015065866E-5"/>
    <n v="0.99072977309719101"/>
    <x v="2"/>
  </r>
  <r>
    <s v="0967-4"/>
    <x v="4"/>
    <n v="6.4432989690721648E-4"/>
    <n v="0.74548969072164706"/>
    <n v="1"/>
    <n v="373.33"/>
    <n v="373.33"/>
    <n v="4.5228981352562182E-5"/>
    <n v="0.99077500207854352"/>
    <x v="2"/>
  </r>
  <r>
    <s v="1333-4"/>
    <x v="4"/>
    <n v="6.4432989690721648E-4"/>
    <n v="0.74613402061855427"/>
    <n v="1"/>
    <n v="373.23"/>
    <n v="373.23"/>
    <n v="4.5216866338672982E-5"/>
    <n v="0.99082021894488215"/>
    <x v="2"/>
  </r>
  <r>
    <s v="0573-5"/>
    <x v="8"/>
    <n v="6.4432989690721648E-4"/>
    <n v="0.74677835051546149"/>
    <n v="2"/>
    <n v="185.25"/>
    <n v="370.5"/>
    <n v="4.4886126459497737E-5"/>
    <n v="0.99086510507134162"/>
    <x v="2"/>
  </r>
  <r>
    <s v="0934-9"/>
    <x v="2"/>
    <n v="6.4432989690721648E-4"/>
    <n v="0.7474226804123687"/>
    <n v="1"/>
    <n v="369.17"/>
    <n v="369.17"/>
    <n v="4.4724996774771339E-5"/>
    <n v="0.99090983006811639"/>
    <x v="2"/>
  </r>
  <r>
    <s v="1398-5"/>
    <x v="8"/>
    <n v="6.4432989690721648E-4"/>
    <n v="0.74806701030927591"/>
    <n v="3"/>
    <n v="123.01"/>
    <n v="369.03000000000003"/>
    <n v="4.4708035755326454E-5"/>
    <n v="0.99095453810387168"/>
    <x v="2"/>
  </r>
  <r>
    <s v="0669-9"/>
    <x v="2"/>
    <n v="6.4432989690721648E-4"/>
    <n v="0.74871134020618313"/>
    <n v="1"/>
    <n v="368.9"/>
    <n v="368.9"/>
    <n v="4.4692286237270484E-5"/>
    <n v="0.99099923039010895"/>
    <x v="2"/>
  </r>
  <r>
    <s v="0179-9"/>
    <x v="2"/>
    <n v="6.4432989690721648E-4"/>
    <n v="0.74935567010309034"/>
    <n v="2"/>
    <n v="184.42"/>
    <n v="368.84"/>
    <n v="4.4685017228936963E-5"/>
    <n v="0.99104391540733794"/>
    <x v="2"/>
  </r>
  <r>
    <s v="1299-8"/>
    <x v="5"/>
    <n v="6.4432989690721648E-4"/>
    <n v="0.74999999999999756"/>
    <n v="14"/>
    <n v="26.28"/>
    <n v="367.92"/>
    <n v="4.4573559101156297E-5"/>
    <n v="0.99108848896643909"/>
    <x v="2"/>
  </r>
  <r>
    <s v="1295-8"/>
    <x v="5"/>
    <n v="6.4432989690721648E-4"/>
    <n v="0.75064432989690477"/>
    <n v="23"/>
    <n v="15.98"/>
    <n v="367.54"/>
    <n v="4.4527522048377328E-5"/>
    <n v="0.99113301648848751"/>
    <x v="2"/>
  </r>
  <r>
    <s v="1135-4"/>
    <x v="4"/>
    <n v="6.4432989690721648E-4"/>
    <n v="0.75128865979381199"/>
    <n v="1"/>
    <n v="367.38"/>
    <n v="367.38"/>
    <n v="4.4508138026154601E-5"/>
    <n v="0.99117752462651365"/>
    <x v="2"/>
  </r>
  <r>
    <s v="0947-9"/>
    <x v="2"/>
    <n v="6.4432989690721648E-4"/>
    <n v="0.7519329896907192"/>
    <n v="1"/>
    <n v="364.31"/>
    <n v="364.31"/>
    <n v="4.4136207099756058E-5"/>
    <n v="0.9912216608336134"/>
    <x v="2"/>
  </r>
  <r>
    <s v="0096-9"/>
    <x v="2"/>
    <n v="6.4432989690721648E-4"/>
    <n v="0.75257731958762641"/>
    <n v="2"/>
    <n v="181.5"/>
    <n v="363"/>
    <n v="4.3977500417807502E-5"/>
    <n v="0.99126563833403125"/>
    <x v="2"/>
  </r>
  <r>
    <s v="1601-2"/>
    <x v="6"/>
    <n v="6.4432989690721648E-4"/>
    <n v="0.75322164948453363"/>
    <n v="52"/>
    <n v="6.97"/>
    <n v="362.44"/>
    <n v="4.3909656340027963E-5"/>
    <n v="0.9913095479903713"/>
    <x v="2"/>
  </r>
  <r>
    <s v="0464-9"/>
    <x v="2"/>
    <n v="6.4432989690721648E-4"/>
    <n v="0.75386597938144084"/>
    <n v="1"/>
    <n v="362.01"/>
    <n v="362.01"/>
    <n v="4.3857561780304388E-5"/>
    <n v="0.99135340555215157"/>
    <x v="2"/>
  </r>
  <r>
    <s v="0128-1"/>
    <x v="0"/>
    <n v="6.4432989690721648E-4"/>
    <n v="0.75451030927834806"/>
    <n v="1"/>
    <n v="359.31"/>
    <n v="359.31"/>
    <n v="4.3530456405295906E-5"/>
    <n v="0.99139693600855683"/>
    <x v="2"/>
  </r>
  <r>
    <s v="0116-6"/>
    <x v="7"/>
    <n v="6.4432989690721648E-4"/>
    <n v="0.75515463917525527"/>
    <n v="4"/>
    <n v="89.81"/>
    <n v="359.24"/>
    <n v="4.3521975895573464E-5"/>
    <n v="0.99144045798445235"/>
    <x v="2"/>
  </r>
  <r>
    <s v="0159-9"/>
    <x v="2"/>
    <n v="6.4432989690721648E-4"/>
    <n v="0.75579896907216249"/>
    <n v="1"/>
    <n v="357.78"/>
    <n v="357.78"/>
    <n v="4.3345096692791089E-5"/>
    <n v="0.99148380308114514"/>
    <x v="2"/>
  </r>
  <r>
    <s v="0566-2"/>
    <x v="6"/>
    <n v="6.4432989690721648E-4"/>
    <n v="0.7564432989690697"/>
    <n v="82"/>
    <n v="4.3499999999999996"/>
    <n v="356.7"/>
    <n v="4.3214254542787696E-5"/>
    <n v="0.99152701733568793"/>
    <x v="2"/>
  </r>
  <r>
    <s v="0257-4"/>
    <x v="4"/>
    <n v="6.4432989690721648E-4"/>
    <n v="0.75708762886597691"/>
    <n v="1"/>
    <n v="356.66"/>
    <n v="356.66"/>
    <n v="4.3209408537232024E-5"/>
    <n v="0.99157022674422512"/>
    <x v="2"/>
  </r>
  <r>
    <s v="1090-9"/>
    <x v="2"/>
    <n v="6.4432989690721648E-4"/>
    <n v="0.75773195876288413"/>
    <n v="17"/>
    <n v="20.96"/>
    <n v="356.32"/>
    <n v="4.3168217490008727E-5"/>
    <n v="0.99161339496171519"/>
    <x v="2"/>
  </r>
  <r>
    <s v="0728-8"/>
    <x v="5"/>
    <n v="6.4432989690721648E-4"/>
    <n v="0.75837628865979134"/>
    <n v="9"/>
    <n v="39.4"/>
    <n v="354.59999999999997"/>
    <n v="4.2959839251114432E-5"/>
    <n v="0.99165635480096626"/>
    <x v="2"/>
  </r>
  <r>
    <s v="1217-6"/>
    <x v="7"/>
    <n v="6.4432989690721648E-4"/>
    <n v="0.75902061855669856"/>
    <n v="4"/>
    <n v="88.5"/>
    <n v="354"/>
    <n v="4.2887149167779214E-5"/>
    <n v="0.99169924195013404"/>
    <x v="2"/>
  </r>
  <r>
    <s v="1033-9"/>
    <x v="2"/>
    <n v="6.4432989690721648E-4"/>
    <n v="0.75966494845360577"/>
    <n v="1"/>
    <n v="353.45"/>
    <n v="353.45"/>
    <n v="4.2820516591388597E-5"/>
    <n v="0.99174206246672547"/>
    <x v="2"/>
  </r>
  <r>
    <s v="1406-8"/>
    <x v="5"/>
    <n v="6.4432989690721648E-4"/>
    <n v="0.76030927835051298"/>
    <n v="14"/>
    <n v="25.17"/>
    <n v="352.38"/>
    <n v="4.2690885942774125E-5"/>
    <n v="0.99178475335266825"/>
    <x v="2"/>
  </r>
  <r>
    <s v="0232-9"/>
    <x v="2"/>
    <n v="6.4432989690721648E-4"/>
    <n v="0.7609536082474202"/>
    <n v="2"/>
    <n v="175.12"/>
    <n v="350.24"/>
    <n v="4.2431624645545176E-5"/>
    <n v="0.99182718497731381"/>
    <x v="2"/>
  </r>
  <r>
    <s v="1857-4"/>
    <x v="4"/>
    <n v="6.4432989690721648E-4"/>
    <n v="0.76159793814432741"/>
    <n v="1"/>
    <n v="350.17"/>
    <n v="350.17"/>
    <n v="4.2423144135822733E-5"/>
    <n v="0.99186960812144964"/>
    <x v="2"/>
  </r>
  <r>
    <s v="0356-9"/>
    <x v="2"/>
    <n v="6.4432989690721648E-4"/>
    <n v="0.76224226804123463"/>
    <n v="2"/>
    <n v="175.06"/>
    <n v="350.12"/>
    <n v="4.2417086628878134E-5"/>
    <n v="0.99191202520807853"/>
    <x v="2"/>
  </r>
  <r>
    <s v="1115-1"/>
    <x v="0"/>
    <n v="6.4432989690721648E-4"/>
    <n v="0.76288659793814184"/>
    <n v="1"/>
    <n v="350.01"/>
    <n v="350.01"/>
    <n v="4.2403760113600006E-5"/>
    <n v="0.99195442896819208"/>
    <x v="2"/>
  </r>
  <r>
    <s v="0313-7"/>
    <x v="3"/>
    <n v="6.4432989690721648E-4"/>
    <n v="0.76353092783504906"/>
    <n v="2"/>
    <n v="173.95"/>
    <n v="347.9"/>
    <n v="4.214813332053782E-5"/>
    <n v="0.99199657710151257"/>
    <x v="2"/>
  </r>
  <r>
    <s v="0763-9"/>
    <x v="2"/>
    <n v="6.4432989690721648E-4"/>
    <n v="0.76417525773195627"/>
    <n v="1"/>
    <n v="347.71"/>
    <n v="347.71"/>
    <n v="4.2125114794148336E-5"/>
    <n v="0.99203870221630674"/>
    <x v="2"/>
  </r>
  <r>
    <s v="0063-1"/>
    <x v="0"/>
    <n v="6.4432989690721648E-4"/>
    <n v="0.76481958762886348"/>
    <n v="1"/>
    <n v="344.9"/>
    <n v="344.9"/>
    <n v="4.1784682903861727E-5"/>
    <n v="0.99208048689921058"/>
    <x v="2"/>
  </r>
  <r>
    <s v="0540-1"/>
    <x v="0"/>
    <n v="6.4432989690721648E-4"/>
    <n v="0.7654639175257707"/>
    <n v="1"/>
    <n v="344.48"/>
    <n v="344.48"/>
    <n v="4.1733799845527072E-5"/>
    <n v="0.99212222069905609"/>
    <x v="2"/>
  </r>
  <r>
    <s v="0117-8"/>
    <x v="5"/>
    <n v="6.4432989690721648E-4"/>
    <n v="0.76610824742267791"/>
    <n v="71"/>
    <n v="4.8499999999999996"/>
    <n v="344.34999999999997"/>
    <n v="4.1718050327471102E-5"/>
    <n v="0.99216393874938358"/>
    <x v="2"/>
  </r>
  <r>
    <s v="1157-9"/>
    <x v="2"/>
    <n v="6.4432989690721648E-4"/>
    <n v="0.76675257731958513"/>
    <n v="1"/>
    <n v="343.66"/>
    <n v="343.66"/>
    <n v="4.1634456731635607E-5"/>
    <n v="0.99220557320611524"/>
    <x v="2"/>
  </r>
  <r>
    <s v="1629-9"/>
    <x v="2"/>
    <n v="6.4432989690721648E-4"/>
    <n v="0.76739690721649234"/>
    <n v="4"/>
    <n v="85.85"/>
    <n v="343.4"/>
    <n v="4.1602957695523673E-5"/>
    <n v="0.99224717616381075"/>
    <x v="2"/>
  </r>
  <r>
    <s v="1080-7"/>
    <x v="3"/>
    <n v="6.4432989690721648E-4"/>
    <n v="0.76804123711339956"/>
    <n v="2"/>
    <n v="171.43"/>
    <n v="342.86"/>
    <n v="4.1537536620521983E-5"/>
    <n v="0.99228871370043126"/>
    <x v="2"/>
  </r>
  <r>
    <s v="0441-9"/>
    <x v="2"/>
    <n v="6.4432989690721648E-4"/>
    <n v="0.76868556701030677"/>
    <n v="1"/>
    <n v="341.74"/>
    <n v="341.74"/>
    <n v="4.1401848464962906E-5"/>
    <n v="0.99233011554889627"/>
    <x v="2"/>
  </r>
  <r>
    <s v="0546-3"/>
    <x v="1"/>
    <n v="6.4432989690721648E-4"/>
    <n v="0.76932989690721398"/>
    <n v="1"/>
    <n v="339.7"/>
    <n v="339.7"/>
    <n v="4.1154702181623162E-5"/>
    <n v="0.99237127025107785"/>
    <x v="2"/>
  </r>
  <r>
    <s v="1846-4"/>
    <x v="4"/>
    <n v="6.4432989690721648E-4"/>
    <n v="0.7699742268041212"/>
    <n v="1"/>
    <n v="338.86"/>
    <n v="338.86"/>
    <n v="4.1052936064953854E-5"/>
    <n v="0.99241232318714279"/>
    <x v="2"/>
  </r>
  <r>
    <s v="1318-1"/>
    <x v="0"/>
    <n v="6.4432989690721648E-4"/>
    <n v="0.77061855670102841"/>
    <n v="1"/>
    <n v="337.84"/>
    <n v="337.84"/>
    <n v="4.0929362923283982E-5"/>
    <n v="0.99245325255006611"/>
    <x v="2"/>
  </r>
  <r>
    <s v="1343-6"/>
    <x v="7"/>
    <n v="6.4432989690721648E-4"/>
    <n v="0.77126288659793563"/>
    <n v="10"/>
    <n v="33.729999999999997"/>
    <n v="337.29999999999995"/>
    <n v="4.0863941848282279E-5"/>
    <n v="0.99249411649191444"/>
    <x v="2"/>
  </r>
  <r>
    <s v="0292-8"/>
    <x v="5"/>
    <n v="6.4432989690721648E-4"/>
    <n v="0.77190721649484284"/>
    <n v="8"/>
    <n v="41.99"/>
    <n v="335.92"/>
    <n v="4.0696754656611281E-5"/>
    <n v="0.992534813246571"/>
    <x v="2"/>
  </r>
  <r>
    <s v="0144-4"/>
    <x v="4"/>
    <n v="6.4432989690721648E-4"/>
    <n v="0.77255154639175005"/>
    <n v="2"/>
    <n v="167.88"/>
    <n v="335.76"/>
    <n v="4.0677370634388554E-5"/>
    <n v="0.9925754906172054"/>
    <x v="2"/>
  </r>
  <r>
    <s v="0427-6"/>
    <x v="7"/>
    <n v="6.4432989690721648E-4"/>
    <n v="0.77319587628865727"/>
    <n v="9"/>
    <n v="37.28"/>
    <n v="335.52"/>
    <n v="4.064829460105447E-5"/>
    <n v="0.99261613891180644"/>
    <x v="2"/>
  </r>
  <r>
    <s v="0354-8"/>
    <x v="5"/>
    <n v="6.4432989690721648E-4"/>
    <n v="0.77384020618556448"/>
    <n v="6"/>
    <n v="55.76"/>
    <n v="334.56"/>
    <n v="4.0531990467718119E-5"/>
    <n v="0.99265667090227416"/>
    <x v="2"/>
  </r>
  <r>
    <s v="1668-4"/>
    <x v="4"/>
    <n v="6.4432989690721648E-4"/>
    <n v="0.7744845360824717"/>
    <n v="2"/>
    <n v="166.22"/>
    <n v="332.44"/>
    <n v="4.0275152173267012E-5"/>
    <n v="0.99269694605444747"/>
    <x v="2"/>
  </r>
  <r>
    <s v="0800-7"/>
    <x v="3"/>
    <n v="6.4432989690721648E-4"/>
    <n v="0.77512886597937891"/>
    <n v="2"/>
    <n v="165.96"/>
    <n v="331.92"/>
    <n v="4.0212154101043158E-5"/>
    <n v="0.99273715820854846"/>
    <x v="2"/>
  </r>
  <r>
    <s v="1805-2"/>
    <x v="6"/>
    <n v="6.4432989690721648E-4"/>
    <n v="0.77577319587628613"/>
    <n v="6"/>
    <n v="55.3"/>
    <n v="331.79999999999995"/>
    <n v="4.0197616084376103E-5"/>
    <n v="0.99277735582463289"/>
    <x v="2"/>
  </r>
  <r>
    <s v="1484-3"/>
    <x v="1"/>
    <n v="6.4432989690721648E-4"/>
    <n v="0.77641752577319334"/>
    <n v="1"/>
    <n v="331.6"/>
    <n v="331.6"/>
    <n v="4.0173386056597711E-5"/>
    <n v="0.99281752921068944"/>
    <x v="2"/>
  </r>
  <r>
    <s v="0318-8"/>
    <x v="5"/>
    <n v="6.4432989690721648E-4"/>
    <n v="0.77706185567010055"/>
    <n v="31"/>
    <n v="10.67"/>
    <n v="330.77"/>
    <n v="4.0072831441317317E-5"/>
    <n v="0.9928576020421308"/>
    <x v="2"/>
  </r>
  <r>
    <s v="1404-8"/>
    <x v="5"/>
    <n v="6.4432989690721648E-4"/>
    <n v="0.77770618556700777"/>
    <n v="37"/>
    <n v="8.93"/>
    <n v="330.40999999999997"/>
    <n v="4.0029217391316183E-5"/>
    <n v="0.99289763125952213"/>
    <x v="2"/>
  </r>
  <r>
    <s v="0365-4"/>
    <x v="4"/>
    <n v="6.4432989690721648E-4"/>
    <n v="0.77835051546391498"/>
    <n v="65"/>
    <n v="5.08"/>
    <n v="330.2"/>
    <n v="4.0003775862148856E-5"/>
    <n v="0.99293763503538424"/>
    <x v="2"/>
  </r>
  <r>
    <s v="0031-1"/>
    <x v="0"/>
    <n v="6.4432989690721648E-4"/>
    <n v="0.7789948453608222"/>
    <n v="1"/>
    <n v="329.71"/>
    <n v="329.71"/>
    <n v="3.994441229409176E-5"/>
    <n v="0.99297757944767828"/>
    <x v="2"/>
  </r>
  <r>
    <s v="1072-9"/>
    <x v="2"/>
    <n v="6.4432989690721648E-4"/>
    <n v="0.77963917525772941"/>
    <n v="1"/>
    <n v="328.86"/>
    <n v="328.86"/>
    <n v="3.9841434676033537E-5"/>
    <n v="0.99301742088235434"/>
    <x v="2"/>
  </r>
  <r>
    <s v="0581-6"/>
    <x v="7"/>
    <n v="6.4432989690721648E-4"/>
    <n v="0.78028350515463663"/>
    <n v="21"/>
    <n v="15.61"/>
    <n v="327.81"/>
    <n v="3.9714227030196908E-5"/>
    <n v="0.99305713510938454"/>
    <x v="2"/>
  </r>
  <r>
    <s v="0420-9"/>
    <x v="2"/>
    <n v="6.4432989690721648E-4"/>
    <n v="0.78092783505154384"/>
    <n v="3"/>
    <n v="109.19"/>
    <n v="327.57"/>
    <n v="3.9685150996862817E-5"/>
    <n v="0.99309682026038137"/>
    <x v="2"/>
  </r>
  <r>
    <s v="1645-8"/>
    <x v="5"/>
    <n v="6.4432989690721648E-4"/>
    <n v="0.78157216494845105"/>
    <n v="7"/>
    <n v="46.51"/>
    <n v="325.57"/>
    <n v="3.9442850719078752E-5"/>
    <n v="0.99313626311110048"/>
    <x v="2"/>
  </r>
  <r>
    <s v="0480-8"/>
    <x v="5"/>
    <n v="6.4432989690721648E-4"/>
    <n v="0.78221649484535827"/>
    <n v="12"/>
    <n v="26.99"/>
    <n v="323.88"/>
    <n v="3.9238106984351221E-5"/>
    <n v="0.99317550121808484"/>
    <x v="2"/>
  </r>
  <r>
    <s v="1547-1"/>
    <x v="0"/>
    <n v="6.4432989690721648E-4"/>
    <n v="0.78286082474226548"/>
    <n v="1"/>
    <n v="323.77"/>
    <n v="323.77"/>
    <n v="3.9224780469073093E-5"/>
    <n v="0.99321472599855387"/>
    <x v="2"/>
  </r>
  <r>
    <s v="0004-1"/>
    <x v="0"/>
    <n v="6.4432989690721648E-4"/>
    <n v="0.7835051546391727"/>
    <n v="1"/>
    <n v="322.11"/>
    <n v="322.11"/>
    <n v="3.9023671238512326E-5"/>
    <n v="0.99325374966979241"/>
    <x v="2"/>
  </r>
  <r>
    <s v="1458-3"/>
    <x v="1"/>
    <n v="6.4432989690721648E-4"/>
    <n v="0.78414948453607991"/>
    <n v="1"/>
    <n v="320.47000000000003"/>
    <n v="320.47000000000003"/>
    <n v="3.8824985010729394E-5"/>
    <n v="0.99329257465480314"/>
    <x v="2"/>
  </r>
  <r>
    <s v="1727-9"/>
    <x v="2"/>
    <n v="6.4432989690721648E-4"/>
    <n v="0.78479381443298712"/>
    <n v="1"/>
    <n v="319.52"/>
    <n v="319.52"/>
    <n v="3.8709892378781958E-5"/>
    <n v="0.99333128454718189"/>
    <x v="2"/>
  </r>
  <r>
    <s v="0323-5"/>
    <x v="8"/>
    <n v="6.4432989690721648E-4"/>
    <n v="0.78543814432989434"/>
    <n v="3"/>
    <n v="106.13"/>
    <n v="318.39"/>
    <n v="3.8572992721833966E-5"/>
    <n v="0.9933698575399037"/>
    <x v="2"/>
  </r>
  <r>
    <s v="1370-8"/>
    <x v="5"/>
    <n v="6.4432989690721648E-4"/>
    <n v="0.78608247422680155"/>
    <n v="10"/>
    <n v="31.55"/>
    <n v="315.5"/>
    <n v="3.8222868820435993E-5"/>
    <n v="0.99340808040872408"/>
    <x v="2"/>
  </r>
  <r>
    <s v="0595-9"/>
    <x v="2"/>
    <n v="6.4432989690721648E-4"/>
    <n v="0.78672680412370877"/>
    <n v="2"/>
    <n v="156.58000000000001"/>
    <n v="313.16000000000003"/>
    <n v="3.7939377495428644E-5"/>
    <n v="0.99344601978621949"/>
    <x v="2"/>
  </r>
  <r>
    <s v="1120-5"/>
    <x v="8"/>
    <n v="6.4432989690721648E-4"/>
    <n v="0.78737113402061598"/>
    <n v="5"/>
    <n v="62.53"/>
    <n v="312.64999999999998"/>
    <n v="3.7877590924593705E-5"/>
    <n v="0.99348389737714404"/>
    <x v="2"/>
  </r>
  <r>
    <s v="0064-9"/>
    <x v="2"/>
    <n v="6.4432989690721648E-4"/>
    <n v="0.7880154639175232"/>
    <n v="1"/>
    <n v="312.18"/>
    <n v="312.18"/>
    <n v="3.7820650359314451E-5"/>
    <n v="0.99352171802750333"/>
    <x v="2"/>
  </r>
  <r>
    <s v="0286-3"/>
    <x v="1"/>
    <n v="6.4432989690721648E-4"/>
    <n v="0.78865979381443041"/>
    <n v="1"/>
    <n v="310.89"/>
    <n v="310.89"/>
    <n v="3.7664366680143725E-5"/>
    <n v="0.99355938239418351"/>
    <x v="2"/>
  </r>
  <r>
    <s v="0777-9"/>
    <x v="2"/>
    <n v="6.4432989690721648E-4"/>
    <n v="0.78930412371133762"/>
    <n v="4"/>
    <n v="77.58"/>
    <n v="310.32"/>
    <n v="3.7595311100975271E-5"/>
    <n v="0.99359697770528443"/>
    <x v="2"/>
  </r>
  <r>
    <s v="1031-6"/>
    <x v="7"/>
    <n v="6.4432989690721648E-4"/>
    <n v="0.78994845360824484"/>
    <n v="26"/>
    <n v="11.93"/>
    <n v="310.18"/>
    <n v="3.7578350081530386E-5"/>
    <n v="0.99363455605536599"/>
    <x v="2"/>
  </r>
  <r>
    <s v="0225-1"/>
    <x v="0"/>
    <n v="6.4432989690721648E-4"/>
    <n v="0.79059278350515205"/>
    <n v="1"/>
    <n v="305.2"/>
    <n v="305.2"/>
    <n v="3.697502238984807E-5"/>
    <n v="0.99367153107775585"/>
    <x v="2"/>
  </r>
  <r>
    <s v="1546-1"/>
    <x v="0"/>
    <n v="6.4432989690721648E-4"/>
    <n v="0.79123711340205927"/>
    <n v="1"/>
    <n v="305.14"/>
    <n v="305.14"/>
    <n v="3.6967753381514543E-5"/>
    <n v="0.99370849883113732"/>
    <x v="2"/>
  </r>
  <r>
    <s v="0181-3"/>
    <x v="1"/>
    <n v="6.4432989690721648E-4"/>
    <n v="0.79188144329896648"/>
    <n v="1"/>
    <n v="304.63"/>
    <n v="304.63"/>
    <n v="3.690596681067961E-5"/>
    <n v="0.99374540479794804"/>
    <x v="2"/>
  </r>
  <r>
    <s v="1763-9"/>
    <x v="2"/>
    <n v="6.4432989690721648E-4"/>
    <n v="0.7925257731958737"/>
    <n v="1"/>
    <n v="303.91000000000003"/>
    <n v="303.91000000000003"/>
    <n v="3.6818738710677351E-5"/>
    <n v="0.99378222353665868"/>
    <x v="2"/>
  </r>
  <r>
    <s v="1463-2"/>
    <x v="6"/>
    <n v="6.4432989690721648E-4"/>
    <n v="0.79317010309278091"/>
    <n v="27"/>
    <n v="11.22"/>
    <n v="302.94"/>
    <n v="3.6701223075952079E-5"/>
    <n v="0.99381892475973466"/>
    <x v="2"/>
  </r>
  <r>
    <s v="1757-8"/>
    <x v="5"/>
    <n v="6.4432989690721648E-4"/>
    <n v="0.79381443298968812"/>
    <n v="5"/>
    <n v="60.55"/>
    <n v="302.75"/>
    <n v="3.6678204549562587E-5"/>
    <n v="0.99385560296428421"/>
    <x v="2"/>
  </r>
  <r>
    <s v="0411-1"/>
    <x v="0"/>
    <n v="6.4432989690721648E-4"/>
    <n v="0.79445876288659534"/>
    <n v="1"/>
    <n v="301.01"/>
    <n v="301.01"/>
    <n v="3.6467403307890456E-5"/>
    <n v="0.99389207036759208"/>
    <x v="2"/>
  </r>
  <r>
    <s v="1388-6"/>
    <x v="7"/>
    <n v="6.4432989690721648E-4"/>
    <n v="0.79510309278350255"/>
    <n v="7"/>
    <n v="42.94"/>
    <n v="300.58"/>
    <n v="3.6415308748166881E-5"/>
    <n v="0.99392848567634029"/>
    <x v="2"/>
  </r>
  <r>
    <s v="1443-8"/>
    <x v="5"/>
    <n v="6.4432989690721648E-4"/>
    <n v="0.79574742268040977"/>
    <n v="10"/>
    <n v="29.99"/>
    <n v="299.89999999999998"/>
    <n v="3.63329266537203E-5"/>
    <n v="0.99396481860299402"/>
    <x v="2"/>
  </r>
  <r>
    <s v="0106-4"/>
    <x v="4"/>
    <n v="6.4432989690721648E-4"/>
    <n v="0.79639175257731698"/>
    <n v="1"/>
    <n v="299.83999999999997"/>
    <n v="299.83999999999997"/>
    <n v="3.6325657645386779E-5"/>
    <n v="0.99400114426063946"/>
    <x v="2"/>
  </r>
  <r>
    <s v="0961-2"/>
    <x v="6"/>
    <n v="6.4432989690721648E-4"/>
    <n v="0.79703608247422419"/>
    <n v="6"/>
    <n v="49.69"/>
    <n v="298.14"/>
    <n v="3.6119702409270326E-5"/>
    <n v="0.9940372639630487"/>
    <x v="2"/>
  </r>
  <r>
    <s v="0200-7"/>
    <x v="3"/>
    <n v="6.4432989690721648E-4"/>
    <n v="0.79768041237113141"/>
    <n v="2"/>
    <n v="148.94999999999999"/>
    <n v="297.89999999999998"/>
    <n v="3.6090626375936235E-5"/>
    <n v="0.99407335458942458"/>
    <x v="2"/>
  </r>
  <r>
    <s v="1806-5"/>
    <x v="8"/>
    <n v="6.4432989690721648E-4"/>
    <n v="0.79832474226803862"/>
    <n v="9"/>
    <n v="33.020000000000003"/>
    <n v="297.18"/>
    <n v="3.6003398275933975E-5"/>
    <n v="0.9941093579877005"/>
    <x v="2"/>
  </r>
  <r>
    <s v="0740-8"/>
    <x v="5"/>
    <n v="6.4432989690721648E-4"/>
    <n v="0.79896907216494584"/>
    <n v="7"/>
    <n v="42.28"/>
    <n v="295.96000000000004"/>
    <n v="3.5855595106485698E-5"/>
    <n v="0.99414521358280694"/>
    <x v="2"/>
  </r>
  <r>
    <s v="1826-9"/>
    <x v="2"/>
    <n v="6.4432989690721648E-4"/>
    <n v="0.79961340206185305"/>
    <n v="3"/>
    <n v="97.77"/>
    <n v="293.31"/>
    <n v="3.5534547238421809E-5"/>
    <n v="0.99418074813004531"/>
    <x v="2"/>
  </r>
  <r>
    <s v="1207-7"/>
    <x v="3"/>
    <n v="6.4432989690721648E-4"/>
    <n v="0.80025773195876027"/>
    <n v="16"/>
    <n v="18.329999999999998"/>
    <n v="293.27999999999997"/>
    <n v="3.5530912734255045E-5"/>
    <n v="0.99421627904277954"/>
    <x v="2"/>
  </r>
  <r>
    <s v="0242-4"/>
    <x v="4"/>
    <n v="6.4432989690721648E-4"/>
    <n v="0.80090206185566748"/>
    <n v="1"/>
    <n v="291.49"/>
    <n v="291.49"/>
    <n v="3.5314053985638315E-5"/>
    <n v="0.99425159309676514"/>
    <x v="2"/>
  </r>
  <r>
    <s v="1644-9"/>
    <x v="2"/>
    <n v="6.4432989690721648E-4"/>
    <n v="0.80154639175257469"/>
    <n v="1"/>
    <n v="290.82"/>
    <n v="290.82"/>
    <n v="3.5232883392580655E-5"/>
    <n v="0.99428682598015772"/>
    <x v="2"/>
  </r>
  <r>
    <s v="1639-5"/>
    <x v="8"/>
    <n v="6.4432989690721648E-4"/>
    <n v="0.80219072164948191"/>
    <n v="4"/>
    <n v="72.59"/>
    <n v="290.36"/>
    <n v="3.5177154328690322E-5"/>
    <n v="0.99432200313448638"/>
    <x v="2"/>
  </r>
  <r>
    <s v="0536-7"/>
    <x v="3"/>
    <n v="6.4432989690721648E-4"/>
    <n v="0.80283505154638912"/>
    <n v="5"/>
    <n v="57.72"/>
    <n v="288.60000000000002"/>
    <n v="3.4963930084240348E-5"/>
    <n v="0.99435696706457066"/>
    <x v="2"/>
  </r>
  <r>
    <s v="0850-3"/>
    <x v="1"/>
    <n v="6.4432989690721648E-4"/>
    <n v="0.80347938144329634"/>
    <n v="2"/>
    <n v="143.58000000000001"/>
    <n v="287.16000000000003"/>
    <n v="3.4789473884235823E-5"/>
    <n v="0.99439175653845491"/>
    <x v="2"/>
  </r>
  <r>
    <s v="1786-9"/>
    <x v="2"/>
    <n v="6.4432989690721648E-4"/>
    <n v="0.80412371134020355"/>
    <n v="1"/>
    <n v="286.81"/>
    <n v="286.81"/>
    <n v="3.4747071335623604E-5"/>
    <n v="0.99442650360979057"/>
    <x v="2"/>
  </r>
  <r>
    <s v="0114-7"/>
    <x v="3"/>
    <n v="6.4432989690721648E-4"/>
    <n v="0.80476804123711076"/>
    <n v="4"/>
    <n v="71.66"/>
    <n v="286.64"/>
    <n v="3.4726475812011962E-5"/>
    <n v="0.99446123008560261"/>
    <x v="2"/>
  </r>
  <r>
    <s v="1252-5"/>
    <x v="8"/>
    <n v="6.4432989690721648E-4"/>
    <n v="0.80541237113401798"/>
    <n v="6"/>
    <n v="47.49"/>
    <n v="284.94"/>
    <n v="3.4520520575895509E-5"/>
    <n v="0.99449575060617845"/>
    <x v="2"/>
  </r>
  <r>
    <s v="0473-9"/>
    <x v="2"/>
    <n v="6.4432989690721648E-4"/>
    <n v="0.80605670103092519"/>
    <n v="1"/>
    <n v="284.08"/>
    <n v="284.08"/>
    <n v="3.4416331456448358E-5"/>
    <n v="0.99453016693763485"/>
    <x v="2"/>
  </r>
  <r>
    <s v="0774-4"/>
    <x v="4"/>
    <n v="6.4432989690721648E-4"/>
    <n v="0.80670103092783241"/>
    <n v="1"/>
    <n v="283.63"/>
    <n v="283.63"/>
    <n v="3.4361813893946947E-5"/>
    <n v="0.99456452875152879"/>
    <x v="2"/>
  </r>
  <r>
    <s v="0753-9"/>
    <x v="2"/>
    <n v="6.4432989690721648E-4"/>
    <n v="0.80734536082473962"/>
    <n v="1"/>
    <n v="281.5"/>
    <n v="281.5"/>
    <n v="3.4103764098106919E-5"/>
    <n v="0.99459863251562686"/>
    <x v="2"/>
  </r>
  <r>
    <s v="0472-7"/>
    <x v="3"/>
    <n v="6.4432989690721648E-4"/>
    <n v="0.80798969072164684"/>
    <n v="2"/>
    <n v="139.81"/>
    <n v="279.62"/>
    <n v="3.3876001836989896E-5"/>
    <n v="0.99463250851746388"/>
    <x v="2"/>
  </r>
  <r>
    <s v="0293-8"/>
    <x v="5"/>
    <n v="6.4432989690721648E-4"/>
    <n v="0.80863402061855405"/>
    <n v="5"/>
    <n v="55.8"/>
    <n v="279"/>
    <n v="3.3800888750876836E-5"/>
    <n v="0.9946663094062147"/>
    <x v="2"/>
  </r>
  <r>
    <s v="1426-8"/>
    <x v="5"/>
    <n v="6.4432989690721648E-4"/>
    <n v="0.80927835051546126"/>
    <n v="13"/>
    <n v="21.44"/>
    <n v="278.72000000000003"/>
    <n v="3.3766966711987073E-5"/>
    <n v="0.99470007637292668"/>
    <x v="2"/>
  </r>
  <r>
    <s v="0013-6"/>
    <x v="7"/>
    <n v="6.4432989690721648E-4"/>
    <n v="0.80992268041236848"/>
    <n v="4"/>
    <n v="69.38"/>
    <n v="277.52"/>
    <n v="3.3621586545316632E-5"/>
    <n v="0.99473369795947197"/>
    <x v="2"/>
  </r>
  <r>
    <s v="1199-8"/>
    <x v="5"/>
    <n v="6.4432989690721648E-4"/>
    <n v="0.81056701030927569"/>
    <n v="7"/>
    <n v="39.47"/>
    <n v="276.28999999999996"/>
    <n v="3.3472571874479426E-5"/>
    <n v="0.99476717053134645"/>
    <x v="2"/>
  </r>
  <r>
    <s v="1272-8"/>
    <x v="5"/>
    <n v="6.4432989690721648E-4"/>
    <n v="0.81121134020618291"/>
    <n v="14"/>
    <n v="19.71"/>
    <n v="275.94"/>
    <n v="3.3430169325867221E-5"/>
    <n v="0.99480060070067233"/>
    <x v="2"/>
  </r>
  <r>
    <s v="1533-5"/>
    <x v="8"/>
    <n v="6.4432989690721648E-4"/>
    <n v="0.81185567010309012"/>
    <n v="14"/>
    <n v="19.690000000000001"/>
    <n v="275.66000000000003"/>
    <n v="3.3396247286977459E-5"/>
    <n v="0.99483399694795926"/>
    <x v="2"/>
  </r>
  <r>
    <s v="1442-4"/>
    <x v="4"/>
    <n v="6.4432989690721648E-4"/>
    <n v="0.81249999999999734"/>
    <n v="1"/>
    <n v="274.85000000000002"/>
    <n v="274.85000000000002"/>
    <n v="3.3298115674474907E-5"/>
    <n v="0.99486729506363369"/>
    <x v="2"/>
  </r>
  <r>
    <s v="1092-8"/>
    <x v="5"/>
    <n v="6.4432989690721648E-4"/>
    <n v="0.81314432989690455"/>
    <n v="14"/>
    <n v="19.559999999999999"/>
    <n v="273.83999999999997"/>
    <n v="3.317575403419395E-5"/>
    <n v="0.99490047081766786"/>
    <x v="2"/>
  </r>
  <r>
    <s v="0610-8"/>
    <x v="5"/>
    <n v="6.4432989690721648E-4"/>
    <n v="0.81378865979381176"/>
    <n v="6"/>
    <n v="45.51"/>
    <n v="273.06"/>
    <n v="3.308125692585817E-5"/>
    <n v="0.99493355207459366"/>
    <x v="2"/>
  </r>
  <r>
    <s v="0507-6"/>
    <x v="7"/>
    <n v="6.4432989690721648E-4"/>
    <n v="0.81443298969071898"/>
    <n v="5"/>
    <n v="54.52"/>
    <n v="272.60000000000002"/>
    <n v="3.3025527861967837E-5"/>
    <n v="0.99496657760245566"/>
    <x v="2"/>
  </r>
  <r>
    <s v="0074-6"/>
    <x v="7"/>
    <n v="6.4432989690721648E-4"/>
    <n v="0.81507731958762619"/>
    <n v="20"/>
    <n v="13.61"/>
    <n v="272.2"/>
    <n v="3.2977067806411019E-5"/>
    <n v="0.99499955467026202"/>
    <x v="2"/>
  </r>
  <r>
    <s v="1218-8"/>
    <x v="5"/>
    <n v="6.4432989690721648E-4"/>
    <n v="0.81572164948453341"/>
    <n v="12"/>
    <n v="22.66"/>
    <n v="271.92"/>
    <n v="3.2943145767521256E-5"/>
    <n v="0.99503249781602954"/>
    <x v="2"/>
  </r>
  <r>
    <s v="1374-8"/>
    <x v="5"/>
    <n v="6.4432989690721648E-4"/>
    <n v="0.81636597938144062"/>
    <n v="9"/>
    <n v="30.1"/>
    <n v="270.90000000000003"/>
    <n v="3.2819572625851384E-5"/>
    <n v="0.99506531738865533"/>
    <x v="2"/>
  </r>
  <r>
    <s v="1349-6"/>
    <x v="7"/>
    <n v="6.4432989690721648E-4"/>
    <n v="0.81701030927834783"/>
    <n v="5"/>
    <n v="54.15"/>
    <n v="270.75"/>
    <n v="3.2801400105017578E-5"/>
    <n v="0.99509811878876031"/>
    <x v="2"/>
  </r>
  <r>
    <s v="0439-8"/>
    <x v="5"/>
    <n v="6.4432989690721648E-4"/>
    <n v="0.81765463917525505"/>
    <n v="5"/>
    <n v="54.09"/>
    <n v="270.45000000000005"/>
    <n v="3.2765055063349973E-5"/>
    <n v="0.99513088384382364"/>
    <x v="2"/>
  </r>
  <r>
    <s v="1241-4"/>
    <x v="4"/>
    <n v="6.4432989690721648E-4"/>
    <n v="0.81829896907216226"/>
    <n v="2"/>
    <n v="135.09"/>
    <n v="270.18"/>
    <n v="3.2732344525849118E-5"/>
    <n v="0.99516361618834948"/>
    <x v="2"/>
  </r>
  <r>
    <s v="0697-1"/>
    <x v="0"/>
    <n v="6.4432989690721648E-4"/>
    <n v="0.81894329896906948"/>
    <n v="1"/>
    <n v="268.43"/>
    <n v="268.43"/>
    <n v="3.2520331782788066E-5"/>
    <n v="0.99519613652013228"/>
    <x v="2"/>
  </r>
  <r>
    <s v="0397-6"/>
    <x v="7"/>
    <n v="6.4432989690721648E-4"/>
    <n v="0.81958762886597669"/>
    <n v="4"/>
    <n v="66.66"/>
    <n v="266.64"/>
    <n v="3.2303473034171328E-5"/>
    <n v="0.99522843999316646"/>
    <x v="2"/>
  </r>
  <r>
    <s v="1620-7"/>
    <x v="3"/>
    <n v="6.4432989690721648E-4"/>
    <n v="0.82023195876288391"/>
    <n v="3"/>
    <n v="88.77"/>
    <n v="266.31"/>
    <n v="3.2263493488336959E-5"/>
    <n v="0.99526070348665474"/>
    <x v="2"/>
  </r>
  <r>
    <s v="0772-7"/>
    <x v="3"/>
    <n v="6.4432989690721648E-4"/>
    <n v="0.82087628865979112"/>
    <n v="2"/>
    <n v="133.11000000000001"/>
    <n v="266.22000000000003"/>
    <n v="3.2252589975836674E-5"/>
    <n v="0.9952929560766306"/>
    <x v="2"/>
  </r>
  <r>
    <s v="1233-1"/>
    <x v="0"/>
    <n v="6.4432989690721648E-4"/>
    <n v="0.82152061855669833"/>
    <n v="1"/>
    <n v="265"/>
    <n v="265"/>
    <n v="3.2104786806388396E-5"/>
    <n v="0.99532506086343697"/>
    <x v="2"/>
  </r>
  <r>
    <s v="1001-9"/>
    <x v="2"/>
    <n v="6.4432989690721648E-4"/>
    <n v="0.82216494845360555"/>
    <n v="1"/>
    <n v="264.63"/>
    <n v="264.63"/>
    <n v="3.2059961254998342E-5"/>
    <n v="0.99535712082469197"/>
    <x v="2"/>
  </r>
  <r>
    <s v="1548-1"/>
    <x v="0"/>
    <n v="6.4432989690721648E-4"/>
    <n v="0.82280927835051276"/>
    <n v="1"/>
    <n v="264.48"/>
    <n v="264.48"/>
    <n v="3.2041788734164543E-5"/>
    <n v="0.99538916261342614"/>
    <x v="2"/>
  </r>
  <r>
    <s v="1696-4"/>
    <x v="4"/>
    <n v="6.4432989690721648E-4"/>
    <n v="0.82345360824741998"/>
    <n v="1"/>
    <n v="262.86"/>
    <n v="262.86"/>
    <n v="3.1845525509159447E-5"/>
    <n v="0.9954210081389353"/>
    <x v="2"/>
  </r>
  <r>
    <s v="1181-9"/>
    <x v="2"/>
    <n v="6.4432989690721648E-4"/>
    <n v="0.82409793814432719"/>
    <n v="1"/>
    <n v="262.27"/>
    <n v="262.27"/>
    <n v="3.1774046927213144E-5"/>
    <n v="0.99545278218586253"/>
    <x v="2"/>
  </r>
  <r>
    <s v="0469-1"/>
    <x v="0"/>
    <n v="6.4432989690721648E-4"/>
    <n v="0.82474226804123441"/>
    <n v="1"/>
    <n v="260.69"/>
    <n v="260.69"/>
    <n v="3.158262970776374E-5"/>
    <n v="0.99548436481557034"/>
    <x v="2"/>
  </r>
  <r>
    <s v="0508-8"/>
    <x v="5"/>
    <n v="6.4432989690721648E-4"/>
    <n v="0.82538659793814162"/>
    <n v="9"/>
    <n v="28.87"/>
    <n v="259.83"/>
    <n v="3.1478440588316589E-5"/>
    <n v="0.99551584325615861"/>
    <x v="2"/>
  </r>
  <r>
    <s v="0995-8"/>
    <x v="5"/>
    <n v="6.4432989690721648E-4"/>
    <n v="0.82603092783504883"/>
    <n v="7"/>
    <n v="37.03"/>
    <n v="259.21000000000004"/>
    <n v="3.1403327502203536E-5"/>
    <n v="0.99554724658366078"/>
    <x v="2"/>
  </r>
  <r>
    <s v="0481-5"/>
    <x v="8"/>
    <n v="6.4432989690721648E-4"/>
    <n v="0.82667525773195605"/>
    <n v="4"/>
    <n v="64.67"/>
    <n v="258.68"/>
    <n v="3.1339117928590754E-5"/>
    <n v="0.99557858570158941"/>
    <x v="2"/>
  </r>
  <r>
    <s v="0209-2"/>
    <x v="6"/>
    <n v="6.4432989690721648E-4"/>
    <n v="0.82731958762886326"/>
    <n v="31"/>
    <n v="8.33"/>
    <n v="258.23"/>
    <n v="3.1284600366089343E-5"/>
    <n v="0.99560987030195547"/>
    <x v="2"/>
  </r>
  <r>
    <s v="1873-6"/>
    <x v="7"/>
    <n v="6.4432989690721648E-4"/>
    <n v="0.82796391752577048"/>
    <n v="3"/>
    <n v="85.84"/>
    <n v="257.52"/>
    <n v="3.1198583767475998E-5"/>
    <n v="0.9956410688857229"/>
    <x v="2"/>
  </r>
  <r>
    <s v="0272-8"/>
    <x v="5"/>
    <n v="6.4432989690721648E-4"/>
    <n v="0.82860824742267769"/>
    <n v="5"/>
    <n v="51.43"/>
    <n v="257.14999999999998"/>
    <n v="3.1153758216085943E-5"/>
    <n v="0.99567222264393895"/>
    <x v="2"/>
  </r>
  <r>
    <s v="0544-1"/>
    <x v="0"/>
    <n v="6.4432989690721648E-4"/>
    <n v="0.8292525773195849"/>
    <n v="1"/>
    <n v="256.45999999999998"/>
    <n v="256.45999999999998"/>
    <n v="3.1070164620250441E-5"/>
    <n v="0.99570329280855918"/>
    <x v="2"/>
  </r>
  <r>
    <s v="0111-4"/>
    <x v="4"/>
    <n v="6.4432989690721648E-4"/>
    <n v="0.82989690721649212"/>
    <n v="4"/>
    <n v="63.87"/>
    <n v="255.48"/>
    <n v="3.0951437484136254E-5"/>
    <n v="0.99573424424604329"/>
    <x v="2"/>
  </r>
  <r>
    <s v="0761-8"/>
    <x v="5"/>
    <n v="6.4432989690721648E-4"/>
    <n v="0.83054123711339933"/>
    <n v="15"/>
    <n v="16.940000000000001"/>
    <n v="254.10000000000002"/>
    <n v="3.078425029246525E-5"/>
    <n v="0.99576502849633575"/>
    <x v="2"/>
  </r>
  <r>
    <s v="0289-2"/>
    <x v="6"/>
    <n v="6.4432989690721648E-4"/>
    <n v="0.83118556701030655"/>
    <n v="4"/>
    <n v="63.5"/>
    <n v="254"/>
    <n v="3.0772135278576043E-5"/>
    <n v="0.99579580063161433"/>
    <x v="2"/>
  </r>
  <r>
    <s v="0229-8"/>
    <x v="5"/>
    <n v="6.4432989690721648E-4"/>
    <n v="0.83182989690721376"/>
    <n v="15"/>
    <n v="16.93"/>
    <n v="253.95"/>
    <n v="3.0766077771631444E-5"/>
    <n v="0.99582656670938596"/>
    <x v="2"/>
  </r>
  <r>
    <s v="0192-4"/>
    <x v="4"/>
    <n v="6.4432989690721648E-4"/>
    <n v="0.83247422680412098"/>
    <n v="2"/>
    <n v="126.93"/>
    <n v="253.86"/>
    <n v="3.0755174259131165E-5"/>
    <n v="0.99585732188364506"/>
    <x v="2"/>
  </r>
  <r>
    <s v="1474-2"/>
    <x v="6"/>
    <n v="6.4432989690721648E-4"/>
    <n v="0.83311855670102819"/>
    <n v="9"/>
    <n v="27.95"/>
    <n v="251.54999999999998"/>
    <n v="3.0475317438290567E-5"/>
    <n v="0.99588779720108334"/>
    <x v="2"/>
  </r>
  <r>
    <s v="1461-5"/>
    <x v="8"/>
    <n v="6.4432989690721648E-4"/>
    <n v="0.8337628865979354"/>
    <n v="4"/>
    <n v="62.23"/>
    <n v="248.92"/>
    <n v="3.0156692573004525E-5"/>
    <n v="0.99591795389365634"/>
    <x v="2"/>
  </r>
  <r>
    <s v="0692-8"/>
    <x v="5"/>
    <n v="6.4432989690721648E-4"/>
    <n v="0.83440721649484262"/>
    <n v="7"/>
    <n v="35.53"/>
    <n v="248.71"/>
    <n v="3.0131251043837201E-5"/>
    <n v="0.99594808514470012"/>
    <x v="2"/>
  </r>
  <r>
    <s v="0246-5"/>
    <x v="8"/>
    <n v="6.4432989690721648E-4"/>
    <n v="0.83505154639174983"/>
    <n v="5"/>
    <n v="49.73"/>
    <n v="248.64999999999998"/>
    <n v="3.0123982035503673E-5"/>
    <n v="0.99597820912673563"/>
    <x v="2"/>
  </r>
  <r>
    <s v="1772-9"/>
    <x v="2"/>
    <n v="6.4432989690721648E-4"/>
    <n v="0.83569587628865705"/>
    <n v="6"/>
    <n v="40.880000000000003"/>
    <n v="245.28000000000003"/>
    <n v="2.9715706067437535E-5"/>
    <n v="0.99600792483280309"/>
    <x v="2"/>
  </r>
  <r>
    <s v="0626-7"/>
    <x v="3"/>
    <n v="6.4432989690721648E-4"/>
    <n v="0.83634020618556426"/>
    <n v="4"/>
    <n v="61.15"/>
    <n v="244.6"/>
    <n v="2.9633323972990947E-5"/>
    <n v="0.99603755815677608"/>
    <x v="2"/>
  </r>
  <r>
    <s v="0489-8"/>
    <x v="5"/>
    <n v="6.4432989690721648E-4"/>
    <n v="0.83698453608247148"/>
    <n v="28"/>
    <n v="8.7200000000000006"/>
    <n v="244.16000000000003"/>
    <n v="2.9580017911878457E-5"/>
    <n v="0.99606713817468795"/>
    <x v="2"/>
  </r>
  <r>
    <s v="1722-4"/>
    <x v="4"/>
    <n v="6.4432989690721648E-4"/>
    <n v="0.83762886597937869"/>
    <n v="1"/>
    <n v="242.99"/>
    <n v="242.99"/>
    <n v="2.9438272249374779E-5"/>
    <n v="0.99609657644693728"/>
    <x v="2"/>
  </r>
  <r>
    <s v="0903-8"/>
    <x v="5"/>
    <n v="6.4432989690721648E-4"/>
    <n v="0.8382731958762859"/>
    <n v="13"/>
    <n v="18.600000000000001"/>
    <n v="241.8"/>
    <n v="2.9294103584093262E-5"/>
    <n v="0.99612587055052138"/>
    <x v="2"/>
  </r>
  <r>
    <s v="1140-4"/>
    <x v="4"/>
    <n v="6.4432989690721648E-4"/>
    <n v="0.83891752577319312"/>
    <n v="1"/>
    <n v="239.49"/>
    <n v="239.49"/>
    <n v="2.9014246763252668E-5"/>
    <n v="0.99615488479728465"/>
    <x v="2"/>
  </r>
  <r>
    <s v="0103-9"/>
    <x v="2"/>
    <n v="6.4432989690721648E-4"/>
    <n v="0.83956185567010033"/>
    <n v="1"/>
    <n v="238.69"/>
    <n v="238.69"/>
    <n v="2.8917326652139041E-5"/>
    <n v="0.99618380212393676"/>
    <x v="2"/>
  </r>
  <r>
    <s v="1872-6"/>
    <x v="7"/>
    <n v="6.4432989690721648E-4"/>
    <n v="0.84020618556700755"/>
    <n v="4"/>
    <n v="59.37"/>
    <n v="237.48"/>
    <n v="2.8770734984079682E-5"/>
    <n v="0.99621257285892084"/>
    <x v="2"/>
  </r>
  <r>
    <s v="1431-6"/>
    <x v="7"/>
    <n v="6.4432989690721648E-4"/>
    <n v="0.84085051546391476"/>
    <n v="22"/>
    <n v="10.75"/>
    <n v="236.5"/>
    <n v="2.8652007847965492E-5"/>
    <n v="0.9962412248667688"/>
    <x v="2"/>
  </r>
  <r>
    <s v="1842-2"/>
    <x v="6"/>
    <n v="6.4432989690721648E-4"/>
    <n v="0.84149484536082197"/>
    <n v="7"/>
    <n v="33.69"/>
    <n v="235.82999999999998"/>
    <n v="2.8570837254907829E-5"/>
    <n v="0.99626979570402374"/>
    <x v="2"/>
  </r>
  <r>
    <s v="1733-4"/>
    <x v="4"/>
    <n v="6.4432989690721648E-4"/>
    <n v="0.84213917525772919"/>
    <n v="3"/>
    <n v="78.2"/>
    <n v="234.60000000000002"/>
    <n v="2.8421822584070633E-5"/>
    <n v="0.99629821752660785"/>
    <x v="2"/>
  </r>
  <r>
    <s v="1477-7"/>
    <x v="3"/>
    <n v="6.4432989690721648E-4"/>
    <n v="0.8427835051546364"/>
    <n v="1"/>
    <n v="233.47"/>
    <n v="233.47"/>
    <n v="2.8284922927122638E-5"/>
    <n v="0.99632650244953502"/>
    <x v="2"/>
  </r>
  <r>
    <s v="1661-4"/>
    <x v="4"/>
    <n v="6.4432989690721648E-4"/>
    <n v="0.84342783505154362"/>
    <n v="1"/>
    <n v="231.32"/>
    <n v="231.32"/>
    <n v="2.8024450128504767E-5"/>
    <n v="0.99635452689966353"/>
    <x v="2"/>
  </r>
  <r>
    <s v="0291-6"/>
    <x v="7"/>
    <n v="6.4432989690721648E-4"/>
    <n v="0.84407216494845083"/>
    <n v="5"/>
    <n v="46.26"/>
    <n v="231.29999999999998"/>
    <n v="2.8022027125726924E-5"/>
    <n v="0.99638254892678924"/>
    <x v="2"/>
  </r>
  <r>
    <s v="0528-3"/>
    <x v="1"/>
    <n v="6.4432989690721648E-4"/>
    <n v="0.84471649484535805"/>
    <n v="1"/>
    <n v="230.15"/>
    <n v="230.15"/>
    <n v="2.7882704466001092E-5"/>
    <n v="0.9964104316312552"/>
    <x v="2"/>
  </r>
  <r>
    <s v="0236-3"/>
    <x v="1"/>
    <n v="6.4432989690721648E-4"/>
    <n v="0.84536082474226526"/>
    <n v="3"/>
    <n v="76.709999999999994"/>
    <n v="230.13"/>
    <n v="2.788028146322325E-5"/>
    <n v="0.99643831191271848"/>
    <x v="2"/>
  </r>
  <r>
    <s v="0514-9"/>
    <x v="2"/>
    <n v="6.4432989690721648E-4"/>
    <n v="0.84600515463917247"/>
    <n v="1"/>
    <n v="228.33"/>
    <n v="228.33"/>
    <n v="2.7662211213217594E-5"/>
    <n v="0.99646597412393167"/>
    <x v="2"/>
  </r>
  <r>
    <s v="1046-5"/>
    <x v="8"/>
    <n v="6.4432989690721648E-4"/>
    <n v="0.84664948453607969"/>
    <n v="1"/>
    <n v="228.19"/>
    <n v="228.19"/>
    <n v="2.764525019377271E-5"/>
    <n v="0.99649361937412539"/>
    <x v="2"/>
  </r>
  <r>
    <s v="1847-3"/>
    <x v="1"/>
    <n v="6.4432989690721648E-4"/>
    <n v="0.8472938144329869"/>
    <n v="1"/>
    <n v="227.75"/>
    <n v="227.75"/>
    <n v="2.7591944132660216E-5"/>
    <n v="0.9965212113182581"/>
    <x v="2"/>
  </r>
  <r>
    <s v="1107-8"/>
    <x v="5"/>
    <n v="6.4432989690721648E-4"/>
    <n v="0.84793814432989412"/>
    <n v="22"/>
    <n v="10.34"/>
    <n v="227.48"/>
    <n v="2.7559233595159365E-5"/>
    <n v="0.99654877055185331"/>
    <x v="2"/>
  </r>
  <r>
    <s v="0223-9"/>
    <x v="2"/>
    <n v="6.4432989690721648E-4"/>
    <n v="0.84858247422680133"/>
    <n v="1"/>
    <n v="227.11"/>
    <n v="227.11"/>
    <n v="2.7514408043769317E-5"/>
    <n v="0.99657628495989703"/>
    <x v="2"/>
  </r>
  <r>
    <s v="1032-7"/>
    <x v="3"/>
    <n v="6.4432989690721648E-4"/>
    <n v="0.84922680412370855"/>
    <n v="2"/>
    <n v="112.96"/>
    <n v="225.92"/>
    <n v="2.7370239378487797E-5"/>
    <n v="0.99660365519927552"/>
    <x v="2"/>
  </r>
  <r>
    <s v="0719-5"/>
    <x v="8"/>
    <n v="6.4432989690721648E-4"/>
    <n v="0.84987113402061576"/>
    <n v="1"/>
    <n v="224.34"/>
    <n v="224.34"/>
    <n v="2.7178822159038386E-5"/>
    <n v="0.9966308340214346"/>
    <x v="2"/>
  </r>
  <r>
    <s v="1800-9"/>
    <x v="2"/>
    <n v="6.4432989690721648E-4"/>
    <n v="0.85051546391752297"/>
    <n v="1"/>
    <n v="222.14"/>
    <n v="222.14"/>
    <n v="2.6912291853475915E-5"/>
    <n v="0.99665774631328807"/>
    <x v="2"/>
  </r>
  <r>
    <s v="0699-8"/>
    <x v="5"/>
    <n v="6.4432989690721648E-4"/>
    <n v="0.85115979381443019"/>
    <n v="4"/>
    <n v="55.34"/>
    <n v="221.36"/>
    <n v="2.6817794745140135E-5"/>
    <n v="0.99668456410803319"/>
    <x v="2"/>
  </r>
  <r>
    <s v="1636-2"/>
    <x v="6"/>
    <n v="6.4432989690721648E-4"/>
    <n v="0.8518041237113374"/>
    <n v="3"/>
    <n v="72.66"/>
    <n v="217.98"/>
    <n v="2.6408307275685065E-5"/>
    <n v="0.99671097241530893"/>
    <x v="2"/>
  </r>
  <r>
    <s v="1535-4"/>
    <x v="4"/>
    <n v="6.4432989690721648E-4"/>
    <n v="0.85244845360824462"/>
    <n v="1"/>
    <n v="217.59"/>
    <n v="217.59"/>
    <n v="2.6361058721517175E-5"/>
    <n v="0.99673733347403048"/>
    <x v="2"/>
  </r>
  <r>
    <s v="1437-4"/>
    <x v="4"/>
    <n v="6.4432989690721648E-4"/>
    <n v="0.85309278350515183"/>
    <n v="8"/>
    <n v="27.15"/>
    <n v="217.2"/>
    <n v="2.6313810167349278E-5"/>
    <n v="0.99676364728419786"/>
    <x v="2"/>
  </r>
  <r>
    <s v="1116-4"/>
    <x v="4"/>
    <n v="6.4432989690721648E-4"/>
    <n v="0.85373711340205904"/>
    <n v="6"/>
    <n v="36.11"/>
    <n v="216.66"/>
    <n v="2.6248389092347582E-5"/>
    <n v="0.99678989567329024"/>
    <x v="2"/>
  </r>
  <r>
    <s v="0756-7"/>
    <x v="3"/>
    <n v="6.4432989690721648E-4"/>
    <n v="0.85438144329896626"/>
    <n v="7"/>
    <n v="30.78"/>
    <n v="215.46"/>
    <n v="2.6103008925677147E-5"/>
    <n v="0.99681599868221593"/>
    <x v="2"/>
  </r>
  <r>
    <s v="0036-8"/>
    <x v="5"/>
    <n v="6.4432989690721648E-4"/>
    <n v="0.85502577319587347"/>
    <n v="9"/>
    <n v="23.66"/>
    <n v="212.94"/>
    <n v="2.5797710575669225E-5"/>
    <n v="0.99684179639279158"/>
    <x v="2"/>
  </r>
  <r>
    <s v="1652-5"/>
    <x v="8"/>
    <n v="6.4432989690721648E-4"/>
    <n v="0.85567010309278069"/>
    <n v="1"/>
    <n v="212.43"/>
    <n v="212.43"/>
    <n v="2.5735924004834289E-5"/>
    <n v="0.99686753231679637"/>
    <x v="2"/>
  </r>
  <r>
    <s v="0854-8"/>
    <x v="5"/>
    <n v="6.4432989690721648E-4"/>
    <n v="0.8563144329896879"/>
    <n v="5"/>
    <n v="42.32"/>
    <n v="211.6"/>
    <n v="2.5635369389553902E-5"/>
    <n v="0.99689316768618597"/>
    <x v="2"/>
  </r>
  <r>
    <s v="0836-4"/>
    <x v="4"/>
    <n v="6.4432989690721648E-4"/>
    <n v="0.85695876288659512"/>
    <n v="1"/>
    <n v="211.52"/>
    <n v="211.52"/>
    <n v="2.5625677378442542E-5"/>
    <n v="0.99691879336356437"/>
    <x v="2"/>
  </r>
  <r>
    <s v="0394-9"/>
    <x v="2"/>
    <n v="6.4432989690721648E-4"/>
    <n v="0.85760309278350233"/>
    <n v="1"/>
    <n v="209.91"/>
    <n v="209.91"/>
    <n v="2.5430625654826371E-5"/>
    <n v="0.99694422398921922"/>
    <x v="2"/>
  </r>
  <r>
    <s v="0693-6"/>
    <x v="7"/>
    <n v="6.4432989690721648E-4"/>
    <n v="0.85824742268040954"/>
    <n v="2"/>
    <n v="104.15"/>
    <n v="208.3"/>
    <n v="2.52355739312102E-5"/>
    <n v="0.99696945956315042"/>
    <x v="2"/>
  </r>
  <r>
    <s v="0653-5"/>
    <x v="8"/>
    <n v="6.4432989690721648E-4"/>
    <n v="0.85889175257731676"/>
    <n v="1"/>
    <n v="206.76"/>
    <n v="206.76"/>
    <n v="2.5049002717316467E-5"/>
    <n v="0.99699450856586769"/>
    <x v="2"/>
  </r>
  <r>
    <s v="0791-7"/>
    <x v="3"/>
    <n v="6.4432989690721648E-4"/>
    <n v="0.85953608247422397"/>
    <n v="1"/>
    <n v="205.68"/>
    <n v="205.68"/>
    <n v="2.4918160567313078E-5"/>
    <n v="0.99701942672643495"/>
    <x v="2"/>
  </r>
  <r>
    <s v="0631-5"/>
    <x v="8"/>
    <n v="6.4432989690721648E-4"/>
    <n v="0.86018041237113119"/>
    <n v="13"/>
    <n v="15.79"/>
    <n v="205.26999999999998"/>
    <n v="2.4868489010367342E-5"/>
    <n v="0.99704429521544535"/>
    <x v="2"/>
  </r>
  <r>
    <s v="0704-7"/>
    <x v="3"/>
    <n v="6.4432989690721648E-4"/>
    <n v="0.8608247422680384"/>
    <n v="8"/>
    <n v="25.52"/>
    <n v="204.16"/>
    <n v="2.4734012356197189E-5"/>
    <n v="0.9970690292278015"/>
    <x v="2"/>
  </r>
  <r>
    <s v="1324-7"/>
    <x v="3"/>
    <n v="6.4432989690721648E-4"/>
    <n v="0.86146907216494562"/>
    <n v="2"/>
    <n v="101.3"/>
    <n v="202.6"/>
    <n v="2.4545018139525617E-5"/>
    <n v="0.99709357424594103"/>
    <x v="2"/>
  </r>
  <r>
    <s v="1093-9"/>
    <x v="2"/>
    <n v="6.4432989690721648E-4"/>
    <n v="0.86211340206185283"/>
    <n v="2"/>
    <n v="100.34"/>
    <n v="200.68"/>
    <n v="2.431240987285292E-5"/>
    <n v="0.99711788665581391"/>
    <x v="2"/>
  </r>
  <r>
    <s v="1395-3"/>
    <x v="1"/>
    <n v="6.4432989690721648E-4"/>
    <n v="0.86275773195876004"/>
    <n v="2"/>
    <n v="100.28"/>
    <n v="200.56"/>
    <n v="2.4297871856185874E-5"/>
    <n v="0.99714218452767012"/>
    <x v="2"/>
  </r>
  <r>
    <s v="0165-9"/>
    <x v="2"/>
    <n v="6.4432989690721648E-4"/>
    <n v="0.86340206185566726"/>
    <n v="2"/>
    <n v="100.04"/>
    <n v="200.08"/>
    <n v="2.4239719789517699E-5"/>
    <n v="0.9971664242474596"/>
    <x v="2"/>
  </r>
  <r>
    <s v="0399-8"/>
    <x v="5"/>
    <n v="6.4432989690721648E-4"/>
    <n v="0.86404639175257447"/>
    <n v="6"/>
    <n v="33.32"/>
    <n v="199.92000000000002"/>
    <n v="2.4220335767294975E-5"/>
    <n v="0.99719064458322693"/>
    <x v="2"/>
  </r>
  <r>
    <s v="0732-6"/>
    <x v="7"/>
    <n v="6.4432989690721648E-4"/>
    <n v="0.86469072164948169"/>
    <n v="8"/>
    <n v="24.99"/>
    <n v="199.92"/>
    <n v="2.4220335767294971E-5"/>
    <n v="0.99721486491899425"/>
    <x v="2"/>
  </r>
  <r>
    <s v="1052-5"/>
    <x v="8"/>
    <n v="6.4432989690721648E-4"/>
    <n v="0.8653350515463889"/>
    <n v="1"/>
    <n v="199.83"/>
    <n v="199.83"/>
    <n v="2.4209432254794693E-5"/>
    <n v="0.99723907435124903"/>
    <x v="2"/>
  </r>
  <r>
    <s v="0377-8"/>
    <x v="5"/>
    <n v="6.4432989690721648E-4"/>
    <n v="0.86597938144329611"/>
    <n v="3"/>
    <n v="65.89"/>
    <n v="197.67000000000002"/>
    <n v="2.3947747954787904E-5"/>
    <n v="0.99726302209920381"/>
    <x v="2"/>
  </r>
  <r>
    <s v="1581-8"/>
    <x v="5"/>
    <n v="6.4432989690721648E-4"/>
    <n v="0.86662371134020333"/>
    <n v="23"/>
    <n v="8.59"/>
    <n v="197.57"/>
    <n v="2.3935632940898698E-5"/>
    <n v="0.99728695773214471"/>
    <x v="2"/>
  </r>
  <r>
    <s v="0852-8"/>
    <x v="5"/>
    <n v="6.4432989690721648E-4"/>
    <n v="0.86726804123711054"/>
    <n v="13"/>
    <n v="15.14"/>
    <n v="196.82"/>
    <n v="2.3844770336729675E-5"/>
    <n v="0.99731080250248139"/>
    <x v="2"/>
  </r>
  <r>
    <s v="1867-9"/>
    <x v="2"/>
    <n v="6.4432989690721648E-4"/>
    <n v="0.86791237113401776"/>
    <n v="1"/>
    <n v="195.07"/>
    <n v="195.07"/>
    <n v="2.3632757593668619E-5"/>
    <n v="0.99733443526007504"/>
    <x v="2"/>
  </r>
  <r>
    <s v="0407-2"/>
    <x v="6"/>
    <n v="6.4432989690721648E-4"/>
    <n v="0.86855670103092497"/>
    <n v="5"/>
    <n v="38.94"/>
    <n v="194.7"/>
    <n v="2.3587932042278568E-5"/>
    <n v="0.9973580231921173"/>
    <x v="2"/>
  </r>
  <r>
    <s v="1525-8"/>
    <x v="5"/>
    <n v="6.4432989690721648E-4"/>
    <n v="0.86920103092783219"/>
    <n v="3"/>
    <n v="64.62"/>
    <n v="193.86"/>
    <n v="2.3486165925609263E-5"/>
    <n v="0.99738150935804293"/>
    <x v="2"/>
  </r>
  <r>
    <s v="1229-9"/>
    <x v="2"/>
    <n v="6.4432989690721648E-4"/>
    <n v="0.8698453608247394"/>
    <n v="1"/>
    <n v="193.11"/>
    <n v="193.11"/>
    <n v="2.3395303321440239E-5"/>
    <n v="0.99740490466136433"/>
    <x v="2"/>
  </r>
  <r>
    <s v="1624-9"/>
    <x v="2"/>
    <n v="6.4432989690721648E-4"/>
    <n v="0.87048969072164661"/>
    <n v="1"/>
    <n v="193.08"/>
    <n v="193.08"/>
    <n v="2.3391668817273479E-5"/>
    <n v="0.9974282963301816"/>
    <x v="2"/>
  </r>
  <r>
    <s v="1227-8"/>
    <x v="5"/>
    <n v="6.4432989690721648E-4"/>
    <n v="0.87113402061855383"/>
    <n v="6"/>
    <n v="32.18"/>
    <n v="193.07999999999998"/>
    <n v="2.3391668817273475E-5"/>
    <n v="0.99745168799899886"/>
    <x v="2"/>
  </r>
  <r>
    <s v="0688-5"/>
    <x v="8"/>
    <n v="6.4432989690721648E-4"/>
    <n v="0.87177835051546104"/>
    <n v="1"/>
    <n v="192.93"/>
    <n v="192.93"/>
    <n v="2.3373496296439673E-5"/>
    <n v="0.9974750614952953"/>
    <x v="2"/>
  </r>
  <r>
    <s v="1002-5"/>
    <x v="8"/>
    <n v="6.4432989690721648E-4"/>
    <n v="0.87242268041236826"/>
    <n v="3"/>
    <n v="63.96"/>
    <n v="191.88"/>
    <n v="2.3246288650603037E-5"/>
    <n v="0.99749830778394588"/>
    <x v="2"/>
  </r>
  <r>
    <s v="0553-6"/>
    <x v="7"/>
    <n v="6.4432989690721648E-4"/>
    <n v="0.87306701030927547"/>
    <n v="10"/>
    <n v="19.100000000000001"/>
    <n v="191"/>
    <n v="2.313967652837805E-5"/>
    <n v="0.99752144746047422"/>
    <x v="2"/>
  </r>
  <r>
    <s v="1357-7"/>
    <x v="3"/>
    <n v="6.4432989690721648E-4"/>
    <n v="0.87371134020618269"/>
    <n v="13"/>
    <n v="14.62"/>
    <n v="190.06"/>
    <n v="2.3025795397819542E-5"/>
    <n v="0.99754447325587203"/>
    <x v="2"/>
  </r>
  <r>
    <s v="0998-6"/>
    <x v="7"/>
    <n v="6.4432989690721648E-4"/>
    <n v="0.8743556701030899"/>
    <n v="7"/>
    <n v="27.06"/>
    <n v="189.42"/>
    <n v="2.294825930892864E-5"/>
    <n v="0.99756742151518096"/>
    <x v="2"/>
  </r>
  <r>
    <s v="0499-4"/>
    <x v="4"/>
    <n v="6.4432989690721648E-4"/>
    <n v="0.87499999999999711"/>
    <n v="1"/>
    <n v="187.9"/>
    <n v="187.9"/>
    <n v="2.2764111097812754E-5"/>
    <n v="0.99759018562627877"/>
    <x v="2"/>
  </r>
  <r>
    <s v="0627-6"/>
    <x v="7"/>
    <n v="6.4432989690721648E-4"/>
    <n v="0.87564432989690433"/>
    <n v="8"/>
    <n v="23.47"/>
    <n v="187.76"/>
    <n v="2.2747150078367866E-5"/>
    <n v="0.9976129327763571"/>
    <x v="2"/>
  </r>
  <r>
    <s v="0985-4"/>
    <x v="4"/>
    <n v="6.4432989690721648E-4"/>
    <n v="0.87628865979381154"/>
    <n v="1"/>
    <n v="187.44"/>
    <n v="187.44"/>
    <n v="2.2708382033922418E-5"/>
    <n v="0.99763564115839098"/>
    <x v="2"/>
  </r>
  <r>
    <s v="1356-5"/>
    <x v="8"/>
    <n v="6.4432989690721648E-4"/>
    <n v="0.87693298969071876"/>
    <n v="1"/>
    <n v="187.28"/>
    <n v="187.28"/>
    <n v="2.2688998011699694E-5"/>
    <n v="0.99765833015640271"/>
    <x v="2"/>
  </r>
  <r>
    <s v="0952-8"/>
    <x v="5"/>
    <n v="6.4432989690721648E-4"/>
    <n v="0.87757731958762597"/>
    <n v="4"/>
    <n v="46.5"/>
    <n v="186"/>
    <n v="2.2533925833917892E-5"/>
    <n v="0.99768086408223666"/>
    <x v="2"/>
  </r>
  <r>
    <s v="0805-3"/>
    <x v="1"/>
    <n v="6.4432989690721648E-4"/>
    <n v="0.87822164948453318"/>
    <n v="1"/>
    <n v="185.68"/>
    <n v="185.68"/>
    <n v="2.2495157789472444E-5"/>
    <n v="0.99770335924002618"/>
    <x v="2"/>
  </r>
  <r>
    <s v="0395-8"/>
    <x v="5"/>
    <n v="6.4432989690721648E-4"/>
    <n v="0.8788659793814404"/>
    <n v="3"/>
    <n v="61.82"/>
    <n v="185.46"/>
    <n v="2.2468504758916196E-5"/>
    <n v="0.99772582774478513"/>
    <x v="2"/>
  </r>
  <r>
    <s v="1855-4"/>
    <x v="4"/>
    <n v="6.4432989690721648E-4"/>
    <n v="0.87951030927834761"/>
    <n v="1"/>
    <n v="185.22"/>
    <n v="185.22"/>
    <n v="2.2439428725582108E-5"/>
    <n v="0.99774826717351073"/>
    <x v="2"/>
  </r>
  <r>
    <s v="0512-7"/>
    <x v="3"/>
    <n v="6.4432989690721648E-4"/>
    <n v="0.88015463917525483"/>
    <n v="1"/>
    <n v="184.11"/>
    <n v="184.11"/>
    <n v="2.2304952071411955E-5"/>
    <n v="0.99777057212558218"/>
    <x v="2"/>
  </r>
  <r>
    <s v="1737-8"/>
    <x v="5"/>
    <n v="6.4432989690721648E-4"/>
    <n v="0.88079896907216204"/>
    <n v="7"/>
    <n v="26.28"/>
    <n v="183.96"/>
    <n v="2.2286779550578149E-5"/>
    <n v="0.99779285890513281"/>
    <x v="2"/>
  </r>
  <r>
    <s v="0254-6"/>
    <x v="7"/>
    <n v="6.4432989690721648E-4"/>
    <n v="0.88144329896906926"/>
    <n v="4"/>
    <n v="45.97"/>
    <n v="183.88"/>
    <n v="2.2277087539466785E-5"/>
    <n v="0.99781513599267224"/>
    <x v="2"/>
  </r>
  <r>
    <s v="0957-5"/>
    <x v="8"/>
    <n v="6.4432989690721648E-4"/>
    <n v="0.88208762886597647"/>
    <n v="1"/>
    <n v="182.35"/>
    <n v="182.35"/>
    <n v="2.2091727826961978E-5"/>
    <n v="0.99783722772049921"/>
    <x v="2"/>
  </r>
  <r>
    <s v="0075-5"/>
    <x v="8"/>
    <n v="6.4432989690721648E-4"/>
    <n v="0.88273195876288368"/>
    <n v="2"/>
    <n v="90.82"/>
    <n v="181.64"/>
    <n v="2.2005711228348633E-5"/>
    <n v="0.99785923343172755"/>
    <x v="2"/>
  </r>
  <r>
    <s v="0574-6"/>
    <x v="7"/>
    <n v="6.4432989690721648E-4"/>
    <n v="0.8833762886597909"/>
    <n v="2"/>
    <n v="90.76"/>
    <n v="181.52"/>
    <n v="2.199117321168159E-5"/>
    <n v="0.99788122460493922"/>
    <x v="2"/>
  </r>
  <r>
    <s v="1057-6"/>
    <x v="7"/>
    <n v="6.4432989690721648E-4"/>
    <n v="0.88402061855669811"/>
    <n v="2"/>
    <n v="90.66"/>
    <n v="181.32"/>
    <n v="2.1966943183903185E-5"/>
    <n v="0.99790319154812313"/>
    <x v="2"/>
  </r>
  <r>
    <s v="1559-8"/>
    <x v="5"/>
    <n v="6.4432989690721648E-4"/>
    <n v="0.88466494845360533"/>
    <n v="4"/>
    <n v="45.2"/>
    <n v="180.8"/>
    <n v="2.1903945111679328E-5"/>
    <n v="0.99792509549323483"/>
    <x v="2"/>
  </r>
  <r>
    <s v="0965-7"/>
    <x v="3"/>
    <n v="6.4432989690721648E-4"/>
    <n v="0.88530927835051254"/>
    <n v="5"/>
    <n v="36.130000000000003"/>
    <n v="180.65"/>
    <n v="2.1885772590845525E-5"/>
    <n v="0.99794698126582571"/>
    <x v="2"/>
  </r>
  <r>
    <s v="0894-2"/>
    <x v="6"/>
    <n v="6.4432989690721648E-4"/>
    <n v="0.88595360824741975"/>
    <n v="5"/>
    <n v="35.299999999999997"/>
    <n v="176.5"/>
    <n v="2.1382999514443593E-5"/>
    <n v="0.99796836426534019"/>
    <x v="2"/>
  </r>
  <r>
    <s v="1703-2"/>
    <x v="6"/>
    <n v="6.4432989690721648E-4"/>
    <n v="0.88659793814432697"/>
    <n v="2"/>
    <n v="88.25"/>
    <n v="176.5"/>
    <n v="2.1382999514443593E-5"/>
    <n v="0.99798974726485468"/>
    <x v="2"/>
  </r>
  <r>
    <s v="0638-7"/>
    <x v="3"/>
    <n v="6.4432989690721648E-4"/>
    <n v="0.88724226804123418"/>
    <n v="2"/>
    <n v="88.21"/>
    <n v="176.42"/>
    <n v="2.1373307503332229E-5"/>
    <n v="0.99801112057235797"/>
    <x v="2"/>
  </r>
  <r>
    <s v="0949-3"/>
    <x v="1"/>
    <n v="6.4432989690721648E-4"/>
    <n v="0.8878865979381414"/>
    <n v="1"/>
    <n v="176.21"/>
    <n v="176.21"/>
    <n v="2.1347865974164902E-5"/>
    <n v="0.99803246843833215"/>
    <x v="2"/>
  </r>
  <r>
    <s v="0137-7"/>
    <x v="3"/>
    <n v="6.4432989690721648E-4"/>
    <n v="0.88853092783504861"/>
    <n v="3"/>
    <n v="58.12"/>
    <n v="174.35999999999999"/>
    <n v="2.1123738217214643E-5"/>
    <n v="0.99805359217654932"/>
    <x v="2"/>
  </r>
  <r>
    <s v="0158-7"/>
    <x v="3"/>
    <n v="6.4432989690721648E-4"/>
    <n v="0.88917525773195583"/>
    <n v="3"/>
    <n v="57.89"/>
    <n v="173.67000000000002"/>
    <n v="2.1040144621379144E-5"/>
    <n v="0.99807463232117066"/>
    <x v="2"/>
  </r>
  <r>
    <s v="1653-5"/>
    <x v="8"/>
    <n v="6.4432989690721648E-4"/>
    <n v="0.88981958762886304"/>
    <n v="1"/>
    <n v="172.48"/>
    <n v="172.48"/>
    <n v="2.0895975956097624E-5"/>
    <n v="0.99809552829712678"/>
    <x v="2"/>
  </r>
  <r>
    <s v="0701-8"/>
    <x v="5"/>
    <n v="6.4432989690721648E-4"/>
    <n v="0.89046391752577025"/>
    <n v="4"/>
    <n v="42.76"/>
    <n v="171.04"/>
    <n v="2.0721519756093098E-5"/>
    <n v="0.99811624981688285"/>
    <x v="2"/>
  </r>
  <r>
    <s v="1588-9"/>
    <x v="2"/>
    <n v="6.4432989690721648E-4"/>
    <n v="0.89110824742267747"/>
    <n v="4"/>
    <n v="42.53"/>
    <n v="170.12"/>
    <n v="2.0610061628312429E-5"/>
    <n v="0.9981368598785112"/>
    <x v="2"/>
  </r>
  <r>
    <s v="0517-8"/>
    <x v="5"/>
    <n v="6.4432989690721648E-4"/>
    <n v="0.89175257731958468"/>
    <n v="3"/>
    <n v="56.7"/>
    <n v="170.10000000000002"/>
    <n v="2.060763862553459E-5"/>
    <n v="0.99815746751713674"/>
    <x v="2"/>
  </r>
  <r>
    <s v="1059-8"/>
    <x v="5"/>
    <n v="6.4432989690721648E-4"/>
    <n v="0.8923969072164919"/>
    <n v="3"/>
    <n v="55.89"/>
    <n v="167.67000000000002"/>
    <n v="2.0313243788026953E-5"/>
    <n v="0.99817778076092478"/>
    <x v="2"/>
  </r>
  <r>
    <s v="0470-9"/>
    <x v="2"/>
    <n v="6.4432989690721648E-4"/>
    <n v="0.89304123711339911"/>
    <n v="1"/>
    <n v="167.16"/>
    <n v="167.16"/>
    <n v="2.0251457217192014E-5"/>
    <n v="0.99819803221814196"/>
    <x v="2"/>
  </r>
  <r>
    <s v="0882-9"/>
    <x v="2"/>
    <n v="6.4432989690721648E-4"/>
    <n v="0.89368556701030633"/>
    <n v="1"/>
    <n v="167.01"/>
    <n v="167.01"/>
    <n v="2.0233284696358208E-5"/>
    <n v="0.99821826550283832"/>
    <x v="2"/>
  </r>
  <r>
    <s v="0188-8"/>
    <x v="5"/>
    <n v="6.4432989690721648E-4"/>
    <n v="0.89432989690721354"/>
    <n v="21"/>
    <n v="7.94"/>
    <n v="166.74"/>
    <n v="2.0200574158857363E-5"/>
    <n v="0.99823846607699718"/>
    <x v="2"/>
  </r>
  <r>
    <s v="0554-8"/>
    <x v="5"/>
    <n v="6.4432989690721648E-4"/>
    <n v="0.89497422680412075"/>
    <n v="3"/>
    <n v="55.44"/>
    <n v="166.32"/>
    <n v="2.0149691100522709E-5"/>
    <n v="0.99825861576809771"/>
    <x v="2"/>
  </r>
  <r>
    <s v="0493-6"/>
    <x v="7"/>
    <n v="6.4432989690721648E-4"/>
    <n v="0.89561855670102797"/>
    <n v="39"/>
    <n v="4.2300000000000004"/>
    <n v="164.97000000000003"/>
    <n v="1.9986138413018468E-5"/>
    <n v="0.99827860190651074"/>
    <x v="2"/>
  </r>
  <r>
    <s v="1561-8"/>
    <x v="5"/>
    <n v="6.4432989690721648E-4"/>
    <n v="0.89626288659793518"/>
    <n v="6"/>
    <n v="27.49"/>
    <n v="164.94"/>
    <n v="1.9982503908851704E-5"/>
    <n v="0.99829858441041963"/>
    <x v="2"/>
  </r>
  <r>
    <s v="0831-3"/>
    <x v="1"/>
    <n v="6.4432989690721648E-4"/>
    <n v="0.8969072164948424"/>
    <n v="1"/>
    <n v="160.65"/>
    <n v="160.65"/>
    <n v="1.9462769813004891E-5"/>
    <n v="0.99831804718023265"/>
    <x v="2"/>
  </r>
  <r>
    <s v="1471-8"/>
    <x v="5"/>
    <n v="6.4432989690721648E-4"/>
    <n v="0.89755154639174961"/>
    <n v="6"/>
    <n v="26.66"/>
    <n v="159.96"/>
    <n v="1.9379176217169388E-5"/>
    <n v="0.99833742635644984"/>
    <x v="2"/>
  </r>
  <r>
    <s v="0944-3"/>
    <x v="1"/>
    <n v="6.4432989690721648E-4"/>
    <n v="0.89819587628865682"/>
    <n v="1"/>
    <n v="159.54"/>
    <n v="159.54"/>
    <n v="1.9328293158834734E-5"/>
    <n v="0.99835675464960871"/>
    <x v="2"/>
  </r>
  <r>
    <s v="1407-5"/>
    <x v="8"/>
    <n v="6.4432989690721648E-4"/>
    <n v="0.89884020618556404"/>
    <n v="1"/>
    <n v="159.31"/>
    <n v="159.31"/>
    <n v="1.9300428626889568E-5"/>
    <n v="0.99837605507823557"/>
    <x v="2"/>
  </r>
  <r>
    <s v="1096-7"/>
    <x v="3"/>
    <n v="6.4432989690721648E-4"/>
    <n v="0.89948453608247125"/>
    <n v="1"/>
    <n v="155.96"/>
    <n v="155.96"/>
    <n v="1.8894575661601262E-5"/>
    <n v="0.99839494965389719"/>
    <x v="2"/>
  </r>
  <r>
    <s v="0646-7"/>
    <x v="3"/>
    <n v="6.4432989690721648E-4"/>
    <n v="0.90012886597937847"/>
    <n v="1"/>
    <n v="155.79"/>
    <n v="155.79"/>
    <n v="1.8873980137989613E-5"/>
    <n v="0.99841382363403519"/>
    <x v="2"/>
  </r>
  <r>
    <s v="1331-4"/>
    <x v="4"/>
    <n v="6.4432989690721648E-4"/>
    <n v="0.90077319587628568"/>
    <n v="1"/>
    <n v="152.91999999999999"/>
    <n v="152.91999999999999"/>
    <n v="1.8526279239369483E-5"/>
    <n v="0.99843234991327456"/>
    <x v="2"/>
  </r>
  <r>
    <s v="0829-7"/>
    <x v="3"/>
    <n v="6.4432989690721648E-4"/>
    <n v="0.9014175257731929"/>
    <n v="1"/>
    <n v="152.1"/>
    <n v="152.1"/>
    <n v="1.8426936125478017E-5"/>
    <n v="0.99845077684940009"/>
    <x v="2"/>
  </r>
  <r>
    <s v="0924-7"/>
    <x v="3"/>
    <n v="6.4432989690721648E-4"/>
    <n v="0.90206185567010011"/>
    <n v="1"/>
    <n v="151.78"/>
    <n v="151.78"/>
    <n v="1.8388168081032569E-5"/>
    <n v="0.99846916501748118"/>
    <x v="2"/>
  </r>
  <r>
    <s v="0468-6"/>
    <x v="7"/>
    <n v="6.4432989690721648E-4"/>
    <n v="0.90270618556700732"/>
    <n v="2"/>
    <n v="75.709999999999994"/>
    <n v="151.41999999999999"/>
    <n v="1.8344554031031436E-5"/>
    <n v="0.99848750957151222"/>
    <x v="2"/>
  </r>
  <r>
    <s v="1254-5"/>
    <x v="8"/>
    <n v="6.4432989690721648E-4"/>
    <n v="0.90335051546391454"/>
    <n v="3"/>
    <n v="50.35"/>
    <n v="151.05000000000001"/>
    <n v="1.8299728479641385E-5"/>
    <n v="0.99850580929999189"/>
    <x v="2"/>
  </r>
  <r>
    <s v="0931-4"/>
    <x v="4"/>
    <n v="6.4432989690721648E-4"/>
    <n v="0.90399484536082175"/>
    <n v="1"/>
    <n v="150.94999999999999"/>
    <n v="150.94999999999999"/>
    <n v="1.8287613465752182E-5"/>
    <n v="0.99852409691345767"/>
    <x v="2"/>
  </r>
  <r>
    <s v="1775-7"/>
    <x v="3"/>
    <n v="6.4432989690721648E-4"/>
    <n v="0.90463917525772897"/>
    <n v="1"/>
    <n v="149.97"/>
    <n v="149.97"/>
    <n v="1.8168886329637989E-5"/>
    <n v="0.99854226579978733"/>
    <x v="2"/>
  </r>
  <r>
    <s v="1433-6"/>
    <x v="7"/>
    <n v="6.4432989690721648E-4"/>
    <n v="0.90528350515463618"/>
    <n v="3"/>
    <n v="49.91"/>
    <n v="149.72999999999999"/>
    <n v="1.8139810296303901E-5"/>
    <n v="0.99856040561008363"/>
    <x v="2"/>
  </r>
  <r>
    <s v="1366-8"/>
    <x v="5"/>
    <n v="6.4432989690721648E-4"/>
    <n v="0.9059278350515434"/>
    <n v="2"/>
    <n v="74.55"/>
    <n v="149.1"/>
    <n v="1.8063485708801924E-5"/>
    <n v="0.9985784690957924"/>
    <x v="2"/>
  </r>
  <r>
    <s v="0444-7"/>
    <x v="3"/>
    <n v="6.4432989690721648E-4"/>
    <n v="0.90657216494845061"/>
    <n v="2"/>
    <n v="74.510000000000005"/>
    <n v="149.02000000000001"/>
    <n v="1.8053793697690563E-5"/>
    <n v="0.99859652288949008"/>
    <x v="2"/>
  </r>
  <r>
    <s v="0452-7"/>
    <x v="3"/>
    <n v="6.4432989690721648E-4"/>
    <n v="0.90721649484535782"/>
    <n v="1"/>
    <n v="148.53"/>
    <n v="148.53"/>
    <n v="1.7994430129633467E-5"/>
    <n v="0.9986145173196197"/>
    <x v="2"/>
  </r>
  <r>
    <s v="1350-9"/>
    <x v="2"/>
    <n v="6.4432989690721648E-4"/>
    <n v="0.90786082474226504"/>
    <n v="1"/>
    <n v="148.34"/>
    <n v="148.34"/>
    <n v="1.7971411603243979E-5"/>
    <n v="0.9986324887312229"/>
    <x v="2"/>
  </r>
  <r>
    <s v="1827-8"/>
    <x v="5"/>
    <n v="6.4432989690721648E-4"/>
    <n v="0.90850515463917225"/>
    <n v="3"/>
    <n v="49.15"/>
    <n v="147.44999999999999"/>
    <n v="1.7863587979630071E-5"/>
    <n v="0.99865035231920252"/>
    <x v="2"/>
  </r>
  <r>
    <s v="0146-4"/>
    <x v="4"/>
    <n v="6.4432989690721648E-4"/>
    <n v="0.90914948453607947"/>
    <n v="3"/>
    <n v="49.13"/>
    <n v="147.39000000000001"/>
    <n v="1.785631897129655E-5"/>
    <n v="0.99866820863817385"/>
    <x v="2"/>
  </r>
  <r>
    <s v="1209-7"/>
    <x v="3"/>
    <n v="6.4432989690721648E-4"/>
    <n v="0.90979381443298668"/>
    <n v="2"/>
    <n v="73.569999999999993"/>
    <n v="147.13999999999999"/>
    <n v="1.7826031436573541E-5"/>
    <n v="0.99868603466961037"/>
    <x v="2"/>
  </r>
  <r>
    <s v="0123-7"/>
    <x v="3"/>
    <n v="6.4432989690721648E-4"/>
    <n v="0.91043814432989389"/>
    <n v="1"/>
    <n v="146.82"/>
    <n v="146.82"/>
    <n v="1.7787263392128089E-5"/>
    <n v="0.99870382193300244"/>
    <x v="2"/>
  </r>
  <r>
    <s v="1188-8"/>
    <x v="5"/>
    <n v="6.4432989690721648E-4"/>
    <n v="0.91108247422680111"/>
    <n v="2"/>
    <n v="73.17"/>
    <n v="146.34"/>
    <n v="1.7729111325459917E-5"/>
    <n v="0.99872155104432792"/>
    <x v="2"/>
  </r>
  <r>
    <s v="1610-8"/>
    <x v="5"/>
    <n v="6.4432989690721648E-4"/>
    <n v="0.91172680412370832"/>
    <n v="11"/>
    <n v="13.28"/>
    <n v="146.07999999999998"/>
    <n v="1.7697612289347987E-5"/>
    <n v="0.99873924865661723"/>
    <x v="2"/>
  </r>
  <r>
    <s v="1026-5"/>
    <x v="8"/>
    <n v="6.4432989690721648E-4"/>
    <n v="0.91237113402061554"/>
    <n v="2"/>
    <n v="72.95"/>
    <n v="145.9"/>
    <n v="1.7675805264347424E-5"/>
    <n v="0.99875692446188158"/>
    <x v="2"/>
  </r>
  <r>
    <s v="1808-7"/>
    <x v="3"/>
    <n v="6.4432989690721648E-4"/>
    <n v="0.91301546391752275"/>
    <n v="1"/>
    <n v="144.87"/>
    <n v="144.87"/>
    <n v="1.7551020621288631E-5"/>
    <n v="0.99877447548250287"/>
    <x v="2"/>
  </r>
  <r>
    <s v="0198-8"/>
    <x v="5"/>
    <n v="6.4432989690721648E-4"/>
    <n v="0.91365979381442997"/>
    <n v="15"/>
    <n v="9.64"/>
    <n v="144.60000000000002"/>
    <n v="1.7518310083787783E-5"/>
    <n v="0.99879199379258665"/>
    <x v="2"/>
  </r>
  <r>
    <s v="1505-4"/>
    <x v="4"/>
    <n v="6.4432989690721648E-4"/>
    <n v="0.91430412371133718"/>
    <n v="1"/>
    <n v="143.21"/>
    <n v="143.21"/>
    <n v="1.7349911390727857E-5"/>
    <n v="0.99880934370397734"/>
    <x v="2"/>
  </r>
  <r>
    <s v="0434-5"/>
    <x v="8"/>
    <n v="6.4432989690721648E-4"/>
    <n v="0.91494845360824439"/>
    <n v="1"/>
    <n v="141.80000000000001"/>
    <n v="141.80000000000001"/>
    <n v="1.7179089694890095E-5"/>
    <n v="0.99882652279367223"/>
    <x v="2"/>
  </r>
  <r>
    <s v="1767-7"/>
    <x v="3"/>
    <n v="6.4432989690721648E-4"/>
    <n v="0.91559278350515161"/>
    <n v="1"/>
    <n v="138.81"/>
    <n v="138.81"/>
    <n v="1.6816850779602919E-5"/>
    <n v="0.99884333964445182"/>
    <x v="2"/>
  </r>
  <r>
    <s v="1344-8"/>
    <x v="5"/>
    <n v="6.4432989690721648E-4"/>
    <n v="0.91623711340205882"/>
    <n v="3"/>
    <n v="46.04"/>
    <n v="138.12"/>
    <n v="1.6733257183767417E-5"/>
    <n v="0.99886007290163559"/>
    <x v="2"/>
  </r>
  <r>
    <s v="0357-6"/>
    <x v="7"/>
    <n v="6.4432989690721648E-4"/>
    <n v="0.91688144329896604"/>
    <n v="3"/>
    <n v="45.94"/>
    <n v="137.82"/>
    <n v="1.6696912142099805E-5"/>
    <n v="0.99887676981377771"/>
    <x v="2"/>
  </r>
  <r>
    <s v="0205-4"/>
    <x v="4"/>
    <n v="6.4432989690721648E-4"/>
    <n v="0.91752577319587325"/>
    <n v="3"/>
    <n v="45.78"/>
    <n v="137.34"/>
    <n v="1.6638760075431633E-5"/>
    <n v="0.99889340857385311"/>
    <x v="2"/>
  </r>
  <r>
    <s v="1638-6"/>
    <x v="7"/>
    <n v="6.4432989690721648E-4"/>
    <n v="0.91817010309278047"/>
    <n v="4"/>
    <n v="34.26"/>
    <n v="137.04"/>
    <n v="1.6602415033764021E-5"/>
    <n v="0.99891001098888688"/>
    <x v="2"/>
  </r>
  <r>
    <s v="1138-8"/>
    <x v="5"/>
    <n v="6.4432989690721648E-4"/>
    <n v="0.91881443298968768"/>
    <n v="2"/>
    <n v="68.239999999999995"/>
    <n v="136.47999999999999"/>
    <n v="1.6534570955984482E-5"/>
    <n v="0.99892654555984284"/>
    <x v="2"/>
  </r>
  <r>
    <s v="0048-9"/>
    <x v="2"/>
    <n v="6.4432989690721648E-4"/>
    <n v="0.91945876288659489"/>
    <n v="3"/>
    <n v="45.23"/>
    <n v="135.69"/>
    <n v="1.643886234625978E-5"/>
    <n v="0.9989429844221891"/>
    <x v="2"/>
  </r>
  <r>
    <s v="0707-9"/>
    <x v="2"/>
    <n v="6.4432989690721648E-4"/>
    <n v="0.92010309278350211"/>
    <n v="1"/>
    <n v="133.36000000000001"/>
    <n v="133.36000000000001"/>
    <n v="1.6156582522641346E-5"/>
    <n v="0.99895914100471173"/>
    <x v="2"/>
  </r>
  <r>
    <s v="0283-5"/>
    <x v="8"/>
    <n v="6.4432989690721648E-4"/>
    <n v="0.92074742268040932"/>
    <n v="1"/>
    <n v="131.6"/>
    <n v="131.6"/>
    <n v="1.5943358278191369E-5"/>
    <n v="0.99897508436298987"/>
    <x v="2"/>
  </r>
  <r>
    <s v="0661-4"/>
    <x v="4"/>
    <n v="6.4432989690721648E-4"/>
    <n v="0.92139175257731654"/>
    <n v="2"/>
    <n v="65.290000000000006"/>
    <n v="130.58000000000001"/>
    <n v="1.5819785136521497E-5"/>
    <n v="0.99899090414812641"/>
    <x v="2"/>
  </r>
  <r>
    <s v="0527-3"/>
    <x v="1"/>
    <n v="6.4432989690721648E-4"/>
    <n v="0.92203608247422375"/>
    <n v="2"/>
    <n v="64.97"/>
    <n v="129.94"/>
    <n v="1.5742249047630598E-5"/>
    <n v="0.99900664639717407"/>
    <x v="2"/>
  </r>
  <r>
    <s v="0511-6"/>
    <x v="7"/>
    <n v="6.4432989690721648E-4"/>
    <n v="0.92268041237113096"/>
    <n v="2"/>
    <n v="64.86"/>
    <n v="129.72"/>
    <n v="1.5715596017074349E-5"/>
    <n v="0.99902236199319117"/>
    <x v="2"/>
  </r>
  <r>
    <s v="1421-5"/>
    <x v="8"/>
    <n v="6.4432989690721648E-4"/>
    <n v="0.92332474226803818"/>
    <n v="1"/>
    <n v="129.38999999999999"/>
    <n v="129.38999999999999"/>
    <n v="1.5675616471239977E-5"/>
    <n v="0.99903803760966237"/>
    <x v="2"/>
  </r>
  <r>
    <s v="1809-7"/>
    <x v="3"/>
    <n v="6.4432989690721648E-4"/>
    <n v="0.92396907216494539"/>
    <n v="1"/>
    <n v="127.3"/>
    <n v="127.3"/>
    <n v="1.5422412680955634E-5"/>
    <n v="0.9990534600223433"/>
    <x v="2"/>
  </r>
  <r>
    <s v="0264-5"/>
    <x v="8"/>
    <n v="6.4432989690721648E-4"/>
    <n v="0.92461340206185261"/>
    <n v="4"/>
    <n v="31.82"/>
    <n v="127.28"/>
    <n v="1.5419989678177791E-5"/>
    <n v="0.99906888001202143"/>
    <x v="2"/>
  </r>
  <r>
    <s v="1268-8"/>
    <x v="5"/>
    <n v="6.4432989690721648E-4"/>
    <n v="0.92525773195875982"/>
    <n v="2"/>
    <n v="62.77"/>
    <n v="125.54"/>
    <n v="1.5209188436505658E-5"/>
    <n v="0.99908408920045799"/>
    <x v="2"/>
  </r>
  <r>
    <s v="1105-8"/>
    <x v="5"/>
    <n v="6.4432989690721648E-4"/>
    <n v="0.92590206185566704"/>
    <n v="7"/>
    <n v="17.73"/>
    <n v="124.11"/>
    <n v="1.5035943737890052E-5"/>
    <n v="0.99909912514419585"/>
    <x v="2"/>
  </r>
  <r>
    <s v="0143-3"/>
    <x v="1"/>
    <n v="6.4432989690721648E-4"/>
    <n v="0.92654639175257425"/>
    <n v="1"/>
    <n v="122.62"/>
    <n v="122.62"/>
    <n v="1.4855430030940925E-5"/>
    <n v="0.99911398057422685"/>
    <x v="2"/>
  </r>
  <r>
    <s v="0678-5"/>
    <x v="8"/>
    <n v="6.4432989690721648E-4"/>
    <n v="0.92719072164948146"/>
    <n v="1"/>
    <n v="121.94"/>
    <n v="121.94"/>
    <n v="1.4773047936494342E-5"/>
    <n v="0.99912875362216336"/>
    <x v="2"/>
  </r>
  <r>
    <s v="1603-2"/>
    <x v="6"/>
    <n v="6.4432989690721648E-4"/>
    <n v="0.92783505154638868"/>
    <n v="10"/>
    <n v="12.14"/>
    <n v="121.4"/>
    <n v="1.4707626861492646E-5"/>
    <n v="0.99914346124902487"/>
    <x v="2"/>
  </r>
  <r>
    <s v="1165-7"/>
    <x v="3"/>
    <n v="6.4432989690721648E-4"/>
    <n v="0.92847938144329589"/>
    <n v="1"/>
    <n v="119.56"/>
    <n v="119.56"/>
    <n v="1.4484710605931308E-5"/>
    <n v="0.99915794595963081"/>
    <x v="2"/>
  </r>
  <r>
    <s v="0770-8"/>
    <x v="5"/>
    <n v="6.4432989690721648E-4"/>
    <n v="0.92912371134020311"/>
    <n v="13"/>
    <n v="8.74"/>
    <n v="113.62"/>
    <n v="1.376507878091264E-5"/>
    <n v="0.99917171103841174"/>
    <x v="2"/>
  </r>
  <r>
    <s v="1641-8"/>
    <x v="5"/>
    <n v="6.4432989690721648E-4"/>
    <n v="0.92976804123711032"/>
    <n v="2"/>
    <n v="55.47"/>
    <n v="110.94"/>
    <n v="1.3440396408681994E-5"/>
    <n v="0.99918515143482045"/>
    <x v="2"/>
  </r>
  <r>
    <s v="0337-8"/>
    <x v="5"/>
    <n v="6.4432989690721648E-4"/>
    <n v="0.93041237113401754"/>
    <n v="2"/>
    <n v="55.31"/>
    <n v="110.62"/>
    <n v="1.3401628364236545E-5"/>
    <n v="0.99919855306318472"/>
    <x v="2"/>
  </r>
  <r>
    <s v="1310-9"/>
    <x v="2"/>
    <n v="6.4432989690721648E-4"/>
    <n v="0.93105670103092475"/>
    <n v="1"/>
    <n v="110.38"/>
    <n v="110.38"/>
    <n v="1.3372552330902457E-5"/>
    <n v="0.99921192561551564"/>
    <x v="2"/>
  </r>
  <r>
    <s v="0975-8"/>
    <x v="5"/>
    <n v="6.4432989690721648E-4"/>
    <n v="0.93170103092783196"/>
    <n v="10"/>
    <n v="10.97"/>
    <n v="109.7"/>
    <n v="1.3290170236455876E-5"/>
    <n v="0.99922521578575207"/>
    <x v="2"/>
  </r>
  <r>
    <s v="0705-7"/>
    <x v="3"/>
    <n v="6.4432989690721648E-4"/>
    <n v="0.93234536082473918"/>
    <n v="1"/>
    <n v="108.89"/>
    <n v="108.89"/>
    <n v="1.319203862395333E-5"/>
    <n v="0.99923840782437601"/>
    <x v="2"/>
  </r>
  <r>
    <s v="0531-2"/>
    <x v="6"/>
    <n v="6.4432989690721648E-4"/>
    <n v="0.93298969072164639"/>
    <n v="2"/>
    <n v="54.22"/>
    <n v="108.44"/>
    <n v="1.3137521061451915E-5"/>
    <n v="0.99925154534543748"/>
    <x v="2"/>
  </r>
  <r>
    <s v="0642-7"/>
    <x v="3"/>
    <n v="6.4432989690721648E-4"/>
    <n v="0.93363402061855361"/>
    <n v="1"/>
    <n v="108.44"/>
    <n v="108.44"/>
    <n v="1.3137521061451915E-5"/>
    <n v="0.99926468286649894"/>
    <x v="2"/>
  </r>
  <r>
    <s v="1382-2"/>
    <x v="6"/>
    <n v="6.4432989690721648E-4"/>
    <n v="0.93427835051546082"/>
    <n v="5"/>
    <n v="21.49"/>
    <n v="107.44999999999999"/>
    <n v="1.3017582423948802E-5"/>
    <n v="0.99927770044892295"/>
    <x v="2"/>
  </r>
  <r>
    <s v="1830-6"/>
    <x v="7"/>
    <n v="6.4432989690721648E-4"/>
    <n v="0.93492268041236803"/>
    <n v="5"/>
    <n v="21.43"/>
    <n v="107.15"/>
    <n v="1.2981237382281195E-5"/>
    <n v="0.99929068168630519"/>
    <x v="2"/>
  </r>
  <r>
    <s v="0767-8"/>
    <x v="5"/>
    <n v="6.4432989690721648E-4"/>
    <n v="0.93556701030927525"/>
    <n v="2"/>
    <n v="53.27"/>
    <n v="106.54"/>
    <n v="1.2907335797557057E-5"/>
    <n v="0.9993035890221027"/>
    <x v="2"/>
  </r>
  <r>
    <s v="0261-4"/>
    <x v="4"/>
    <n v="6.4432989690721648E-4"/>
    <n v="0.93621134020618246"/>
    <n v="1"/>
    <n v="105.86"/>
    <n v="105.86"/>
    <n v="1.2824953703110474E-5"/>
    <n v="0.99931641397580584"/>
    <x v="2"/>
  </r>
  <r>
    <s v="0785-9"/>
    <x v="2"/>
    <n v="6.4432989690721648E-4"/>
    <n v="0.93685567010308968"/>
    <n v="1"/>
    <n v="105"/>
    <n v="105"/>
    <n v="1.2720764583663326E-5"/>
    <n v="0.99932913474038954"/>
    <x v="2"/>
  </r>
  <r>
    <s v="1745-8"/>
    <x v="5"/>
    <n v="6.4432989690721648E-4"/>
    <n v="0.93749999999999689"/>
    <n v="4"/>
    <n v="26.15"/>
    <n v="104.6"/>
    <n v="1.2672304528106513E-5"/>
    <n v="0.9993418070449176"/>
    <x v="2"/>
  </r>
  <r>
    <s v="1566-8"/>
    <x v="5"/>
    <n v="6.4432989690721648E-4"/>
    <n v="0.93814432989690411"/>
    <n v="4"/>
    <n v="25.69"/>
    <n v="102.76"/>
    <n v="1.2449388272545175E-5"/>
    <n v="0.99935425643319009"/>
    <x v="2"/>
  </r>
  <r>
    <s v="0891-6"/>
    <x v="7"/>
    <n v="6.4432989690721648E-4"/>
    <n v="0.93878865979381132"/>
    <n v="1"/>
    <n v="100.91"/>
    <n v="100.91"/>
    <n v="1.2225260515594917E-5"/>
    <n v="0.99936648169370568"/>
    <x v="2"/>
  </r>
  <r>
    <s v="0476-7"/>
    <x v="3"/>
    <n v="6.4432989690721648E-4"/>
    <n v="0.93943298969071853"/>
    <n v="10"/>
    <n v="9.7899999999999991"/>
    <n v="97.899999999999991"/>
    <n v="1.18605985975299E-5"/>
    <n v="0.99937834229230316"/>
    <x v="2"/>
  </r>
  <r>
    <s v="0593-9"/>
    <x v="2"/>
    <n v="6.4432989690721648E-4"/>
    <n v="0.94007731958762575"/>
    <n v="6"/>
    <n v="16.3"/>
    <n v="97.800000000000011"/>
    <n v="1.18484835836407E-5"/>
    <n v="0.99939019077588676"/>
    <x v="2"/>
  </r>
  <r>
    <s v="0641-2"/>
    <x v="6"/>
    <n v="6.4432989690721648E-4"/>
    <n v="0.94072164948453296"/>
    <n v="14"/>
    <n v="6.93"/>
    <n v="97.02"/>
    <n v="1.1753986475304913E-5"/>
    <n v="0.9994019447623621"/>
    <x v="2"/>
  </r>
  <r>
    <s v="0120-8"/>
    <x v="5"/>
    <n v="6.4432989690721648E-4"/>
    <n v="0.94136597938144018"/>
    <n v="4"/>
    <n v="23.69"/>
    <n v="94.76"/>
    <n v="1.1480187161408923E-5"/>
    <n v="0.99941342494952357"/>
    <x v="2"/>
  </r>
  <r>
    <s v="1598-6"/>
    <x v="7"/>
    <n v="6.4432989690721648E-4"/>
    <n v="0.94201030927834739"/>
    <n v="4"/>
    <n v="23.07"/>
    <n v="92.28"/>
    <n v="1.1179734816956683E-5"/>
    <n v="0.99942460468434047"/>
    <x v="2"/>
  </r>
  <r>
    <s v="0541-9"/>
    <x v="2"/>
    <n v="6.4432989690721648E-4"/>
    <n v="0.94265463917525461"/>
    <n v="1"/>
    <n v="91.77"/>
    <n v="91.77"/>
    <n v="1.1117948246121747E-5"/>
    <n v="0.99943572263258662"/>
    <x v="2"/>
  </r>
  <r>
    <s v="0465-6"/>
    <x v="7"/>
    <n v="6.4432989690721648E-4"/>
    <n v="0.94329896907216182"/>
    <n v="8"/>
    <n v="11.23"/>
    <n v="89.84"/>
    <n v="1.0884128478060126E-5"/>
    <n v="0.99944660676106467"/>
    <x v="2"/>
  </r>
  <r>
    <s v="1314-7"/>
    <x v="3"/>
    <n v="6.4432989690721648E-4"/>
    <n v="0.94394329896906903"/>
    <n v="2"/>
    <n v="44.66"/>
    <n v="89.32"/>
    <n v="1.0821130405836269E-5"/>
    <n v="0.99945742789147052"/>
    <x v="2"/>
  </r>
  <r>
    <s v="1591-4"/>
    <x v="4"/>
    <n v="6.4432989690721648E-4"/>
    <n v="0.94458762886597625"/>
    <n v="1"/>
    <n v="86.49"/>
    <n v="86.49"/>
    <n v="1.0478275512771819E-5"/>
    <n v="0.99946790616698333"/>
    <x v="2"/>
  </r>
  <r>
    <s v="0287-8"/>
    <x v="5"/>
    <n v="6.4432989690721648E-4"/>
    <n v="0.94523195876288346"/>
    <n v="8"/>
    <n v="10.79"/>
    <n v="86.32"/>
    <n v="1.0457679989160174E-5"/>
    <n v="0.99947836384697253"/>
    <x v="2"/>
  </r>
  <r>
    <s v="0373-7"/>
    <x v="3"/>
    <n v="6.4432989690721648E-4"/>
    <n v="0.94587628865979068"/>
    <n v="1"/>
    <n v="85.09"/>
    <n v="85.09"/>
    <n v="1.0308665318322975E-5"/>
    <n v="0.9994886725122909"/>
    <x v="2"/>
  </r>
  <r>
    <s v="0549-8"/>
    <x v="5"/>
    <n v="6.4432989690721648E-4"/>
    <n v="0.94652061855669789"/>
    <n v="17"/>
    <n v="4.8600000000000003"/>
    <n v="82.62"/>
    <n v="1.0009424475259658E-5"/>
    <n v="0.99949868193676616"/>
    <x v="2"/>
  </r>
  <r>
    <s v="1625-8"/>
    <x v="5"/>
    <n v="6.4432989690721648E-4"/>
    <n v="0.9471649484536051"/>
    <n v="3"/>
    <n v="27.4"/>
    <n v="82.199999999999989"/>
    <n v="9.9585414169250022E-6"/>
    <n v="0.99950864047818311"/>
    <x v="2"/>
  </r>
  <r>
    <s v="0066-7"/>
    <x v="3"/>
    <n v="6.4432989690721648E-4"/>
    <n v="0.94780927835051232"/>
    <n v="1"/>
    <n v="80.53"/>
    <n v="80.53"/>
    <n v="9.7562206849753118E-6"/>
    <n v="0.99951839669886811"/>
    <x v="2"/>
  </r>
  <r>
    <s v="0327-7"/>
    <x v="3"/>
    <n v="6.4432989690721648E-4"/>
    <n v="0.94845360824741953"/>
    <n v="2"/>
    <n v="39.57"/>
    <n v="79.14"/>
    <n v="9.5878219919153874E-6"/>
    <n v="0.99952798452086"/>
    <x v="2"/>
  </r>
  <r>
    <s v="1304-9"/>
    <x v="2"/>
    <n v="6.4432989690721648E-4"/>
    <n v="0.94909793814432675"/>
    <n v="1"/>
    <n v="78.88"/>
    <n v="78.88"/>
    <n v="9.5563229558034589E-6"/>
    <n v="0.99953754084381585"/>
    <x v="2"/>
  </r>
  <r>
    <s v="0634-2"/>
    <x v="6"/>
    <n v="6.4432989690721648E-4"/>
    <n v="0.94974226804123396"/>
    <n v="1"/>
    <n v="77.75"/>
    <n v="77.75"/>
    <n v="9.419423298855463E-6"/>
    <n v="0.99954696026711476"/>
    <x v="2"/>
  </r>
  <r>
    <s v="1239-7"/>
    <x v="3"/>
    <n v="6.4432989690721648E-4"/>
    <n v="0.95038659793814118"/>
    <n v="6"/>
    <n v="12.76"/>
    <n v="76.56"/>
    <n v="9.2752546335739462E-6"/>
    <n v="0.99955623552174833"/>
    <x v="2"/>
  </r>
  <r>
    <s v="0893-8"/>
    <x v="5"/>
    <n v="6.4432989690721648E-4"/>
    <n v="0.95103092783504839"/>
    <n v="3"/>
    <n v="24.57"/>
    <n v="73.710000000000008"/>
    <n v="8.9299767377316567E-6"/>
    <n v="0.99956516549848606"/>
    <x v="2"/>
  </r>
  <r>
    <s v="1585-6"/>
    <x v="7"/>
    <n v="6.4432989690721648E-4"/>
    <n v="0.9516752577319556"/>
    <n v="1"/>
    <n v="73.27"/>
    <n v="73.27"/>
    <n v="8.8766706766191599E-6"/>
    <n v="0.99957404216916268"/>
    <x v="2"/>
  </r>
  <r>
    <s v="1853-7"/>
    <x v="3"/>
    <n v="6.4432989690721648E-4"/>
    <n v="0.95231958762886282"/>
    <n v="3"/>
    <n v="23.91"/>
    <n v="71.73"/>
    <n v="8.6900994627254329E-6"/>
    <n v="0.99958273226862537"/>
    <x v="2"/>
  </r>
  <r>
    <s v="0992-4"/>
    <x v="4"/>
    <n v="6.4432989690721648E-4"/>
    <n v="0.95296391752577003"/>
    <n v="1"/>
    <n v="71.48"/>
    <n v="71.48"/>
    <n v="8.6598119280024256E-6"/>
    <n v="0.99959139208055336"/>
    <x v="2"/>
  </r>
  <r>
    <s v="0742-2"/>
    <x v="6"/>
    <n v="6.4432989690721648E-4"/>
    <n v="0.95360824742267725"/>
    <n v="1"/>
    <n v="71.260000000000005"/>
    <n v="71.260000000000005"/>
    <n v="8.6331588974461789E-6"/>
    <n v="0.9996000252394508"/>
    <x v="2"/>
  </r>
  <r>
    <s v="0207-9"/>
    <x v="2"/>
    <n v="6.4432989690721648E-4"/>
    <n v="0.95425257731958446"/>
    <n v="2"/>
    <n v="35.25"/>
    <n v="70.5"/>
    <n v="8.5410847918882342E-6"/>
    <n v="0.99960856632424266"/>
    <x v="2"/>
  </r>
  <r>
    <s v="1738-5"/>
    <x v="8"/>
    <n v="6.4432989690721648E-4"/>
    <n v="0.95489690721649167"/>
    <n v="3"/>
    <n v="23.06"/>
    <n v="69.179999999999993"/>
    <n v="8.3811666085507505E-6"/>
    <n v="0.99961694749085117"/>
    <x v="2"/>
  </r>
  <r>
    <s v="0582-8"/>
    <x v="5"/>
    <n v="6.4432989690721648E-4"/>
    <n v="0.95554123711339889"/>
    <n v="1"/>
    <n v="69.12"/>
    <n v="69.12"/>
    <n v="8.3738976002172294E-6"/>
    <n v="0.99962532138845139"/>
    <x v="2"/>
  </r>
  <r>
    <s v="1422-8"/>
    <x v="5"/>
    <n v="6.4432989690721648E-4"/>
    <n v="0.9561855670103061"/>
    <n v="3"/>
    <n v="22.88"/>
    <n v="68.64"/>
    <n v="8.3157455335490541E-6"/>
    <n v="0.9996336371339849"/>
    <x v="2"/>
  </r>
  <r>
    <s v="0906-8"/>
    <x v="5"/>
    <n v="6.4432989690721648E-4"/>
    <n v="0.95682989690721332"/>
    <n v="9"/>
    <n v="7.47"/>
    <n v="67.23"/>
    <n v="8.1449238377112905E-6"/>
    <n v="0.99964178205782261"/>
    <x v="2"/>
  </r>
  <r>
    <s v="0729-6"/>
    <x v="7"/>
    <n v="6.4432989690721648E-4"/>
    <n v="0.95747422680412053"/>
    <n v="1"/>
    <n v="67.14"/>
    <n v="67.14"/>
    <n v="8.1340203252110072E-6"/>
    <n v="0.99964991607814779"/>
    <x v="2"/>
  </r>
  <r>
    <s v="1744-5"/>
    <x v="8"/>
    <n v="6.4432989690721648E-4"/>
    <n v="0.95811855670102775"/>
    <n v="1"/>
    <n v="65.14"/>
    <n v="65.14"/>
    <n v="7.8917200474269442E-6"/>
    <n v="0.99965780779819524"/>
    <x v="2"/>
  </r>
  <r>
    <s v="0462-7"/>
    <x v="3"/>
    <n v="6.4432989690721648E-4"/>
    <n v="0.95876288659793496"/>
    <n v="7"/>
    <n v="9.0299999999999994"/>
    <n v="63.209999999999994"/>
    <n v="7.6579002793653218E-6"/>
    <n v="0.99966546569847459"/>
    <x v="2"/>
  </r>
  <r>
    <s v="1874-4"/>
    <x v="4"/>
    <n v="6.4432989690721648E-4"/>
    <n v="0.95940721649484217"/>
    <n v="1"/>
    <n v="62.78"/>
    <n v="62.78"/>
    <n v="7.6058057196417488E-6"/>
    <n v="0.99967307150419427"/>
    <x v="2"/>
  </r>
  <r>
    <s v="1160-3"/>
    <x v="1"/>
    <n v="6.4432989690721648E-4"/>
    <n v="0.96005154639174939"/>
    <n v="1"/>
    <n v="61.96"/>
    <n v="61.96"/>
    <n v="7.506462605750283E-6"/>
    <n v="0.99968057796679999"/>
    <x v="2"/>
  </r>
  <r>
    <s v="1262-4"/>
    <x v="4"/>
    <n v="6.4432989690721648E-4"/>
    <n v="0.9606958762886566"/>
    <n v="1"/>
    <n v="60.32"/>
    <n v="60.32"/>
    <n v="7.3077763779673513E-6"/>
    <n v="0.99968788574317791"/>
    <x v="2"/>
  </r>
  <r>
    <s v="0883-7"/>
    <x v="3"/>
    <n v="6.4432989690721648E-4"/>
    <n v="0.96134020618556382"/>
    <n v="2"/>
    <n v="30.12"/>
    <n v="60.24"/>
    <n v="7.2980843668559885E-6"/>
    <n v="0.99969518382754474"/>
    <x v="2"/>
  </r>
  <r>
    <s v="0769-8"/>
    <x v="5"/>
    <n v="6.4432989690721648E-4"/>
    <n v="0.96198453608247103"/>
    <n v="1"/>
    <n v="59.87"/>
    <n v="59.87"/>
    <n v="7.2532588154659366E-6"/>
    <n v="0.9997024370863602"/>
    <x v="2"/>
  </r>
  <r>
    <s v="1411-8"/>
    <x v="5"/>
    <n v="6.4432989690721648E-4"/>
    <n v="0.96262886597937825"/>
    <n v="1"/>
    <n v="59.44"/>
    <n v="59.44"/>
    <n v="7.2011642557423628E-6"/>
    <n v="0.99970963825061598"/>
    <x v="2"/>
  </r>
  <r>
    <s v="1678-9"/>
    <x v="2"/>
    <n v="6.4432989690721648E-4"/>
    <n v="0.96327319587628546"/>
    <n v="1"/>
    <n v="58.04"/>
    <n v="58.04"/>
    <n v="7.0315540612935188E-6"/>
    <n v="0.99971666980467733"/>
    <x v="2"/>
  </r>
  <r>
    <s v="0603-8"/>
    <x v="5"/>
    <n v="6.4432989690721648E-4"/>
    <n v="0.96391752577319267"/>
    <n v="3"/>
    <n v="19.28"/>
    <n v="57.84"/>
    <n v="7.007324033515113E-6"/>
    <n v="0.9997236771287108"/>
    <x v="2"/>
  </r>
  <r>
    <s v="1592-8"/>
    <x v="5"/>
    <n v="6.4432989690721648E-4"/>
    <n v="0.96456185567009989"/>
    <n v="1"/>
    <n v="57.2"/>
    <n v="57.2"/>
    <n v="6.9297879446242121E-6"/>
    <n v="0.99973060691665538"/>
    <x v="2"/>
  </r>
  <r>
    <s v="1183-7"/>
    <x v="3"/>
    <n v="6.4432989690721648E-4"/>
    <n v="0.9652061855670071"/>
    <n v="1"/>
    <n v="56.35"/>
    <n v="56.35"/>
    <n v="6.8268103265659857E-6"/>
    <n v="0.99973743372698198"/>
    <x v="2"/>
  </r>
  <r>
    <s v="0308-8"/>
    <x v="5"/>
    <n v="6.4432989690721648E-4"/>
    <n v="0.96585051546391432"/>
    <n v="4"/>
    <n v="14.08"/>
    <n v="56.32"/>
    <n v="6.8231758223992243E-6"/>
    <n v="0.99974425690280433"/>
    <x v="2"/>
  </r>
  <r>
    <s v="0920-8"/>
    <x v="5"/>
    <n v="6.4432989690721648E-4"/>
    <n v="0.96649484536082153"/>
    <n v="1"/>
    <n v="55.78"/>
    <n v="55.78"/>
    <n v="6.7577547473975271E-6"/>
    <n v="0.99975101465755167"/>
    <x v="2"/>
  </r>
  <r>
    <s v="0083-9"/>
    <x v="2"/>
    <n v="6.4432989690721648E-4"/>
    <n v="0.96713917525772874"/>
    <n v="1"/>
    <n v="55.73"/>
    <n v="55.73"/>
    <n v="6.7516972404529249E-6"/>
    <n v="0.99975776635479208"/>
    <x v="2"/>
  </r>
  <r>
    <s v="0880-7"/>
    <x v="3"/>
    <n v="6.4432989690721648E-4"/>
    <n v="0.96778350515463596"/>
    <n v="1"/>
    <n v="55.46"/>
    <n v="55.46"/>
    <n v="6.7189867029520767E-6"/>
    <n v="0.99976448534149498"/>
    <x v="2"/>
  </r>
  <r>
    <s v="0443-5"/>
    <x v="8"/>
    <n v="6.4432989690721648E-4"/>
    <n v="0.96842783505154317"/>
    <n v="2"/>
    <n v="27.65"/>
    <n v="55.3"/>
    <n v="6.6996026807293519E-6"/>
    <n v="0.99977118494417572"/>
    <x v="2"/>
  </r>
  <r>
    <s v="0030-8"/>
    <x v="5"/>
    <n v="6.4432989690721648E-4"/>
    <n v="0.96907216494845039"/>
    <n v="1"/>
    <n v="55.04"/>
    <n v="55.04"/>
    <n v="6.6681036446174233E-6"/>
    <n v="0.9997778530478203"/>
    <x v="2"/>
  </r>
  <r>
    <s v="1102-8"/>
    <x v="5"/>
    <n v="6.4432989690721648E-4"/>
    <n v="0.9697164948453576"/>
    <n v="11"/>
    <n v="4.99"/>
    <n v="54.89"/>
    <n v="6.649931123783619E-6"/>
    <n v="0.99978450297894406"/>
    <x v="2"/>
  </r>
  <r>
    <s v="0058-8"/>
    <x v="5"/>
    <n v="6.4432989690721648E-4"/>
    <n v="0.97036082474226482"/>
    <n v="1"/>
    <n v="54.88"/>
    <n v="54.88"/>
    <n v="6.6487196223946985E-6"/>
    <n v="0.99979115169856647"/>
    <x v="2"/>
  </r>
  <r>
    <s v="0914-9"/>
    <x v="2"/>
    <n v="6.4432989690721648E-4"/>
    <n v="0.97100515463917203"/>
    <n v="1"/>
    <n v="54.56"/>
    <n v="54.56"/>
    <n v="6.6099515779492489E-6"/>
    <n v="0.99979776165014445"/>
    <x v="2"/>
  </r>
  <r>
    <s v="1098-8"/>
    <x v="5"/>
    <n v="6.4432989690721648E-4"/>
    <n v="0.97164948453607924"/>
    <n v="7"/>
    <n v="7.63"/>
    <n v="53.41"/>
    <n v="6.4706289182234113E-6"/>
    <n v="0.99980423227906268"/>
    <x v="2"/>
  </r>
  <r>
    <s v="1202-9"/>
    <x v="2"/>
    <n v="6.4432989690721648E-4"/>
    <n v="0.97229381443298646"/>
    <n v="1"/>
    <n v="52.32"/>
    <n v="52.32"/>
    <n v="6.3385752668310973E-6"/>
    <n v="0.99981057085432956"/>
    <x v="2"/>
  </r>
  <r>
    <s v="1409-2"/>
    <x v="6"/>
    <n v="6.4432989690721648E-4"/>
    <n v="0.97293814432989367"/>
    <n v="4"/>
    <n v="13.04"/>
    <n v="52.16"/>
    <n v="6.3191912446083717E-6"/>
    <n v="0.99981689004557417"/>
    <x v="2"/>
  </r>
  <r>
    <s v="0390-8"/>
    <x v="5"/>
    <n v="6.4432989690721648E-4"/>
    <n v="0.97358247422680089"/>
    <n v="2"/>
    <n v="25.59"/>
    <n v="51.18"/>
    <n v="6.200464108494181E-6"/>
    <n v="0.99982309050968265"/>
    <x v="2"/>
  </r>
  <r>
    <s v="1604-8"/>
    <x v="5"/>
    <n v="6.4432989690721648E-4"/>
    <n v="0.9742268041237081"/>
    <n v="1"/>
    <n v="50.8"/>
    <n v="50.8"/>
    <n v="6.1544270557152087E-6"/>
    <n v="0.99982924493673841"/>
    <x v="2"/>
  </r>
  <r>
    <s v="0953-8"/>
    <x v="5"/>
    <n v="6.4432989690721648E-4"/>
    <n v="0.97487113402061532"/>
    <n v="2"/>
    <n v="24.89"/>
    <n v="49.78"/>
    <n v="6.0308539140453371E-6"/>
    <n v="0.99983527579065246"/>
    <x v="2"/>
  </r>
  <r>
    <s v="1562-6"/>
    <x v="7"/>
    <n v="6.4432989690721648E-4"/>
    <n v="0.97551546391752253"/>
    <n v="1"/>
    <n v="48.77"/>
    <n v="48.77"/>
    <n v="5.9084922737643851E-6"/>
    <n v="0.99984118428292623"/>
    <x v="2"/>
  </r>
  <r>
    <s v="1291-2"/>
    <x v="6"/>
    <n v="6.4432989690721648E-4"/>
    <n v="0.97615979381442974"/>
    <n v="1"/>
    <n v="48.13"/>
    <n v="48.13"/>
    <n v="5.830956184873485E-6"/>
    <n v="0.99984701523911113"/>
    <x v="2"/>
  </r>
  <r>
    <s v="0218-5"/>
    <x v="8"/>
    <n v="6.4432989690721648E-4"/>
    <n v="0.97680412371133696"/>
    <n v="1"/>
    <n v="47.75"/>
    <n v="47.75"/>
    <n v="5.7849191320945126E-6"/>
    <n v="0.99985280015824318"/>
    <x v="2"/>
  </r>
  <r>
    <s v="0727-2"/>
    <x v="6"/>
    <n v="6.4432989690721648E-4"/>
    <n v="0.97744845360824417"/>
    <n v="2"/>
    <n v="23.39"/>
    <n v="46.78"/>
    <n v="5.6674034973692424E-6"/>
    <n v="0.99985846756174057"/>
    <x v="2"/>
  </r>
  <r>
    <s v="0389-8"/>
    <x v="5"/>
    <n v="6.4432989690721648E-4"/>
    <n v="0.97809278350515139"/>
    <n v="2"/>
    <n v="23.26"/>
    <n v="46.52"/>
    <n v="5.6359044612573139E-6"/>
    <n v="0.9998641034662018"/>
    <x v="2"/>
  </r>
  <r>
    <s v="1257-6"/>
    <x v="7"/>
    <n v="6.4432989690721648E-4"/>
    <n v="0.9787371134020586"/>
    <n v="1"/>
    <n v="46.48"/>
    <n v="46.48"/>
    <n v="5.631058455701632E-6"/>
    <n v="0.99986973452465755"/>
    <x v="2"/>
  </r>
  <r>
    <s v="0563-8"/>
    <x v="5"/>
    <n v="6.4432989690721648E-4"/>
    <n v="0.97938144329896581"/>
    <n v="2"/>
    <n v="23.22"/>
    <n v="46.44"/>
    <n v="5.6262124501459511E-6"/>
    <n v="0.9998753607371077"/>
    <x v="2"/>
  </r>
  <r>
    <s v="1208-4"/>
    <x v="4"/>
    <n v="6.4432989690721648E-4"/>
    <n v="0.98002577319587303"/>
    <n v="1"/>
    <n v="45.49"/>
    <n v="45.49"/>
    <n v="5.511119818198521E-6"/>
    <n v="0.99988087185692587"/>
    <x v="2"/>
  </r>
  <r>
    <s v="1501-7"/>
    <x v="3"/>
    <n v="6.4432989690721648E-4"/>
    <n v="0.98067010309278024"/>
    <n v="1"/>
    <n v="43.03"/>
    <n v="43.03"/>
    <n v="5.2130904765241235E-6"/>
    <n v="0.99988608494740239"/>
    <x v="2"/>
  </r>
  <r>
    <s v="1670-8"/>
    <x v="5"/>
    <n v="6.4432989690721648E-4"/>
    <n v="0.98131443298968746"/>
    <n v="1"/>
    <n v="42.37"/>
    <n v="42.37"/>
    <n v="5.1331313848553817E-6"/>
    <n v="0.99989121807878723"/>
    <x v="2"/>
  </r>
  <r>
    <s v="1709-7"/>
    <x v="3"/>
    <n v="6.4432989690721648E-4"/>
    <n v="0.98195876288659467"/>
    <n v="1"/>
    <n v="42.37"/>
    <n v="42.37"/>
    <n v="5.1331313848553817E-6"/>
    <n v="0.99989635121017206"/>
    <x v="2"/>
  </r>
  <r>
    <s v="1537-8"/>
    <x v="5"/>
    <n v="6.4432989690721648E-4"/>
    <n v="0.98260309278350189"/>
    <n v="1"/>
    <n v="42.32"/>
    <n v="42.32"/>
    <n v="5.1270738779107811E-6"/>
    <n v="0.99990147828404996"/>
    <x v="2"/>
  </r>
  <r>
    <s v="0024-8"/>
    <x v="5"/>
    <n v="6.4432989690721648E-4"/>
    <n v="0.9832474226804091"/>
    <n v="1"/>
    <n v="42.29"/>
    <n v="42.29"/>
    <n v="5.1234393737440197E-6"/>
    <n v="0.99990660172342372"/>
    <x v="2"/>
  </r>
  <r>
    <s v="1121-8"/>
    <x v="5"/>
    <n v="6.4432989690721648E-4"/>
    <n v="0.98389175257731631"/>
    <n v="1"/>
    <n v="41.98"/>
    <n v="41.98"/>
    <n v="5.0858828306874897E-6"/>
    <n v="0.99991168760625437"/>
    <x v="2"/>
  </r>
  <r>
    <s v="1732-9"/>
    <x v="2"/>
    <n v="6.4432989690721648E-4"/>
    <n v="0.98453608247422353"/>
    <n v="1"/>
    <n v="41.71"/>
    <n v="41.71"/>
    <n v="5.0531722931866415E-6"/>
    <n v="0.99991674077854753"/>
    <x v="2"/>
  </r>
  <r>
    <s v="1579-8"/>
    <x v="5"/>
    <n v="6.4432989690721648E-4"/>
    <n v="0.98518041237113074"/>
    <n v="1"/>
    <n v="41.63"/>
    <n v="41.63"/>
    <n v="5.0434802820752787E-6"/>
    <n v="0.9999217842588296"/>
    <x v="2"/>
  </r>
  <r>
    <s v="0315-8"/>
    <x v="5"/>
    <n v="6.4432989690721648E-4"/>
    <n v="0.98582474226803796"/>
    <n v="8"/>
    <n v="5.15"/>
    <n v="41.2"/>
    <n v="4.9913857223517057E-6"/>
    <n v="0.9999267756445519"/>
    <x v="2"/>
  </r>
  <r>
    <s v="0974-8"/>
    <x v="5"/>
    <n v="6.4432989690721648E-4"/>
    <n v="0.98646907216494517"/>
    <n v="5"/>
    <n v="8.0500000000000007"/>
    <n v="40.25"/>
    <n v="4.8762930904042748E-6"/>
    <n v="0.99993165193764233"/>
    <x v="2"/>
  </r>
  <r>
    <s v="1768-7"/>
    <x v="3"/>
    <n v="6.4432989690721648E-4"/>
    <n v="0.98711340206185239"/>
    <n v="1"/>
    <n v="39.79"/>
    <n v="39.79"/>
    <n v="4.8205640265139404E-6"/>
    <n v="0.99993647250166884"/>
    <x v="2"/>
  </r>
  <r>
    <s v="0275-8"/>
    <x v="5"/>
    <n v="6.4432989690721648E-4"/>
    <n v="0.9877577319587596"/>
    <n v="1"/>
    <n v="39.78"/>
    <n v="39.78"/>
    <n v="4.81935252512502E-6"/>
    <n v="0.999941291854194"/>
    <x v="2"/>
  </r>
  <r>
    <s v="1289-6"/>
    <x v="7"/>
    <n v="6.4432989690721648E-4"/>
    <n v="0.98840206185566681"/>
    <n v="1"/>
    <n v="39.65"/>
    <n v="39.65"/>
    <n v="4.8036030070690557E-6"/>
    <n v="0.99994609545720103"/>
    <x v="2"/>
  </r>
  <r>
    <s v="1153-6"/>
    <x v="7"/>
    <n v="6.4432989690721648E-4"/>
    <n v="0.98904639175257403"/>
    <n v="2"/>
    <n v="17.940000000000001"/>
    <n v="35.880000000000003"/>
    <n v="4.3468669834460967E-6"/>
    <n v="0.99995044232418451"/>
    <x v="2"/>
  </r>
  <r>
    <s v="1337-8"/>
    <x v="5"/>
    <n v="6.4432989690721648E-4"/>
    <n v="0.98969072164948124"/>
    <n v="1"/>
    <n v="33"/>
    <n v="33"/>
    <n v="3.9979545834370451E-6"/>
    <n v="0.9999544402787679"/>
    <x v="2"/>
  </r>
  <r>
    <s v="0708-8"/>
    <x v="5"/>
    <n v="6.4432989690721648E-4"/>
    <n v="0.99033505154638846"/>
    <n v="1"/>
    <n v="32.26"/>
    <n v="32.26"/>
    <n v="3.9083034806569421E-6"/>
    <n v="0.99995834858224852"/>
    <x v="2"/>
  </r>
  <r>
    <s v="1802-5"/>
    <x v="8"/>
    <n v="6.4432989690721648E-4"/>
    <n v="0.99097938144329567"/>
    <n v="5"/>
    <n v="6.32"/>
    <n v="31.6"/>
    <n v="3.8283443889882011E-6"/>
    <n v="0.99996217692663747"/>
    <x v="2"/>
  </r>
  <r>
    <s v="1742-8"/>
    <x v="5"/>
    <n v="6.4432989690721648E-4"/>
    <n v="0.99162371134020288"/>
    <n v="1"/>
    <n v="31.11"/>
    <n v="31.11"/>
    <n v="3.7689808209311053E-6"/>
    <n v="0.99996594590745835"/>
    <x v="2"/>
  </r>
  <r>
    <s v="1608-4"/>
    <x v="4"/>
    <n v="6.4432989690721648E-4"/>
    <n v="0.9922680412371101"/>
    <n v="1"/>
    <n v="29.65"/>
    <n v="29.65"/>
    <n v="3.592101618148739E-6"/>
    <n v="0.99996953800907651"/>
    <x v="2"/>
  </r>
  <r>
    <s v="0686-8"/>
    <x v="5"/>
    <n v="6.4432989690721648E-4"/>
    <n v="0.99291237113401731"/>
    <n v="1"/>
    <n v="29.52"/>
    <n v="29.52"/>
    <n v="3.5763521000927752E-6"/>
    <n v="0.99997311436117664"/>
    <x v="2"/>
  </r>
  <r>
    <s v="1040-8"/>
    <x v="5"/>
    <n v="6.4432989690721648E-4"/>
    <n v="0.99355670103092453"/>
    <n v="1"/>
    <n v="29.33"/>
    <n v="29.33"/>
    <n v="3.553333573703289E-6"/>
    <n v="0.99997666769475035"/>
    <x v="2"/>
  </r>
  <r>
    <s v="1876-8"/>
    <x v="5"/>
    <n v="6.4432989690721648E-4"/>
    <n v="0.99420103092783174"/>
    <n v="1"/>
    <n v="28.47"/>
    <n v="28.47"/>
    <n v="3.4491444542561417E-6"/>
    <n v="0.99998011683920462"/>
    <x v="2"/>
  </r>
  <r>
    <s v="1707-8"/>
    <x v="5"/>
    <n v="6.4432989690721648E-4"/>
    <n v="0.99484536082473896"/>
    <n v="1"/>
    <n v="23.11"/>
    <n v="23.11"/>
    <n v="2.7997797097948522E-6"/>
    <n v="0.99998291661891447"/>
    <x v="2"/>
  </r>
  <r>
    <s v="0869-8"/>
    <x v="5"/>
    <n v="6.4432989690721648E-4"/>
    <n v="0.99548969072164617"/>
    <n v="1"/>
    <n v="22.77"/>
    <n v="22.77"/>
    <n v="2.7585886625715612E-6"/>
    <n v="0.99998567520757708"/>
    <x v="2"/>
  </r>
  <r>
    <s v="0098-8"/>
    <x v="5"/>
    <n v="6.4432989690721648E-4"/>
    <n v="0.99613402061855338"/>
    <n v="1"/>
    <n v="22.32"/>
    <n v="22.32"/>
    <n v="2.7040711000701473E-6"/>
    <n v="0.99998837927867712"/>
    <x v="2"/>
  </r>
  <r>
    <s v="1303-8"/>
    <x v="5"/>
    <n v="6.4432989690721648E-4"/>
    <n v="0.9967783505154606"/>
    <n v="1"/>
    <n v="19.8"/>
    <n v="19.8"/>
    <n v="2.3987727500622275E-6"/>
    <n v="0.99999077805142722"/>
    <x v="2"/>
  </r>
  <r>
    <s v="0647-8"/>
    <x v="5"/>
    <n v="6.4432989690721648E-4"/>
    <n v="0.99742268041236781"/>
    <n v="1"/>
    <n v="19.350000000000001"/>
    <n v="19.350000000000001"/>
    <n v="2.3442551875608132E-6"/>
    <n v="0.99999312230661475"/>
    <x v="2"/>
  </r>
  <r>
    <s v="1100-6"/>
    <x v="7"/>
    <n v="6.4432989690721648E-4"/>
    <n v="0.99806701030927503"/>
    <n v="1"/>
    <n v="17.239999999999998"/>
    <n v="17.239999999999998"/>
    <n v="2.0886283944986259E-6"/>
    <n v="0.9999952109350092"/>
    <x v="2"/>
  </r>
  <r>
    <s v="0890-2"/>
    <x v="6"/>
    <n v="6.4432989690721648E-4"/>
    <n v="0.99871134020618224"/>
    <n v="2"/>
    <n v="7.89"/>
    <n v="15.78"/>
    <n v="1.9117491917162596E-6"/>
    <n v="0.99999712268420093"/>
    <x v="2"/>
  </r>
  <r>
    <s v="1018-8"/>
    <x v="5"/>
    <n v="6.4432989690721648E-4"/>
    <n v="0.99935567010308946"/>
    <n v="1"/>
    <n v="15.55"/>
    <n v="15.55"/>
    <n v="1.8838846597710926E-6"/>
    <n v="0.99999900656886076"/>
    <x v="2"/>
  </r>
  <r>
    <s v="1870-4"/>
    <x v="4"/>
    <n v="6.4432989690721648E-4"/>
    <n v="0.99999999999999667"/>
    <n v="2"/>
    <n v="4.0999999999999996"/>
    <n v="8.1999999999999993"/>
    <n v="9.934311389146596E-7"/>
    <n v="0.9999999999999996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ED644-989E-486A-BF90-E3763F3DFD40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4" firstHeaderRow="1" firstDataRow="2" firstDataCol="1"/>
  <pivotFields count="10">
    <pivotField showAll="0"/>
    <pivotField axis="axisRow" showAll="0">
      <items count="10">
        <item x="0"/>
        <item x="6"/>
        <item x="1"/>
        <item x="4"/>
        <item x="8"/>
        <item x="7"/>
        <item x="3"/>
        <item x="5"/>
        <item x="2"/>
        <item t="default"/>
      </items>
    </pivotField>
    <pivotField numFmtId="165" showAll="0"/>
    <pivotField numFmtId="165" showAll="0"/>
    <pivotField numFmtId="1" showAll="0"/>
    <pivotField numFmtId="44" showAll="0"/>
    <pivotField dataField="1" numFmtId="44" showAll="0"/>
    <pivotField numFmtId="165" showAll="0"/>
    <pivotField numFmtId="165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Nombre de Ventes annuelles ($)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243CF-A942-456E-B7F0-CD709C07ACB2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4" firstHeaderRow="1" firstDataRow="2" firstDataCol="1"/>
  <pivotFields count="10">
    <pivotField showAll="0"/>
    <pivotField axis="axisRow" showAll="0">
      <items count="10">
        <item x="0"/>
        <item x="6"/>
        <item x="1"/>
        <item x="4"/>
        <item x="8"/>
        <item x="7"/>
        <item x="3"/>
        <item x="5"/>
        <item x="2"/>
        <item t="default"/>
      </items>
    </pivotField>
    <pivotField numFmtId="165" showAll="0"/>
    <pivotField numFmtId="165" showAll="0"/>
    <pivotField numFmtId="1" showAll="0"/>
    <pivotField numFmtId="44" showAll="0"/>
    <pivotField dataField="1" numFmtId="44" showAll="0"/>
    <pivotField numFmtId="165" showAll="0"/>
    <pivotField numFmtId="165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omme de Ventes annuelles ($)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3"/>
  <sheetViews>
    <sheetView workbookViewId="0"/>
  </sheetViews>
  <sheetFormatPr baseColWidth="10" defaultColWidth="11.42578125" defaultRowHeight="15" x14ac:dyDescent="0.25"/>
  <cols>
    <col min="1" max="1" width="21.7109375" style="3" customWidth="1"/>
    <col min="2" max="2" width="9.5703125" style="3" bestFit="1" customWidth="1"/>
    <col min="3" max="4" width="21.7109375" style="3" customWidth="1"/>
    <col min="5" max="5" width="27.28515625" style="4" bestFit="1" customWidth="1"/>
    <col min="6" max="6" width="25.42578125" style="5" customWidth="1"/>
    <col min="7" max="7" width="21.28515625" customWidth="1"/>
    <col min="8" max="8" width="15.42578125" style="3" customWidth="1"/>
    <col min="9" max="9" width="23.42578125" style="3" customWidth="1"/>
    <col min="10" max="10" width="17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 t="str">
        <f t="shared" ref="B2:B65" si="0">RIGHT(A2,1)</f>
        <v>1</v>
      </c>
      <c r="C2" s="7">
        <f t="shared" ref="C2:C65" si="1">1/COUNTA(A$2:A$1553)</f>
        <v>6.4432989690721648E-4</v>
      </c>
      <c r="D2" s="8">
        <f>C2</f>
        <v>6.4432989690721648E-4</v>
      </c>
      <c r="E2" s="4">
        <v>175</v>
      </c>
      <c r="F2" s="5">
        <v>769.45</v>
      </c>
      <c r="G2" s="10">
        <f t="shared" ref="G2:G65" si="2">E2*F2</f>
        <v>134653.75</v>
      </c>
      <c r="H2" s="7">
        <f t="shared" ref="H2:H65" si="3">G2/SUM(G$2:G$1553)</f>
        <v>1.6313320514832912E-2</v>
      </c>
      <c r="I2" s="8">
        <f>H2</f>
        <v>1.6313320514832912E-2</v>
      </c>
      <c r="J2" s="3" t="s">
        <v>11</v>
      </c>
    </row>
    <row r="3" spans="1:10" x14ac:dyDescent="0.25">
      <c r="A3" s="3" t="s">
        <v>12</v>
      </c>
      <c r="B3" s="3" t="str">
        <f t="shared" si="0"/>
        <v>3</v>
      </c>
      <c r="C3" s="7">
        <f t="shared" si="1"/>
        <v>6.4432989690721648E-4</v>
      </c>
      <c r="D3" s="8">
        <f t="shared" ref="D3:D66" si="4">D2+C3</f>
        <v>1.288659793814433E-3</v>
      </c>
      <c r="E3" s="4">
        <v>97</v>
      </c>
      <c r="F3" s="5">
        <v>1359.67</v>
      </c>
      <c r="G3" s="10">
        <f t="shared" si="2"/>
        <v>131887.99000000002</v>
      </c>
      <c r="H3" s="7">
        <f t="shared" si="3"/>
        <v>1.5978248306690888E-2</v>
      </c>
      <c r="I3" s="8">
        <f t="shared" ref="I3:I66" si="5">I2+H3</f>
        <v>3.22915688215238E-2</v>
      </c>
      <c r="J3" s="3" t="s">
        <v>11</v>
      </c>
    </row>
    <row r="4" spans="1:10" x14ac:dyDescent="0.25">
      <c r="A4" s="3" t="s">
        <v>13</v>
      </c>
      <c r="B4" s="3" t="str">
        <f t="shared" si="0"/>
        <v>1</v>
      </c>
      <c r="C4" s="7">
        <f t="shared" si="1"/>
        <v>6.4432989690721648E-4</v>
      </c>
      <c r="D4" s="8">
        <f t="shared" si="4"/>
        <v>1.9329896907216496E-3</v>
      </c>
      <c r="E4" s="4">
        <v>105</v>
      </c>
      <c r="F4" s="5">
        <v>966.53</v>
      </c>
      <c r="G4" s="10">
        <f t="shared" si="2"/>
        <v>101485.65</v>
      </c>
      <c r="H4" s="7">
        <f t="shared" si="3"/>
        <v>1.2295000593048114E-2</v>
      </c>
      <c r="I4" s="8">
        <f t="shared" si="5"/>
        <v>4.4586569414571911E-2</v>
      </c>
      <c r="J4" s="3" t="s">
        <v>11</v>
      </c>
    </row>
    <row r="5" spans="1:10" x14ac:dyDescent="0.25">
      <c r="A5" s="3" t="s">
        <v>14</v>
      </c>
      <c r="B5" s="3" t="str">
        <f t="shared" si="0"/>
        <v>9</v>
      </c>
      <c r="C5" s="7">
        <f t="shared" si="1"/>
        <v>6.4432989690721648E-4</v>
      </c>
      <c r="D5" s="8">
        <f t="shared" si="4"/>
        <v>2.5773195876288659E-3</v>
      </c>
      <c r="E5" s="4">
        <v>235</v>
      </c>
      <c r="F5" s="5">
        <v>427.56</v>
      </c>
      <c r="G5" s="10">
        <f t="shared" si="2"/>
        <v>100476.6</v>
      </c>
      <c r="H5" s="7">
        <f t="shared" si="3"/>
        <v>1.2172754045399111E-2</v>
      </c>
      <c r="I5" s="8">
        <f t="shared" si="5"/>
        <v>5.675932345997102E-2</v>
      </c>
      <c r="J5" s="3" t="s">
        <v>11</v>
      </c>
    </row>
    <row r="6" spans="1:10" x14ac:dyDescent="0.25">
      <c r="A6" s="3" t="s">
        <v>15</v>
      </c>
      <c r="B6" s="3" t="str">
        <f t="shared" si="0"/>
        <v>3</v>
      </c>
      <c r="C6" s="7">
        <f t="shared" si="1"/>
        <v>6.4432989690721648E-4</v>
      </c>
      <c r="D6" s="8">
        <f t="shared" si="4"/>
        <v>3.2216494845360823E-3</v>
      </c>
      <c r="E6" s="4">
        <v>165</v>
      </c>
      <c r="F6" s="5">
        <v>499.46</v>
      </c>
      <c r="G6" s="10">
        <f t="shared" si="2"/>
        <v>82410.899999999994</v>
      </c>
      <c r="H6" s="7">
        <f t="shared" si="3"/>
        <v>9.9840919812173336E-3</v>
      </c>
      <c r="I6" s="8">
        <f t="shared" si="5"/>
        <v>6.674341544118835E-2</v>
      </c>
      <c r="J6" s="3" t="s">
        <v>11</v>
      </c>
    </row>
    <row r="7" spans="1:10" x14ac:dyDescent="0.25">
      <c r="A7" s="3" t="s">
        <v>16</v>
      </c>
      <c r="B7" s="3" t="str">
        <f t="shared" si="0"/>
        <v>1</v>
      </c>
      <c r="C7" s="7">
        <f t="shared" si="1"/>
        <v>6.4432989690721648E-4</v>
      </c>
      <c r="D7" s="8">
        <f t="shared" si="4"/>
        <v>3.8659793814432987E-3</v>
      </c>
      <c r="E7" s="4">
        <v>108</v>
      </c>
      <c r="F7" s="5">
        <v>758.59</v>
      </c>
      <c r="G7" s="10">
        <f t="shared" si="2"/>
        <v>81927.72</v>
      </c>
      <c r="H7" s="7">
        <f t="shared" si="3"/>
        <v>9.9255546571074826E-3</v>
      </c>
      <c r="I7" s="8">
        <f t="shared" si="5"/>
        <v>7.6668970098295833E-2</v>
      </c>
      <c r="J7" s="3" t="s">
        <v>11</v>
      </c>
    </row>
    <row r="8" spans="1:10" x14ac:dyDescent="0.25">
      <c r="A8" s="3" t="s">
        <v>17</v>
      </c>
      <c r="B8" s="3" t="str">
        <f t="shared" si="0"/>
        <v>7</v>
      </c>
      <c r="C8" s="7">
        <f t="shared" si="1"/>
        <v>6.4432989690721648E-4</v>
      </c>
      <c r="D8" s="8">
        <f t="shared" si="4"/>
        <v>4.5103092783505151E-3</v>
      </c>
      <c r="E8" s="4">
        <v>478</v>
      </c>
      <c r="F8" s="5">
        <v>149.65</v>
      </c>
      <c r="G8" s="10">
        <f t="shared" si="2"/>
        <v>71532.7</v>
      </c>
      <c r="H8" s="7">
        <f t="shared" si="3"/>
        <v>8.6661965403220347E-3</v>
      </c>
      <c r="I8" s="8">
        <f t="shared" si="5"/>
        <v>8.5335166638617871E-2</v>
      </c>
      <c r="J8" s="3" t="s">
        <v>11</v>
      </c>
    </row>
    <row r="9" spans="1:10" x14ac:dyDescent="0.25">
      <c r="A9" s="3" t="s">
        <v>18</v>
      </c>
      <c r="B9" s="3" t="str">
        <f t="shared" si="0"/>
        <v>4</v>
      </c>
      <c r="C9" s="7">
        <f t="shared" si="1"/>
        <v>6.4432989690721648E-4</v>
      </c>
      <c r="D9" s="8">
        <f t="shared" si="4"/>
        <v>5.1546391752577319E-3</v>
      </c>
      <c r="E9" s="4">
        <v>267</v>
      </c>
      <c r="F9" s="5">
        <v>242.06</v>
      </c>
      <c r="G9" s="10">
        <f t="shared" si="2"/>
        <v>64630.020000000004</v>
      </c>
      <c r="H9" s="7">
        <f t="shared" si="3"/>
        <v>7.8299358995947855E-3</v>
      </c>
      <c r="I9" s="8">
        <f t="shared" si="5"/>
        <v>9.3165102538212655E-2</v>
      </c>
      <c r="J9" s="3" t="s">
        <v>11</v>
      </c>
    </row>
    <row r="10" spans="1:10" x14ac:dyDescent="0.25">
      <c r="A10" s="3" t="s">
        <v>19</v>
      </c>
      <c r="B10" s="3" t="str">
        <f t="shared" si="0"/>
        <v>1</v>
      </c>
      <c r="C10" s="7">
        <f t="shared" si="1"/>
        <v>6.4432989690721648E-4</v>
      </c>
      <c r="D10" s="8">
        <f t="shared" si="4"/>
        <v>5.7989690721649487E-3</v>
      </c>
      <c r="E10" s="4">
        <v>64</v>
      </c>
      <c r="F10" s="5">
        <v>982.41</v>
      </c>
      <c r="G10" s="10">
        <f t="shared" si="2"/>
        <v>62874.239999999998</v>
      </c>
      <c r="H10" s="7">
        <f t="shared" si="3"/>
        <v>7.6172229087309333E-3</v>
      </c>
      <c r="I10" s="8">
        <f t="shared" si="5"/>
        <v>0.10078232544694359</v>
      </c>
      <c r="J10" s="3" t="s">
        <v>11</v>
      </c>
    </row>
    <row r="11" spans="1:10" x14ac:dyDescent="0.25">
      <c r="A11" s="3" t="s">
        <v>20</v>
      </c>
      <c r="B11" s="3" t="str">
        <f t="shared" si="0"/>
        <v>4</v>
      </c>
      <c r="C11" s="7">
        <f t="shared" si="1"/>
        <v>6.4432989690721648E-4</v>
      </c>
      <c r="D11" s="8">
        <f t="shared" si="4"/>
        <v>6.4432989690721655E-3</v>
      </c>
      <c r="E11" s="4">
        <v>254</v>
      </c>
      <c r="F11" s="5">
        <v>240.89</v>
      </c>
      <c r="G11" s="10">
        <f t="shared" si="2"/>
        <v>61186.06</v>
      </c>
      <c r="H11" s="7">
        <f t="shared" si="3"/>
        <v>7.4126996672561835E-3</v>
      </c>
      <c r="I11" s="8">
        <f t="shared" si="5"/>
        <v>0.10819502511419977</v>
      </c>
      <c r="J11" s="3" t="s">
        <v>11</v>
      </c>
    </row>
    <row r="12" spans="1:10" x14ac:dyDescent="0.25">
      <c r="A12" s="3" t="s">
        <v>21</v>
      </c>
      <c r="B12" s="3" t="str">
        <f t="shared" si="0"/>
        <v>4</v>
      </c>
      <c r="C12" s="7">
        <f t="shared" si="1"/>
        <v>6.4432989690721648E-4</v>
      </c>
      <c r="D12" s="8">
        <f t="shared" si="4"/>
        <v>7.0876288659793823E-3</v>
      </c>
      <c r="E12" s="4">
        <v>570</v>
      </c>
      <c r="F12" s="5">
        <v>106.37</v>
      </c>
      <c r="G12" s="10">
        <f t="shared" si="2"/>
        <v>60630.9</v>
      </c>
      <c r="H12" s="7">
        <f t="shared" si="3"/>
        <v>7.3454419561488835E-3</v>
      </c>
      <c r="I12" s="8">
        <f t="shared" si="5"/>
        <v>0.11554046707034865</v>
      </c>
      <c r="J12" s="3" t="s">
        <v>11</v>
      </c>
    </row>
    <row r="13" spans="1:10" x14ac:dyDescent="0.25">
      <c r="A13" s="3" t="s">
        <v>22</v>
      </c>
      <c r="B13" s="3" t="str">
        <f t="shared" si="0"/>
        <v>8</v>
      </c>
      <c r="C13" s="7">
        <f t="shared" si="1"/>
        <v>6.4432989690721648E-4</v>
      </c>
      <c r="D13" s="8">
        <f t="shared" si="4"/>
        <v>7.7319587628865991E-3</v>
      </c>
      <c r="E13" s="4">
        <v>1359</v>
      </c>
      <c r="F13" s="5">
        <v>44.3</v>
      </c>
      <c r="G13" s="10">
        <f t="shared" si="2"/>
        <v>60203.7</v>
      </c>
      <c r="H13" s="7">
        <f t="shared" si="3"/>
        <v>7.2936866168142071E-3</v>
      </c>
      <c r="I13" s="8">
        <f t="shared" si="5"/>
        <v>0.12283415368716286</v>
      </c>
      <c r="J13" s="3" t="s">
        <v>11</v>
      </c>
    </row>
    <row r="14" spans="1:10" x14ac:dyDescent="0.25">
      <c r="A14" s="3" t="s">
        <v>23</v>
      </c>
      <c r="B14" s="3" t="str">
        <f t="shared" si="0"/>
        <v>9</v>
      </c>
      <c r="C14" s="7">
        <f t="shared" si="1"/>
        <v>6.4432989690721648E-4</v>
      </c>
      <c r="D14" s="8">
        <f t="shared" si="4"/>
        <v>8.3762886597938159E-3</v>
      </c>
      <c r="E14" s="4">
        <v>428</v>
      </c>
      <c r="F14" s="5">
        <v>127.21</v>
      </c>
      <c r="G14" s="10">
        <f t="shared" si="2"/>
        <v>54445.88</v>
      </c>
      <c r="H14" s="7">
        <f t="shared" si="3"/>
        <v>6.5961259240988898E-3</v>
      </c>
      <c r="I14" s="8">
        <f t="shared" si="5"/>
        <v>0.12943027961126174</v>
      </c>
      <c r="J14" s="3" t="s">
        <v>11</v>
      </c>
    </row>
    <row r="15" spans="1:10" x14ac:dyDescent="0.25">
      <c r="A15" s="3" t="s">
        <v>24</v>
      </c>
      <c r="B15" s="3" t="str">
        <f t="shared" si="0"/>
        <v>7</v>
      </c>
      <c r="C15" s="7">
        <f t="shared" si="1"/>
        <v>6.4432989690721648E-4</v>
      </c>
      <c r="D15" s="8">
        <f t="shared" si="4"/>
        <v>9.0206185567010318E-3</v>
      </c>
      <c r="E15" s="4">
        <v>298</v>
      </c>
      <c r="F15" s="5">
        <v>178.17</v>
      </c>
      <c r="G15" s="10">
        <f t="shared" si="2"/>
        <v>53094.659999999996</v>
      </c>
      <c r="H15" s="7">
        <f t="shared" si="3"/>
        <v>6.4324254334251979E-3</v>
      </c>
      <c r="I15" s="8">
        <f t="shared" si="5"/>
        <v>0.13586270504468695</v>
      </c>
      <c r="J15" s="3" t="s">
        <v>11</v>
      </c>
    </row>
    <row r="16" spans="1:10" x14ac:dyDescent="0.25">
      <c r="A16" s="3" t="s">
        <v>25</v>
      </c>
      <c r="B16" s="3" t="str">
        <f t="shared" si="0"/>
        <v>9</v>
      </c>
      <c r="C16" s="7">
        <f t="shared" si="1"/>
        <v>6.4432989690721648E-4</v>
      </c>
      <c r="D16" s="8">
        <f t="shared" si="4"/>
        <v>9.6649484536082478E-3</v>
      </c>
      <c r="E16" s="4">
        <v>201</v>
      </c>
      <c r="F16" s="5">
        <v>263.88</v>
      </c>
      <c r="G16" s="10">
        <f t="shared" si="2"/>
        <v>53039.88</v>
      </c>
      <c r="H16" s="7">
        <f t="shared" si="3"/>
        <v>6.4257888288166932E-3</v>
      </c>
      <c r="I16" s="8">
        <f t="shared" si="5"/>
        <v>0.14228849387350365</v>
      </c>
      <c r="J16" s="3" t="s">
        <v>11</v>
      </c>
    </row>
    <row r="17" spans="1:10" x14ac:dyDescent="0.25">
      <c r="A17" s="3" t="s">
        <v>26</v>
      </c>
      <c r="B17" s="3" t="str">
        <f t="shared" si="0"/>
        <v>7</v>
      </c>
      <c r="C17" s="7">
        <f t="shared" si="1"/>
        <v>6.4432989690721648E-4</v>
      </c>
      <c r="D17" s="8">
        <f t="shared" si="4"/>
        <v>1.0309278350515464E-2</v>
      </c>
      <c r="E17" s="4">
        <v>255</v>
      </c>
      <c r="F17" s="5">
        <v>206.14</v>
      </c>
      <c r="G17" s="10">
        <f t="shared" si="2"/>
        <v>52565.7</v>
      </c>
      <c r="H17" s="7">
        <f t="shared" si="3"/>
        <v>6.3683418559568692E-3</v>
      </c>
      <c r="I17" s="8">
        <f t="shared" si="5"/>
        <v>0.14865683572946051</v>
      </c>
      <c r="J17" s="3" t="s">
        <v>11</v>
      </c>
    </row>
    <row r="18" spans="1:10" x14ac:dyDescent="0.25">
      <c r="A18" s="3" t="s">
        <v>27</v>
      </c>
      <c r="B18" s="3" t="str">
        <f t="shared" si="0"/>
        <v>2</v>
      </c>
      <c r="C18" s="7">
        <f t="shared" si="1"/>
        <v>6.4432989690721648E-4</v>
      </c>
      <c r="D18" s="8">
        <f t="shared" si="4"/>
        <v>1.095360824742268E-2</v>
      </c>
      <c r="E18" s="4">
        <v>798</v>
      </c>
      <c r="F18" s="5">
        <v>55.37</v>
      </c>
      <c r="G18" s="10">
        <f t="shared" si="2"/>
        <v>44185.259999999995</v>
      </c>
      <c r="H18" s="7">
        <f t="shared" si="3"/>
        <v>5.3530503859805312E-3</v>
      </c>
      <c r="I18" s="8">
        <f t="shared" si="5"/>
        <v>0.15400988611544103</v>
      </c>
      <c r="J18" s="3" t="s">
        <v>11</v>
      </c>
    </row>
    <row r="19" spans="1:10" x14ac:dyDescent="0.25">
      <c r="A19" s="3" t="s">
        <v>28</v>
      </c>
      <c r="B19" s="3" t="str">
        <f t="shared" si="0"/>
        <v>1</v>
      </c>
      <c r="C19" s="7">
        <f t="shared" si="1"/>
        <v>6.4432989690721648E-4</v>
      </c>
      <c r="D19" s="8">
        <f t="shared" si="4"/>
        <v>1.1597938144329896E-2</v>
      </c>
      <c r="E19" s="4">
        <v>63</v>
      </c>
      <c r="F19" s="5">
        <v>625.64</v>
      </c>
      <c r="G19" s="10">
        <f t="shared" si="2"/>
        <v>39415.32</v>
      </c>
      <c r="H19" s="7">
        <f t="shared" si="3"/>
        <v>4.7751714924738741E-3</v>
      </c>
      <c r="I19" s="8">
        <f t="shared" si="5"/>
        <v>0.15878505760791489</v>
      </c>
      <c r="J19" s="3" t="s">
        <v>11</v>
      </c>
    </row>
    <row r="20" spans="1:10" x14ac:dyDescent="0.25">
      <c r="A20" s="23" t="s">
        <v>29</v>
      </c>
      <c r="B20" s="23" t="str">
        <f t="shared" si="0"/>
        <v>6</v>
      </c>
      <c r="C20" s="24">
        <f t="shared" si="1"/>
        <v>6.4432989690721648E-4</v>
      </c>
      <c r="D20" s="9">
        <f t="shared" si="4"/>
        <v>1.2242268041237112E-2</v>
      </c>
      <c r="E20" s="25">
        <v>964</v>
      </c>
      <c r="F20" s="26">
        <v>39.4</v>
      </c>
      <c r="G20" s="27">
        <f t="shared" si="2"/>
        <v>37981.599999999999</v>
      </c>
      <c r="H20" s="24">
        <f t="shared" si="3"/>
        <v>4.6014761153415906E-3</v>
      </c>
      <c r="I20" s="9">
        <f t="shared" si="5"/>
        <v>0.16338653372325648</v>
      </c>
      <c r="J20" s="23" t="s">
        <v>11</v>
      </c>
    </row>
    <row r="21" spans="1:10" x14ac:dyDescent="0.25">
      <c r="A21" s="3" t="s">
        <v>30</v>
      </c>
      <c r="B21" s="3" t="str">
        <f t="shared" si="0"/>
        <v>1</v>
      </c>
      <c r="C21" s="7">
        <f t="shared" si="1"/>
        <v>6.4432989690721648E-4</v>
      </c>
      <c r="D21" s="8">
        <f t="shared" si="4"/>
        <v>1.2886597938144327E-2</v>
      </c>
      <c r="E21" s="4">
        <v>51</v>
      </c>
      <c r="F21" s="5">
        <v>738.42</v>
      </c>
      <c r="G21" s="10">
        <f t="shared" si="2"/>
        <v>37659.42</v>
      </c>
      <c r="H21" s="7">
        <f t="shared" si="3"/>
        <v>4.5624439635933555E-3</v>
      </c>
      <c r="I21" s="8">
        <f t="shared" si="5"/>
        <v>0.16794897768684983</v>
      </c>
      <c r="J21" s="3" t="s">
        <v>11</v>
      </c>
    </row>
    <row r="22" spans="1:10" x14ac:dyDescent="0.25">
      <c r="A22" s="3" t="s">
        <v>31</v>
      </c>
      <c r="B22" s="3" t="str">
        <f t="shared" si="0"/>
        <v>1</v>
      </c>
      <c r="C22" s="7">
        <f t="shared" si="1"/>
        <v>6.4432989690721648E-4</v>
      </c>
      <c r="D22" s="8">
        <f t="shared" si="4"/>
        <v>1.3530927835051543E-2</v>
      </c>
      <c r="E22" s="4">
        <v>52</v>
      </c>
      <c r="F22" s="5">
        <v>717.35</v>
      </c>
      <c r="G22" s="10">
        <f t="shared" si="2"/>
        <v>37302.200000000004</v>
      </c>
      <c r="H22" s="7">
        <f t="shared" si="3"/>
        <v>4.5191667109783446E-3</v>
      </c>
      <c r="I22" s="8">
        <f t="shared" si="5"/>
        <v>0.17246814439782818</v>
      </c>
      <c r="J22" s="3" t="s">
        <v>11</v>
      </c>
    </row>
    <row r="23" spans="1:10" x14ac:dyDescent="0.25">
      <c r="A23" s="3" t="s">
        <v>32</v>
      </c>
      <c r="B23" s="3" t="str">
        <f t="shared" si="0"/>
        <v>8</v>
      </c>
      <c r="C23" s="7">
        <f t="shared" si="1"/>
        <v>6.4432989690721648E-4</v>
      </c>
      <c r="D23" s="8">
        <f t="shared" si="4"/>
        <v>1.4175257731958759E-2</v>
      </c>
      <c r="E23" s="4">
        <v>1339</v>
      </c>
      <c r="F23" s="5">
        <v>25.24</v>
      </c>
      <c r="G23" s="10">
        <f t="shared" si="2"/>
        <v>33796.36</v>
      </c>
      <c r="H23" s="7">
        <f t="shared" si="3"/>
        <v>4.0944337080451041E-3</v>
      </c>
      <c r="I23" s="8">
        <f t="shared" si="5"/>
        <v>0.17656257810587328</v>
      </c>
      <c r="J23" s="3" t="s">
        <v>11</v>
      </c>
    </row>
    <row r="24" spans="1:10" x14ac:dyDescent="0.25">
      <c r="A24" s="3" t="s">
        <v>33</v>
      </c>
      <c r="B24" s="3" t="str">
        <f t="shared" si="0"/>
        <v>1</v>
      </c>
      <c r="C24" s="7">
        <f t="shared" si="1"/>
        <v>6.4432989690721648E-4</v>
      </c>
      <c r="D24" s="8">
        <f t="shared" si="4"/>
        <v>1.4819587628865975E-2</v>
      </c>
      <c r="E24" s="4">
        <v>29</v>
      </c>
      <c r="F24" s="5">
        <v>1149.51</v>
      </c>
      <c r="G24" s="10">
        <f t="shared" si="2"/>
        <v>33335.79</v>
      </c>
      <c r="H24" s="7">
        <f t="shared" si="3"/>
        <v>4.0386355885756011E-3</v>
      </c>
      <c r="I24" s="8">
        <f t="shared" si="5"/>
        <v>0.18060121369444887</v>
      </c>
      <c r="J24" s="3" t="s">
        <v>11</v>
      </c>
    </row>
    <row r="25" spans="1:10" x14ac:dyDescent="0.25">
      <c r="A25" s="3" t="s">
        <v>34</v>
      </c>
      <c r="B25" s="3" t="str">
        <f t="shared" si="0"/>
        <v>4</v>
      </c>
      <c r="C25" s="7">
        <f t="shared" si="1"/>
        <v>6.4432989690721648E-4</v>
      </c>
      <c r="D25" s="8">
        <f t="shared" si="4"/>
        <v>1.5463917525773191E-2</v>
      </c>
      <c r="E25" s="4">
        <v>1251</v>
      </c>
      <c r="F25" s="5">
        <v>26.57</v>
      </c>
      <c r="G25" s="10">
        <f t="shared" si="2"/>
        <v>33239.07</v>
      </c>
      <c r="H25" s="7">
        <f t="shared" si="3"/>
        <v>4.0269179471419635E-3</v>
      </c>
      <c r="I25" s="8">
        <f t="shared" si="5"/>
        <v>0.18462813164159084</v>
      </c>
      <c r="J25" s="3" t="s">
        <v>11</v>
      </c>
    </row>
    <row r="26" spans="1:10" x14ac:dyDescent="0.25">
      <c r="A26" s="3" t="s">
        <v>35</v>
      </c>
      <c r="B26" s="3" t="str">
        <f t="shared" si="0"/>
        <v>5</v>
      </c>
      <c r="C26" s="7">
        <f t="shared" si="1"/>
        <v>6.4432989690721648E-4</v>
      </c>
      <c r="D26" s="8">
        <f t="shared" si="4"/>
        <v>1.6108247422680407E-2</v>
      </c>
      <c r="E26" s="4">
        <v>330</v>
      </c>
      <c r="F26" s="5">
        <v>99.05</v>
      </c>
      <c r="G26" s="10">
        <f t="shared" si="2"/>
        <v>32686.5</v>
      </c>
      <c r="H26" s="7">
        <f t="shared" si="3"/>
        <v>3.9599740148943937E-3</v>
      </c>
      <c r="I26" s="8">
        <f t="shared" si="5"/>
        <v>0.18858810565648523</v>
      </c>
      <c r="J26" s="3" t="s">
        <v>11</v>
      </c>
    </row>
    <row r="27" spans="1:10" x14ac:dyDescent="0.25">
      <c r="A27" s="3" t="s">
        <v>36</v>
      </c>
      <c r="B27" s="3" t="str">
        <f t="shared" si="0"/>
        <v>1</v>
      </c>
      <c r="C27" s="7">
        <f t="shared" si="1"/>
        <v>6.4432989690721648E-4</v>
      </c>
      <c r="D27" s="8">
        <f t="shared" si="4"/>
        <v>1.6752577319587625E-2</v>
      </c>
      <c r="E27" s="4">
        <v>79</v>
      </c>
      <c r="F27" s="5">
        <v>411.42</v>
      </c>
      <c r="G27" s="10">
        <f t="shared" si="2"/>
        <v>32502.18</v>
      </c>
      <c r="H27" s="7">
        <f t="shared" si="3"/>
        <v>3.9376436212938144E-3</v>
      </c>
      <c r="I27" s="8">
        <f t="shared" si="5"/>
        <v>0.19252574927777905</v>
      </c>
      <c r="J27" s="3" t="s">
        <v>11</v>
      </c>
    </row>
    <row r="28" spans="1:10" x14ac:dyDescent="0.25">
      <c r="A28" s="3" t="s">
        <v>37</v>
      </c>
      <c r="B28" s="3" t="str">
        <f t="shared" si="0"/>
        <v>9</v>
      </c>
      <c r="C28" s="7">
        <f t="shared" si="1"/>
        <v>6.4432989690721648E-4</v>
      </c>
      <c r="D28" s="8">
        <f t="shared" si="4"/>
        <v>1.7396907216494843E-2</v>
      </c>
      <c r="E28" s="4">
        <v>350</v>
      </c>
      <c r="F28" s="5">
        <v>88.19</v>
      </c>
      <c r="G28" s="10">
        <f t="shared" si="2"/>
        <v>30866.5</v>
      </c>
      <c r="H28" s="7">
        <f t="shared" si="3"/>
        <v>3.739480762110896E-3</v>
      </c>
      <c r="I28" s="8">
        <f t="shared" si="5"/>
        <v>0.19626523003988994</v>
      </c>
      <c r="J28" s="3" t="s">
        <v>11</v>
      </c>
    </row>
    <row r="29" spans="1:10" x14ac:dyDescent="0.25">
      <c r="A29" s="3" t="s">
        <v>38</v>
      </c>
      <c r="B29" s="3" t="str">
        <f t="shared" si="0"/>
        <v>1</v>
      </c>
      <c r="C29" s="7">
        <f t="shared" si="1"/>
        <v>6.4432989690721648E-4</v>
      </c>
      <c r="D29" s="8">
        <f t="shared" si="4"/>
        <v>1.804123711340206E-2</v>
      </c>
      <c r="E29" s="4">
        <v>30</v>
      </c>
      <c r="F29" s="5">
        <v>1027.43</v>
      </c>
      <c r="G29" s="10">
        <f t="shared" si="2"/>
        <v>30822.9</v>
      </c>
      <c r="H29" s="7">
        <f t="shared" si="3"/>
        <v>3.7341986160552036E-3</v>
      </c>
      <c r="I29" s="8">
        <f t="shared" si="5"/>
        <v>0.19999942865594514</v>
      </c>
      <c r="J29" s="3" t="s">
        <v>11</v>
      </c>
    </row>
    <row r="30" spans="1:10" x14ac:dyDescent="0.25">
      <c r="A30" s="3" t="s">
        <v>39</v>
      </c>
      <c r="B30" s="3" t="str">
        <f t="shared" si="0"/>
        <v>8</v>
      </c>
      <c r="C30" s="7">
        <f t="shared" si="1"/>
        <v>6.4432989690721648E-4</v>
      </c>
      <c r="D30" s="8">
        <f t="shared" si="4"/>
        <v>1.8685567010309278E-2</v>
      </c>
      <c r="E30" s="4">
        <v>656</v>
      </c>
      <c r="F30" s="5">
        <v>46.63</v>
      </c>
      <c r="G30" s="10">
        <f t="shared" si="2"/>
        <v>30589.280000000002</v>
      </c>
      <c r="H30" s="7">
        <f t="shared" si="3"/>
        <v>3.7058955206072473E-3</v>
      </c>
      <c r="I30" s="8">
        <f t="shared" si="5"/>
        <v>0.20370532417655238</v>
      </c>
      <c r="J30" s="3" t="s">
        <v>11</v>
      </c>
    </row>
    <row r="31" spans="1:10" x14ac:dyDescent="0.25">
      <c r="A31" s="3" t="s">
        <v>40</v>
      </c>
      <c r="B31" s="3" t="str">
        <f t="shared" si="0"/>
        <v>4</v>
      </c>
      <c r="C31" s="7">
        <f t="shared" si="1"/>
        <v>6.4432989690721648E-4</v>
      </c>
      <c r="D31" s="8">
        <f t="shared" si="4"/>
        <v>1.9329896907216496E-2</v>
      </c>
      <c r="E31" s="4">
        <v>156</v>
      </c>
      <c r="F31" s="5">
        <v>192.24</v>
      </c>
      <c r="G31" s="10">
        <f t="shared" si="2"/>
        <v>29989.440000000002</v>
      </c>
      <c r="H31" s="7">
        <f t="shared" si="3"/>
        <v>3.6332248212942509E-3</v>
      </c>
      <c r="I31" s="8">
        <f t="shared" si="5"/>
        <v>0.20733854899784662</v>
      </c>
      <c r="J31" s="3" t="s">
        <v>11</v>
      </c>
    </row>
    <row r="32" spans="1:10" x14ac:dyDescent="0.25">
      <c r="A32" s="3" t="s">
        <v>41</v>
      </c>
      <c r="B32" s="3" t="str">
        <f t="shared" si="0"/>
        <v>7</v>
      </c>
      <c r="C32" s="7">
        <f t="shared" si="1"/>
        <v>6.4432989690721648E-4</v>
      </c>
      <c r="D32" s="8">
        <f t="shared" si="4"/>
        <v>1.9974226804123713E-2</v>
      </c>
      <c r="E32" s="4">
        <v>1819</v>
      </c>
      <c r="F32" s="5">
        <v>16.45</v>
      </c>
      <c r="G32" s="10">
        <f t="shared" si="2"/>
        <v>29922.55</v>
      </c>
      <c r="H32" s="7">
        <f t="shared" si="3"/>
        <v>3.6251210885037623E-3</v>
      </c>
      <c r="I32" s="8">
        <f t="shared" si="5"/>
        <v>0.21096367008635039</v>
      </c>
      <c r="J32" s="3" t="s">
        <v>11</v>
      </c>
    </row>
    <row r="33" spans="1:10" x14ac:dyDescent="0.25">
      <c r="A33" s="3" t="s">
        <v>42</v>
      </c>
      <c r="B33" s="3" t="str">
        <f t="shared" si="0"/>
        <v>4</v>
      </c>
      <c r="C33" s="7">
        <f t="shared" si="1"/>
        <v>6.4432989690721648E-4</v>
      </c>
      <c r="D33" s="8">
        <f t="shared" si="4"/>
        <v>2.0618556701030931E-2</v>
      </c>
      <c r="E33" s="4">
        <v>306</v>
      </c>
      <c r="F33" s="5">
        <v>97.65</v>
      </c>
      <c r="G33" s="10">
        <f t="shared" si="2"/>
        <v>29880.9</v>
      </c>
      <c r="H33" s="7">
        <f t="shared" si="3"/>
        <v>3.6200751852189096E-3</v>
      </c>
      <c r="I33" s="8">
        <f t="shared" si="5"/>
        <v>0.21458374527156929</v>
      </c>
      <c r="J33" s="3" t="s">
        <v>11</v>
      </c>
    </row>
    <row r="34" spans="1:10" x14ac:dyDescent="0.25">
      <c r="A34" s="3" t="s">
        <v>43</v>
      </c>
      <c r="B34" s="3" t="str">
        <f t="shared" si="0"/>
        <v>1</v>
      </c>
      <c r="C34" s="7">
        <f t="shared" si="1"/>
        <v>6.4432989690721648E-4</v>
      </c>
      <c r="D34" s="8">
        <f t="shared" si="4"/>
        <v>2.1262886597938149E-2</v>
      </c>
      <c r="E34" s="4">
        <v>60</v>
      </c>
      <c r="F34" s="5">
        <v>497.14</v>
      </c>
      <c r="G34" s="10">
        <f t="shared" si="2"/>
        <v>29828.399999999998</v>
      </c>
      <c r="H34" s="7">
        <f t="shared" si="3"/>
        <v>3.6137148029270773E-3</v>
      </c>
      <c r="I34" s="8">
        <f t="shared" si="5"/>
        <v>0.21819746007449636</v>
      </c>
      <c r="J34" s="3" t="s">
        <v>11</v>
      </c>
    </row>
    <row r="35" spans="1:10" x14ac:dyDescent="0.25">
      <c r="A35" s="3" t="s">
        <v>44</v>
      </c>
      <c r="B35" s="3" t="str">
        <f t="shared" si="0"/>
        <v>1</v>
      </c>
      <c r="C35" s="7">
        <f t="shared" si="1"/>
        <v>6.4432989690721648E-4</v>
      </c>
      <c r="D35" s="8">
        <f t="shared" si="4"/>
        <v>2.1907216494845366E-2</v>
      </c>
      <c r="E35" s="4">
        <v>33</v>
      </c>
      <c r="F35" s="5">
        <v>902.02</v>
      </c>
      <c r="G35" s="10">
        <f t="shared" si="2"/>
        <v>29766.66</v>
      </c>
      <c r="H35" s="7">
        <f t="shared" si="3"/>
        <v>3.6062349933518837E-3</v>
      </c>
      <c r="I35" s="8">
        <f t="shared" si="5"/>
        <v>0.22180369506784825</v>
      </c>
      <c r="J35" s="3" t="s">
        <v>11</v>
      </c>
    </row>
    <row r="36" spans="1:10" x14ac:dyDescent="0.25">
      <c r="A36" s="3" t="s">
        <v>45</v>
      </c>
      <c r="B36" s="3" t="str">
        <f t="shared" si="0"/>
        <v>4</v>
      </c>
      <c r="C36" s="7">
        <f t="shared" si="1"/>
        <v>6.4432989690721648E-4</v>
      </c>
      <c r="D36" s="8">
        <f t="shared" si="4"/>
        <v>2.2551546391752584E-2</v>
      </c>
      <c r="E36" s="4">
        <v>85</v>
      </c>
      <c r="F36" s="5">
        <v>350.19</v>
      </c>
      <c r="G36" s="10">
        <f t="shared" si="2"/>
        <v>29766.15</v>
      </c>
      <c r="H36" s="7">
        <f t="shared" si="3"/>
        <v>3.6061732067810487E-3</v>
      </c>
      <c r="I36" s="8">
        <f t="shared" si="5"/>
        <v>0.2254098682746293</v>
      </c>
      <c r="J36" s="3" t="s">
        <v>11</v>
      </c>
    </row>
    <row r="37" spans="1:10" x14ac:dyDescent="0.25">
      <c r="A37" s="3" t="s">
        <v>46</v>
      </c>
      <c r="B37" s="3" t="str">
        <f t="shared" si="0"/>
        <v>7</v>
      </c>
      <c r="C37" s="7">
        <f t="shared" si="1"/>
        <v>6.4432989690721648E-4</v>
      </c>
      <c r="D37" s="8">
        <f t="shared" si="4"/>
        <v>2.3195876288659802E-2</v>
      </c>
      <c r="E37" s="4">
        <v>411</v>
      </c>
      <c r="F37" s="5">
        <v>71.959999999999994</v>
      </c>
      <c r="G37" s="10">
        <f t="shared" si="2"/>
        <v>29575.559999999998</v>
      </c>
      <c r="H37" s="7">
        <f t="shared" si="3"/>
        <v>3.5830832018096163E-3</v>
      </c>
      <c r="I37" s="8">
        <f t="shared" si="5"/>
        <v>0.22899295147643892</v>
      </c>
      <c r="J37" s="3" t="s">
        <v>11</v>
      </c>
    </row>
    <row r="38" spans="1:10" x14ac:dyDescent="0.25">
      <c r="A38" s="3" t="s">
        <v>47</v>
      </c>
      <c r="B38" s="3" t="str">
        <f t="shared" si="0"/>
        <v>3</v>
      </c>
      <c r="C38" s="7">
        <f t="shared" si="1"/>
        <v>6.4432989690721648E-4</v>
      </c>
      <c r="D38" s="8">
        <f t="shared" si="4"/>
        <v>2.3840206185567019E-2</v>
      </c>
      <c r="E38" s="4">
        <v>79</v>
      </c>
      <c r="F38" s="5">
        <v>374.05</v>
      </c>
      <c r="G38" s="10">
        <f t="shared" si="2"/>
        <v>29549.95</v>
      </c>
      <c r="H38" s="7">
        <f t="shared" si="3"/>
        <v>3.5799805467525915E-3</v>
      </c>
      <c r="I38" s="8">
        <f t="shared" si="5"/>
        <v>0.23257293202319151</v>
      </c>
      <c r="J38" s="3" t="s">
        <v>11</v>
      </c>
    </row>
    <row r="39" spans="1:10" x14ac:dyDescent="0.25">
      <c r="A39" s="3" t="s">
        <v>48</v>
      </c>
      <c r="B39" s="3" t="str">
        <f t="shared" si="0"/>
        <v>3</v>
      </c>
      <c r="C39" s="7">
        <f t="shared" si="1"/>
        <v>6.4432989690721648E-4</v>
      </c>
      <c r="D39" s="8">
        <f t="shared" si="4"/>
        <v>2.4484536082474237E-2</v>
      </c>
      <c r="E39" s="4">
        <v>24</v>
      </c>
      <c r="F39" s="5">
        <v>1218.68</v>
      </c>
      <c r="G39" s="10">
        <f t="shared" si="2"/>
        <v>29248.32</v>
      </c>
      <c r="H39" s="7">
        <f t="shared" si="3"/>
        <v>3.5434380303585879E-3</v>
      </c>
      <c r="I39" s="8">
        <f t="shared" si="5"/>
        <v>0.2361163700535501</v>
      </c>
      <c r="J39" s="3" t="s">
        <v>11</v>
      </c>
    </row>
    <row r="40" spans="1:10" x14ac:dyDescent="0.25">
      <c r="A40" s="3" t="s">
        <v>49</v>
      </c>
      <c r="B40" s="3" t="str">
        <f t="shared" si="0"/>
        <v>3</v>
      </c>
      <c r="C40" s="7">
        <f t="shared" si="1"/>
        <v>6.4432989690721648E-4</v>
      </c>
      <c r="D40" s="8">
        <f t="shared" si="4"/>
        <v>2.5128865979381455E-2</v>
      </c>
      <c r="E40" s="4">
        <v>42</v>
      </c>
      <c r="F40" s="5">
        <v>695</v>
      </c>
      <c r="G40" s="10">
        <f t="shared" si="2"/>
        <v>29190</v>
      </c>
      <c r="H40" s="7">
        <f t="shared" si="3"/>
        <v>3.5363725542584047E-3</v>
      </c>
      <c r="I40" s="8">
        <f t="shared" si="5"/>
        <v>0.2396527426078085</v>
      </c>
      <c r="J40" s="3" t="s">
        <v>11</v>
      </c>
    </row>
    <row r="41" spans="1:10" x14ac:dyDescent="0.25">
      <c r="A41" s="3" t="s">
        <v>50</v>
      </c>
      <c r="B41" s="3" t="str">
        <f t="shared" si="0"/>
        <v>9</v>
      </c>
      <c r="C41" s="7">
        <f t="shared" si="1"/>
        <v>6.4432989690721648E-4</v>
      </c>
      <c r="D41" s="8">
        <f t="shared" si="4"/>
        <v>2.5773195876288672E-2</v>
      </c>
      <c r="E41" s="4">
        <v>108</v>
      </c>
      <c r="F41" s="5">
        <v>262.26</v>
      </c>
      <c r="G41" s="10">
        <f t="shared" si="2"/>
        <v>28324.079999999998</v>
      </c>
      <c r="H41" s="7">
        <f t="shared" si="3"/>
        <v>3.4314662259890163E-3</v>
      </c>
      <c r="I41" s="8">
        <f t="shared" si="5"/>
        <v>0.24308420883379753</v>
      </c>
      <c r="J41" s="3" t="s">
        <v>11</v>
      </c>
    </row>
    <row r="42" spans="1:10" x14ac:dyDescent="0.25">
      <c r="A42" s="3" t="s">
        <v>51</v>
      </c>
      <c r="B42" s="3" t="str">
        <f t="shared" si="0"/>
        <v>9</v>
      </c>
      <c r="C42" s="7">
        <f t="shared" si="1"/>
        <v>6.4432989690721648E-4</v>
      </c>
      <c r="D42" s="8">
        <f t="shared" si="4"/>
        <v>2.641752577319589E-2</v>
      </c>
      <c r="E42" s="4">
        <v>122</v>
      </c>
      <c r="F42" s="5">
        <v>232.03</v>
      </c>
      <c r="G42" s="10">
        <f t="shared" si="2"/>
        <v>28307.66</v>
      </c>
      <c r="H42" s="7">
        <f t="shared" si="3"/>
        <v>3.4294769407084095E-3</v>
      </c>
      <c r="I42" s="8">
        <f t="shared" si="5"/>
        <v>0.24651368577450594</v>
      </c>
      <c r="J42" s="3" t="s">
        <v>11</v>
      </c>
    </row>
    <row r="43" spans="1:10" x14ac:dyDescent="0.25">
      <c r="A43" s="3" t="s">
        <v>52</v>
      </c>
      <c r="B43" s="3" t="str">
        <f t="shared" si="0"/>
        <v>8</v>
      </c>
      <c r="C43" s="7">
        <f t="shared" si="1"/>
        <v>6.4432989690721648E-4</v>
      </c>
      <c r="D43" s="8">
        <f t="shared" si="4"/>
        <v>2.7061855670103108E-2</v>
      </c>
      <c r="E43" s="4">
        <v>628</v>
      </c>
      <c r="F43" s="5">
        <v>44.98</v>
      </c>
      <c r="G43" s="10">
        <f t="shared" si="2"/>
        <v>28247.439999999999</v>
      </c>
      <c r="H43" s="7">
        <f t="shared" si="3"/>
        <v>3.4221812793443314E-3</v>
      </c>
      <c r="I43" s="8">
        <f t="shared" si="5"/>
        <v>0.24993586705385026</v>
      </c>
      <c r="J43" s="3" t="s">
        <v>11</v>
      </c>
    </row>
    <row r="44" spans="1:10" x14ac:dyDescent="0.25">
      <c r="A44" s="3" t="s">
        <v>53</v>
      </c>
      <c r="B44" s="3" t="str">
        <f t="shared" si="0"/>
        <v>1</v>
      </c>
      <c r="C44" s="7">
        <f t="shared" si="1"/>
        <v>6.4432989690721648E-4</v>
      </c>
      <c r="D44" s="8">
        <f t="shared" si="4"/>
        <v>2.7706185567010325E-2</v>
      </c>
      <c r="E44" s="4">
        <v>27</v>
      </c>
      <c r="F44" s="5">
        <v>1039.94</v>
      </c>
      <c r="G44" s="10">
        <f t="shared" si="2"/>
        <v>28078.38</v>
      </c>
      <c r="H44" s="7">
        <f t="shared" si="3"/>
        <v>3.4016996368632446E-3</v>
      </c>
      <c r="I44" s="8">
        <f t="shared" si="5"/>
        <v>0.2533375666907135</v>
      </c>
      <c r="J44" s="3" t="s">
        <v>11</v>
      </c>
    </row>
    <row r="45" spans="1:10" x14ac:dyDescent="0.25">
      <c r="A45" s="3" t="s">
        <v>54</v>
      </c>
      <c r="B45" s="3" t="str">
        <f t="shared" si="0"/>
        <v>1</v>
      </c>
      <c r="C45" s="7">
        <f t="shared" si="1"/>
        <v>6.4432989690721648E-4</v>
      </c>
      <c r="D45" s="8">
        <f t="shared" si="4"/>
        <v>2.8350515463917543E-2</v>
      </c>
      <c r="E45" s="4">
        <v>60</v>
      </c>
      <c r="F45" s="5">
        <v>464.92</v>
      </c>
      <c r="G45" s="10">
        <f t="shared" si="2"/>
        <v>27895.200000000001</v>
      </c>
      <c r="H45" s="7">
        <f t="shared" si="3"/>
        <v>3.379507354421002E-3</v>
      </c>
      <c r="I45" s="8">
        <f t="shared" si="5"/>
        <v>0.2567170740451345</v>
      </c>
      <c r="J45" s="3" t="s">
        <v>11</v>
      </c>
    </row>
    <row r="46" spans="1:10" x14ac:dyDescent="0.25">
      <c r="A46" s="3" t="s">
        <v>55</v>
      </c>
      <c r="B46" s="3" t="str">
        <f t="shared" si="0"/>
        <v>4</v>
      </c>
      <c r="C46" s="7">
        <f t="shared" si="1"/>
        <v>6.4432989690721648E-4</v>
      </c>
      <c r="D46" s="8">
        <f t="shared" si="4"/>
        <v>2.8994845360824761E-2</v>
      </c>
      <c r="E46" s="4">
        <v>86</v>
      </c>
      <c r="F46" s="5">
        <v>323.13</v>
      </c>
      <c r="G46" s="10">
        <f t="shared" si="2"/>
        <v>27789.18</v>
      </c>
      <c r="H46" s="7">
        <f t="shared" si="3"/>
        <v>3.3666630166956689E-3</v>
      </c>
      <c r="I46" s="8">
        <f t="shared" si="5"/>
        <v>0.26008373706183019</v>
      </c>
      <c r="J46" s="3" t="s">
        <v>11</v>
      </c>
    </row>
    <row r="47" spans="1:10" x14ac:dyDescent="0.25">
      <c r="A47" s="3" t="s">
        <v>56</v>
      </c>
      <c r="B47" s="3" t="str">
        <f t="shared" si="0"/>
        <v>9</v>
      </c>
      <c r="C47" s="7">
        <f t="shared" si="1"/>
        <v>6.4432989690721648E-4</v>
      </c>
      <c r="D47" s="8">
        <f t="shared" si="4"/>
        <v>2.9639175257731978E-2</v>
      </c>
      <c r="E47" s="4">
        <v>306</v>
      </c>
      <c r="F47" s="5">
        <v>90.74</v>
      </c>
      <c r="G47" s="10">
        <f t="shared" si="2"/>
        <v>27766.44</v>
      </c>
      <c r="H47" s="7">
        <f t="shared" si="3"/>
        <v>3.3639080625372641E-3</v>
      </c>
      <c r="I47" s="8">
        <f t="shared" si="5"/>
        <v>0.26344764512436747</v>
      </c>
      <c r="J47" s="3" t="s">
        <v>11</v>
      </c>
    </row>
    <row r="48" spans="1:10" x14ac:dyDescent="0.25">
      <c r="A48" s="3" t="s">
        <v>57</v>
      </c>
      <c r="B48" s="3" t="str">
        <f t="shared" si="0"/>
        <v>9</v>
      </c>
      <c r="C48" s="7">
        <f t="shared" si="1"/>
        <v>6.4432989690721648E-4</v>
      </c>
      <c r="D48" s="8">
        <f t="shared" si="4"/>
        <v>3.0283505154639196E-2</v>
      </c>
      <c r="E48" s="4">
        <v>70</v>
      </c>
      <c r="F48" s="5">
        <v>391.64</v>
      </c>
      <c r="G48" s="10">
        <f t="shared" si="2"/>
        <v>27414.799999999999</v>
      </c>
      <c r="H48" s="7">
        <f t="shared" si="3"/>
        <v>3.3213068276972701E-3</v>
      </c>
      <c r="I48" s="8">
        <f t="shared" si="5"/>
        <v>0.26676895195206474</v>
      </c>
      <c r="J48" s="3" t="s">
        <v>11</v>
      </c>
    </row>
    <row r="49" spans="1:10" x14ac:dyDescent="0.25">
      <c r="A49" s="3" t="s">
        <v>58</v>
      </c>
      <c r="B49" s="3" t="str">
        <f t="shared" si="0"/>
        <v>8</v>
      </c>
      <c r="C49" s="7">
        <f t="shared" si="1"/>
        <v>6.4432989690721648E-4</v>
      </c>
      <c r="D49" s="8">
        <f t="shared" si="4"/>
        <v>3.0927835051546414E-2</v>
      </c>
      <c r="E49" s="4">
        <v>1155</v>
      </c>
      <c r="F49" s="5">
        <v>23.57</v>
      </c>
      <c r="G49" s="10">
        <f t="shared" si="2"/>
        <v>27223.35</v>
      </c>
      <c r="H49" s="7">
        <f t="shared" si="3"/>
        <v>3.2981126336063906E-3</v>
      </c>
      <c r="I49" s="8">
        <f t="shared" si="5"/>
        <v>0.27006706458567115</v>
      </c>
      <c r="J49" s="3" t="s">
        <v>11</v>
      </c>
    </row>
    <row r="50" spans="1:10" x14ac:dyDescent="0.25">
      <c r="A50" s="3" t="s">
        <v>59</v>
      </c>
      <c r="B50" s="3" t="str">
        <f t="shared" si="0"/>
        <v>7</v>
      </c>
      <c r="C50" s="7">
        <f t="shared" si="1"/>
        <v>6.4432989690721648E-4</v>
      </c>
      <c r="D50" s="8">
        <f t="shared" si="4"/>
        <v>3.1572164948453628E-2</v>
      </c>
      <c r="E50" s="4">
        <v>201</v>
      </c>
      <c r="F50" s="5">
        <v>135.30000000000001</v>
      </c>
      <c r="G50" s="10">
        <f t="shared" si="2"/>
        <v>27195.300000000003</v>
      </c>
      <c r="H50" s="7">
        <f t="shared" si="3"/>
        <v>3.2947143722104693E-3</v>
      </c>
      <c r="I50" s="8">
        <f t="shared" si="5"/>
        <v>0.27336177895788161</v>
      </c>
      <c r="J50" s="3" t="s">
        <v>11</v>
      </c>
    </row>
    <row r="51" spans="1:10" x14ac:dyDescent="0.25">
      <c r="A51" s="3" t="s">
        <v>60</v>
      </c>
      <c r="B51" s="3" t="str">
        <f t="shared" si="0"/>
        <v>8</v>
      </c>
      <c r="C51" s="7">
        <f t="shared" si="1"/>
        <v>6.4432989690721648E-4</v>
      </c>
      <c r="D51" s="8">
        <f t="shared" si="4"/>
        <v>3.2216494845360842E-2</v>
      </c>
      <c r="E51" s="4">
        <v>392</v>
      </c>
      <c r="F51" s="5">
        <v>69.2</v>
      </c>
      <c r="G51" s="10">
        <f t="shared" si="2"/>
        <v>27126.400000000001</v>
      </c>
      <c r="H51" s="7">
        <f t="shared" si="3"/>
        <v>3.2863671276408082E-3</v>
      </c>
      <c r="I51" s="8">
        <f t="shared" si="5"/>
        <v>0.27664814608552241</v>
      </c>
      <c r="J51" s="3" t="s">
        <v>11</v>
      </c>
    </row>
    <row r="52" spans="1:10" x14ac:dyDescent="0.25">
      <c r="A52" s="3" t="s">
        <v>61</v>
      </c>
      <c r="B52" s="3" t="str">
        <f t="shared" si="0"/>
        <v>6</v>
      </c>
      <c r="C52" s="7">
        <f t="shared" si="1"/>
        <v>6.4432989690721648E-4</v>
      </c>
      <c r="D52" s="8">
        <f t="shared" si="4"/>
        <v>3.2860824742268056E-2</v>
      </c>
      <c r="E52" s="4">
        <v>3271</v>
      </c>
      <c r="F52" s="5">
        <v>8.27</v>
      </c>
      <c r="G52" s="10">
        <f t="shared" si="2"/>
        <v>27051.17</v>
      </c>
      <c r="H52" s="7">
        <f t="shared" si="3"/>
        <v>3.2772530026919603E-3</v>
      </c>
      <c r="I52" s="8">
        <f t="shared" si="5"/>
        <v>0.27992539908821434</v>
      </c>
      <c r="J52" s="3" t="s">
        <v>11</v>
      </c>
    </row>
    <row r="53" spans="1:10" x14ac:dyDescent="0.25">
      <c r="A53" s="3" t="s">
        <v>62</v>
      </c>
      <c r="B53" s="3" t="str">
        <f t="shared" si="0"/>
        <v>8</v>
      </c>
      <c r="C53" s="7">
        <f t="shared" si="1"/>
        <v>6.4432989690721648E-4</v>
      </c>
      <c r="D53" s="8">
        <f t="shared" si="4"/>
        <v>3.3505154639175271E-2</v>
      </c>
      <c r="E53" s="4">
        <v>452</v>
      </c>
      <c r="F53" s="5">
        <v>59.77</v>
      </c>
      <c r="G53" s="10">
        <f t="shared" si="2"/>
        <v>27016.04</v>
      </c>
      <c r="H53" s="7">
        <f t="shared" si="3"/>
        <v>3.2729969983126836E-3</v>
      </c>
      <c r="I53" s="8">
        <f t="shared" si="5"/>
        <v>0.28319839608652703</v>
      </c>
      <c r="J53" s="3" t="s">
        <v>11</v>
      </c>
    </row>
    <row r="54" spans="1:10" x14ac:dyDescent="0.25">
      <c r="A54" s="3" t="s">
        <v>63</v>
      </c>
      <c r="B54" s="3" t="str">
        <f t="shared" si="0"/>
        <v>9</v>
      </c>
      <c r="C54" s="7">
        <f t="shared" si="1"/>
        <v>6.4432989690721648E-4</v>
      </c>
      <c r="D54" s="8">
        <f t="shared" si="4"/>
        <v>3.4149484536082485E-2</v>
      </c>
      <c r="E54" s="4">
        <v>180</v>
      </c>
      <c r="F54" s="5">
        <v>149.76</v>
      </c>
      <c r="G54" s="10">
        <f t="shared" si="2"/>
        <v>26956.799999999999</v>
      </c>
      <c r="H54" s="7">
        <f t="shared" si="3"/>
        <v>3.2658200640847193E-3</v>
      </c>
      <c r="I54" s="8">
        <f t="shared" si="5"/>
        <v>0.28646421615061174</v>
      </c>
      <c r="J54" s="3" t="s">
        <v>11</v>
      </c>
    </row>
    <row r="55" spans="1:10" x14ac:dyDescent="0.25">
      <c r="A55" s="3" t="s">
        <v>64</v>
      </c>
      <c r="B55" s="3" t="str">
        <f t="shared" si="0"/>
        <v>7</v>
      </c>
      <c r="C55" s="7">
        <f t="shared" si="1"/>
        <v>6.4432989690721648E-4</v>
      </c>
      <c r="D55" s="8">
        <f t="shared" si="4"/>
        <v>3.4793814432989699E-2</v>
      </c>
      <c r="E55" s="4">
        <v>175</v>
      </c>
      <c r="F55" s="5">
        <v>153.72</v>
      </c>
      <c r="G55" s="10">
        <f t="shared" si="2"/>
        <v>26901</v>
      </c>
      <c r="H55" s="7">
        <f t="shared" si="3"/>
        <v>3.2590598863345443E-3</v>
      </c>
      <c r="I55" s="8">
        <f t="shared" si="5"/>
        <v>0.28972327603694631</v>
      </c>
      <c r="J55" s="3" t="s">
        <v>11</v>
      </c>
    </row>
    <row r="56" spans="1:10" x14ac:dyDescent="0.25">
      <c r="A56" s="3" t="s">
        <v>65</v>
      </c>
      <c r="B56" s="3" t="str">
        <f t="shared" si="0"/>
        <v>8</v>
      </c>
      <c r="C56" s="7">
        <f t="shared" si="1"/>
        <v>6.4432989690721648E-4</v>
      </c>
      <c r="D56" s="8">
        <f t="shared" si="4"/>
        <v>3.5438144329896913E-2</v>
      </c>
      <c r="E56" s="4">
        <v>928</v>
      </c>
      <c r="F56" s="5">
        <v>28.91</v>
      </c>
      <c r="G56" s="10">
        <f t="shared" si="2"/>
        <v>26828.48</v>
      </c>
      <c r="H56" s="7">
        <f t="shared" si="3"/>
        <v>3.2502740782620939E-3</v>
      </c>
      <c r="I56" s="8">
        <f t="shared" si="5"/>
        <v>0.29297355011520843</v>
      </c>
      <c r="J56" s="3" t="s">
        <v>11</v>
      </c>
    </row>
    <row r="57" spans="1:10" x14ac:dyDescent="0.25">
      <c r="A57" s="3" t="s">
        <v>66</v>
      </c>
      <c r="B57" s="3" t="str">
        <f t="shared" si="0"/>
        <v>1</v>
      </c>
      <c r="C57" s="7">
        <f t="shared" si="1"/>
        <v>6.4432989690721648E-4</v>
      </c>
      <c r="D57" s="8">
        <f t="shared" si="4"/>
        <v>3.6082474226804127E-2</v>
      </c>
      <c r="E57" s="4">
        <v>30</v>
      </c>
      <c r="F57" s="5">
        <v>893.14</v>
      </c>
      <c r="G57" s="10">
        <f t="shared" si="2"/>
        <v>26794.2</v>
      </c>
      <c r="H57" s="7">
        <f t="shared" si="3"/>
        <v>3.2461210515008754E-3</v>
      </c>
      <c r="I57" s="8">
        <f t="shared" si="5"/>
        <v>0.29621967116670928</v>
      </c>
      <c r="J57" s="3" t="s">
        <v>11</v>
      </c>
    </row>
    <row r="58" spans="1:10" x14ac:dyDescent="0.25">
      <c r="A58" s="3" t="s">
        <v>67</v>
      </c>
      <c r="B58" s="3" t="str">
        <f t="shared" si="0"/>
        <v>9</v>
      </c>
      <c r="C58" s="7">
        <f t="shared" si="1"/>
        <v>6.4432989690721648E-4</v>
      </c>
      <c r="D58" s="8">
        <f t="shared" si="4"/>
        <v>3.6726804123711342E-2</v>
      </c>
      <c r="E58" s="4">
        <v>145</v>
      </c>
      <c r="F58" s="5">
        <v>184.25</v>
      </c>
      <c r="G58" s="10">
        <f t="shared" si="2"/>
        <v>26716.25</v>
      </c>
      <c r="H58" s="7">
        <f t="shared" si="3"/>
        <v>3.2366773981742413E-3</v>
      </c>
      <c r="I58" s="8">
        <f t="shared" si="5"/>
        <v>0.29945634856488351</v>
      </c>
      <c r="J58" s="3" t="s">
        <v>11</v>
      </c>
    </row>
    <row r="59" spans="1:10" x14ac:dyDescent="0.25">
      <c r="A59" s="3" t="s">
        <v>68</v>
      </c>
      <c r="B59" s="3" t="str">
        <f t="shared" si="0"/>
        <v>5</v>
      </c>
      <c r="C59" s="7">
        <f t="shared" si="1"/>
        <v>6.4432989690721648E-4</v>
      </c>
      <c r="D59" s="8">
        <f t="shared" si="4"/>
        <v>3.7371134020618556E-2</v>
      </c>
      <c r="E59" s="4">
        <v>139</v>
      </c>
      <c r="F59" s="5">
        <v>192.12</v>
      </c>
      <c r="G59" s="10">
        <f t="shared" si="2"/>
        <v>26704.68</v>
      </c>
      <c r="H59" s="7">
        <f t="shared" si="3"/>
        <v>3.2352756910672604E-3</v>
      </c>
      <c r="I59" s="8">
        <f t="shared" si="5"/>
        <v>0.30269162425595075</v>
      </c>
      <c r="J59" s="3" t="s">
        <v>11</v>
      </c>
    </row>
    <row r="60" spans="1:10" x14ac:dyDescent="0.25">
      <c r="A60" s="3" t="s">
        <v>69</v>
      </c>
      <c r="B60" s="3" t="str">
        <f t="shared" si="0"/>
        <v>6</v>
      </c>
      <c r="C60" s="7">
        <f t="shared" si="1"/>
        <v>6.4432989690721648E-4</v>
      </c>
      <c r="D60" s="8">
        <f t="shared" si="4"/>
        <v>3.801546391752577E-2</v>
      </c>
      <c r="E60" s="4">
        <v>741</v>
      </c>
      <c r="F60" s="5">
        <v>36.01</v>
      </c>
      <c r="G60" s="10">
        <f t="shared" si="2"/>
        <v>26683.41</v>
      </c>
      <c r="H60" s="7">
        <f t="shared" si="3"/>
        <v>3.2326988276130272E-3</v>
      </c>
      <c r="I60" s="8">
        <f t="shared" si="5"/>
        <v>0.30592432308356377</v>
      </c>
      <c r="J60" s="3" t="s">
        <v>11</v>
      </c>
    </row>
    <row r="61" spans="1:10" x14ac:dyDescent="0.25">
      <c r="A61" s="3" t="s">
        <v>70</v>
      </c>
      <c r="B61" s="3" t="str">
        <f t="shared" si="0"/>
        <v>2</v>
      </c>
      <c r="C61" s="7">
        <f t="shared" si="1"/>
        <v>6.4432989690721648E-4</v>
      </c>
      <c r="D61" s="8">
        <f t="shared" si="4"/>
        <v>3.8659793814432984E-2</v>
      </c>
      <c r="E61" s="4">
        <v>418</v>
      </c>
      <c r="F61" s="5">
        <v>63.69</v>
      </c>
      <c r="G61" s="10">
        <f t="shared" si="2"/>
        <v>26622.42</v>
      </c>
      <c r="H61" s="7">
        <f t="shared" si="3"/>
        <v>3.225309880642002E-3</v>
      </c>
      <c r="I61" s="8">
        <f t="shared" si="5"/>
        <v>0.30914963296420578</v>
      </c>
      <c r="J61" s="3" t="s">
        <v>11</v>
      </c>
    </row>
    <row r="62" spans="1:10" x14ac:dyDescent="0.25">
      <c r="A62" s="3" t="s">
        <v>71</v>
      </c>
      <c r="B62" s="3" t="str">
        <f t="shared" si="0"/>
        <v>3</v>
      </c>
      <c r="C62" s="7">
        <f t="shared" si="1"/>
        <v>6.4432989690721648E-4</v>
      </c>
      <c r="D62" s="8">
        <f t="shared" si="4"/>
        <v>3.9304123711340198E-2</v>
      </c>
      <c r="E62" s="4">
        <v>23</v>
      </c>
      <c r="F62" s="5">
        <v>1152.02</v>
      </c>
      <c r="G62" s="10">
        <f t="shared" si="2"/>
        <v>26496.46</v>
      </c>
      <c r="H62" s="7">
        <f t="shared" si="3"/>
        <v>3.2100498091471616E-3</v>
      </c>
      <c r="I62" s="8">
        <f t="shared" si="5"/>
        <v>0.31235968277335296</v>
      </c>
      <c r="J62" s="3" t="s">
        <v>11</v>
      </c>
    </row>
    <row r="63" spans="1:10" x14ac:dyDescent="0.25">
      <c r="A63" s="3" t="s">
        <v>72</v>
      </c>
      <c r="B63" s="3" t="str">
        <f t="shared" si="0"/>
        <v>8</v>
      </c>
      <c r="C63" s="7">
        <f t="shared" si="1"/>
        <v>6.4432989690721648E-4</v>
      </c>
      <c r="D63" s="8">
        <f t="shared" si="4"/>
        <v>3.9948453608247413E-2</v>
      </c>
      <c r="E63" s="4">
        <v>563</v>
      </c>
      <c r="F63" s="5">
        <v>46.8</v>
      </c>
      <c r="G63" s="10">
        <f t="shared" si="2"/>
        <v>26348.399999999998</v>
      </c>
      <c r="H63" s="7">
        <f t="shared" si="3"/>
        <v>3.1921123195828073E-3</v>
      </c>
      <c r="I63" s="8">
        <f t="shared" si="5"/>
        <v>0.31555179509293579</v>
      </c>
      <c r="J63" s="3" t="s">
        <v>11</v>
      </c>
    </row>
    <row r="64" spans="1:10" x14ac:dyDescent="0.25">
      <c r="A64" s="3" t="s">
        <v>73</v>
      </c>
      <c r="B64" s="3" t="str">
        <f t="shared" si="0"/>
        <v>4</v>
      </c>
      <c r="C64" s="7">
        <f t="shared" si="1"/>
        <v>6.4432989690721648E-4</v>
      </c>
      <c r="D64" s="8">
        <f t="shared" si="4"/>
        <v>4.0592783505154627E-2</v>
      </c>
      <c r="E64" s="4">
        <v>67</v>
      </c>
      <c r="F64" s="5">
        <v>391.26</v>
      </c>
      <c r="G64" s="10">
        <f t="shared" si="2"/>
        <v>26214.42</v>
      </c>
      <c r="H64" s="7">
        <f t="shared" si="3"/>
        <v>3.1758806239740528E-3</v>
      </c>
      <c r="I64" s="8">
        <f t="shared" si="5"/>
        <v>0.31872767571690985</v>
      </c>
      <c r="J64" s="3" t="s">
        <v>11</v>
      </c>
    </row>
    <row r="65" spans="1:10" x14ac:dyDescent="0.25">
      <c r="A65" s="3" t="s">
        <v>74</v>
      </c>
      <c r="B65" s="3" t="str">
        <f t="shared" si="0"/>
        <v>2</v>
      </c>
      <c r="C65" s="7">
        <f t="shared" si="1"/>
        <v>6.4432989690721648E-4</v>
      </c>
      <c r="D65" s="8">
        <f t="shared" si="4"/>
        <v>4.1237113402061841E-2</v>
      </c>
      <c r="E65" s="4">
        <v>421</v>
      </c>
      <c r="F65" s="5">
        <v>62.05</v>
      </c>
      <c r="G65" s="10">
        <f t="shared" si="2"/>
        <v>26123.05</v>
      </c>
      <c r="H65" s="7">
        <f t="shared" si="3"/>
        <v>3.1648111357834882E-3</v>
      </c>
      <c r="I65" s="8">
        <f t="shared" si="5"/>
        <v>0.32189248685269334</v>
      </c>
      <c r="J65" s="3" t="s">
        <v>11</v>
      </c>
    </row>
    <row r="66" spans="1:10" x14ac:dyDescent="0.25">
      <c r="A66" s="3" t="s">
        <v>75</v>
      </c>
      <c r="B66" s="3" t="str">
        <f t="shared" ref="B66:B129" si="6">RIGHT(A66,1)</f>
        <v>9</v>
      </c>
      <c r="C66" s="7">
        <f t="shared" ref="C66:C129" si="7">1/COUNTA(A$2:A$1553)</f>
        <v>6.4432989690721648E-4</v>
      </c>
      <c r="D66" s="8">
        <f t="shared" si="4"/>
        <v>4.1881443298969055E-2</v>
      </c>
      <c r="E66" s="4">
        <v>234</v>
      </c>
      <c r="F66" s="5">
        <v>111.33</v>
      </c>
      <c r="G66" s="10">
        <f t="shared" ref="G66:G129" si="8">E66*F66</f>
        <v>26051.22</v>
      </c>
      <c r="H66" s="7">
        <f t="shared" ref="H66:H129" si="9">G66/SUM(G$2:G$1553)</f>
        <v>3.1561089213068736E-3</v>
      </c>
      <c r="I66" s="8">
        <f t="shared" si="5"/>
        <v>0.32504859577400019</v>
      </c>
      <c r="J66" s="3" t="s">
        <v>11</v>
      </c>
    </row>
    <row r="67" spans="1:10" x14ac:dyDescent="0.25">
      <c r="A67" s="3" t="s">
        <v>76</v>
      </c>
      <c r="B67" s="3" t="str">
        <f t="shared" si="6"/>
        <v>8</v>
      </c>
      <c r="C67" s="7">
        <f t="shared" si="7"/>
        <v>6.4432989690721648E-4</v>
      </c>
      <c r="D67" s="8">
        <f t="shared" ref="D67:D130" si="10">D66+C67</f>
        <v>4.2525773195876269E-2</v>
      </c>
      <c r="E67" s="4">
        <v>806</v>
      </c>
      <c r="F67" s="5">
        <v>32.17</v>
      </c>
      <c r="G67" s="10">
        <f t="shared" si="8"/>
        <v>25929.02</v>
      </c>
      <c r="H67" s="7">
        <f t="shared" si="9"/>
        <v>3.1413043743342673E-3</v>
      </c>
      <c r="I67" s="8">
        <f t="shared" ref="I67:I130" si="11">I66+H67</f>
        <v>0.32818990014833443</v>
      </c>
      <c r="J67" s="3" t="s">
        <v>11</v>
      </c>
    </row>
    <row r="68" spans="1:10" x14ac:dyDescent="0.25">
      <c r="A68" s="3" t="s">
        <v>77</v>
      </c>
      <c r="B68" s="3" t="str">
        <f t="shared" si="6"/>
        <v>8</v>
      </c>
      <c r="C68" s="7">
        <f t="shared" si="7"/>
        <v>6.4432989690721648E-4</v>
      </c>
      <c r="D68" s="8">
        <f t="shared" si="10"/>
        <v>4.3170103092783484E-2</v>
      </c>
      <c r="E68" s="4">
        <v>631</v>
      </c>
      <c r="F68" s="5">
        <v>40.409999999999997</v>
      </c>
      <c r="G68" s="10">
        <f t="shared" si="8"/>
        <v>25498.71</v>
      </c>
      <c r="H68" s="7">
        <f t="shared" si="9"/>
        <v>3.089172258067637E-3</v>
      </c>
      <c r="I68" s="8">
        <f t="shared" si="11"/>
        <v>0.33127907240640209</v>
      </c>
      <c r="J68" s="3" t="s">
        <v>11</v>
      </c>
    </row>
    <row r="69" spans="1:10" x14ac:dyDescent="0.25">
      <c r="A69" s="3" t="s">
        <v>78</v>
      </c>
      <c r="B69" s="3" t="str">
        <f t="shared" si="6"/>
        <v>1</v>
      </c>
      <c r="C69" s="7">
        <f t="shared" si="7"/>
        <v>6.4432989690721648E-4</v>
      </c>
      <c r="D69" s="8">
        <f t="shared" si="10"/>
        <v>4.3814432989690698E-2</v>
      </c>
      <c r="E69" s="4">
        <v>25</v>
      </c>
      <c r="F69" s="5">
        <v>1019.78</v>
      </c>
      <c r="G69" s="10">
        <f t="shared" si="8"/>
        <v>25494.5</v>
      </c>
      <c r="H69" s="7">
        <f t="shared" si="9"/>
        <v>3.0886622159829015E-3</v>
      </c>
      <c r="I69" s="8">
        <f t="shared" si="11"/>
        <v>0.334367734622385</v>
      </c>
      <c r="J69" s="3" t="s">
        <v>11</v>
      </c>
    </row>
    <row r="70" spans="1:10" x14ac:dyDescent="0.25">
      <c r="A70" s="3" t="s">
        <v>79</v>
      </c>
      <c r="B70" s="3" t="str">
        <f t="shared" si="6"/>
        <v>9</v>
      </c>
      <c r="C70" s="7">
        <f t="shared" si="7"/>
        <v>6.4432989690721648E-4</v>
      </c>
      <c r="D70" s="8">
        <f t="shared" si="10"/>
        <v>4.4458762886597912E-2</v>
      </c>
      <c r="E70" s="4">
        <v>102</v>
      </c>
      <c r="F70" s="5">
        <v>249.93</v>
      </c>
      <c r="G70" s="10">
        <f t="shared" si="8"/>
        <v>25492.86</v>
      </c>
      <c r="H70" s="7">
        <f t="shared" si="9"/>
        <v>3.0884635297551187E-3</v>
      </c>
      <c r="I70" s="8">
        <f t="shared" si="11"/>
        <v>0.33745619815214012</v>
      </c>
      <c r="J70" s="3" t="s">
        <v>11</v>
      </c>
    </row>
    <row r="71" spans="1:10" x14ac:dyDescent="0.25">
      <c r="A71" s="3" t="s">
        <v>80</v>
      </c>
      <c r="B71" s="3" t="str">
        <f t="shared" si="6"/>
        <v>4</v>
      </c>
      <c r="C71" s="7">
        <f t="shared" si="7"/>
        <v>6.4432989690721648E-4</v>
      </c>
      <c r="D71" s="8">
        <f t="shared" si="10"/>
        <v>4.5103092783505126E-2</v>
      </c>
      <c r="E71" s="4">
        <v>249</v>
      </c>
      <c r="F71" s="5">
        <v>102.25</v>
      </c>
      <c r="G71" s="10">
        <f t="shared" si="8"/>
        <v>25460.25</v>
      </c>
      <c r="H71" s="7">
        <f t="shared" si="9"/>
        <v>3.0845128237258494E-3</v>
      </c>
      <c r="I71" s="8">
        <f t="shared" si="11"/>
        <v>0.34054071097586597</v>
      </c>
      <c r="J71" s="3" t="s">
        <v>11</v>
      </c>
    </row>
    <row r="72" spans="1:10" x14ac:dyDescent="0.25">
      <c r="A72" s="3" t="s">
        <v>81</v>
      </c>
      <c r="B72" s="3" t="str">
        <f t="shared" si="6"/>
        <v>8</v>
      </c>
      <c r="C72" s="7">
        <f t="shared" si="7"/>
        <v>6.4432989690721648E-4</v>
      </c>
      <c r="D72" s="8">
        <f t="shared" si="10"/>
        <v>4.574742268041234E-2</v>
      </c>
      <c r="E72" s="4">
        <v>318</v>
      </c>
      <c r="F72" s="5">
        <v>79.790000000000006</v>
      </c>
      <c r="G72" s="10">
        <f t="shared" si="8"/>
        <v>25373.22</v>
      </c>
      <c r="H72" s="7">
        <f t="shared" si="9"/>
        <v>3.0739691271380763E-3</v>
      </c>
      <c r="I72" s="8">
        <f t="shared" si="11"/>
        <v>0.34361468010300406</v>
      </c>
      <c r="J72" s="3" t="s">
        <v>11</v>
      </c>
    </row>
    <row r="73" spans="1:10" x14ac:dyDescent="0.25">
      <c r="A73" s="3" t="s">
        <v>82</v>
      </c>
      <c r="B73" s="3" t="str">
        <f t="shared" si="6"/>
        <v>6</v>
      </c>
      <c r="C73" s="7">
        <f t="shared" si="7"/>
        <v>6.4432989690721648E-4</v>
      </c>
      <c r="D73" s="8">
        <f t="shared" si="10"/>
        <v>4.6391752577319555E-2</v>
      </c>
      <c r="E73" s="4">
        <v>760</v>
      </c>
      <c r="F73" s="5">
        <v>33.35</v>
      </c>
      <c r="G73" s="10">
        <f t="shared" si="8"/>
        <v>25346</v>
      </c>
      <c r="H73" s="7">
        <f t="shared" si="9"/>
        <v>3.0706714203574351E-3</v>
      </c>
      <c r="I73" s="8">
        <f t="shared" si="11"/>
        <v>0.3466853515233615</v>
      </c>
      <c r="J73" s="3" t="s">
        <v>11</v>
      </c>
    </row>
    <row r="74" spans="1:10" x14ac:dyDescent="0.25">
      <c r="A74" s="3" t="s">
        <v>83</v>
      </c>
      <c r="B74" s="3" t="str">
        <f t="shared" si="6"/>
        <v>4</v>
      </c>
      <c r="C74" s="7">
        <f t="shared" si="7"/>
        <v>6.4432989690721648E-4</v>
      </c>
      <c r="D74" s="8">
        <f t="shared" si="10"/>
        <v>4.7036082474226769E-2</v>
      </c>
      <c r="E74" s="4">
        <v>192</v>
      </c>
      <c r="F74" s="5">
        <v>131.72999999999999</v>
      </c>
      <c r="G74" s="10">
        <f t="shared" si="8"/>
        <v>25292.159999999996</v>
      </c>
      <c r="H74" s="7">
        <f t="shared" si="9"/>
        <v>3.0641486968794873E-3</v>
      </c>
      <c r="I74" s="8">
        <f t="shared" si="11"/>
        <v>0.34974950022024098</v>
      </c>
      <c r="J74" s="3" t="s">
        <v>11</v>
      </c>
    </row>
    <row r="75" spans="1:10" x14ac:dyDescent="0.25">
      <c r="A75" s="3" t="s">
        <v>84</v>
      </c>
      <c r="B75" s="3" t="str">
        <f t="shared" si="6"/>
        <v>9</v>
      </c>
      <c r="C75" s="7">
        <f t="shared" si="7"/>
        <v>6.4432989690721648E-4</v>
      </c>
      <c r="D75" s="8">
        <f t="shared" si="10"/>
        <v>4.7680412371133983E-2</v>
      </c>
      <c r="E75" s="4">
        <v>91</v>
      </c>
      <c r="F75" s="5">
        <v>277.12</v>
      </c>
      <c r="G75" s="10">
        <f t="shared" si="8"/>
        <v>25217.920000000002</v>
      </c>
      <c r="H75" s="7">
        <f t="shared" si="9"/>
        <v>3.0551545105681438E-3</v>
      </c>
      <c r="I75" s="8">
        <f t="shared" si="11"/>
        <v>0.35280465473080913</v>
      </c>
      <c r="J75" s="3" t="s">
        <v>11</v>
      </c>
    </row>
    <row r="76" spans="1:10" x14ac:dyDescent="0.25">
      <c r="A76" s="3" t="s">
        <v>85</v>
      </c>
      <c r="B76" s="3" t="str">
        <f t="shared" si="6"/>
        <v>1</v>
      </c>
      <c r="C76" s="7">
        <f t="shared" si="7"/>
        <v>6.4432989690721648E-4</v>
      </c>
      <c r="D76" s="8">
        <f t="shared" si="10"/>
        <v>4.8324742268041197E-2</v>
      </c>
      <c r="E76" s="4">
        <v>60</v>
      </c>
      <c r="F76" s="5">
        <v>418.27</v>
      </c>
      <c r="G76" s="10">
        <f t="shared" si="8"/>
        <v>25096.199999999997</v>
      </c>
      <c r="H76" s="7">
        <f t="shared" si="9"/>
        <v>3.0404081156622052E-3</v>
      </c>
      <c r="I76" s="8">
        <f t="shared" si="11"/>
        <v>0.35584506284647133</v>
      </c>
      <c r="J76" s="3" t="s">
        <v>11</v>
      </c>
    </row>
    <row r="77" spans="1:10" x14ac:dyDescent="0.25">
      <c r="A77" s="3" t="s">
        <v>86</v>
      </c>
      <c r="B77" s="3" t="str">
        <f t="shared" si="6"/>
        <v>1</v>
      </c>
      <c r="C77" s="7">
        <f t="shared" si="7"/>
        <v>6.4432989690721648E-4</v>
      </c>
      <c r="D77" s="8">
        <f t="shared" si="10"/>
        <v>4.8969072164948411E-2</v>
      </c>
      <c r="E77" s="4">
        <v>42</v>
      </c>
      <c r="F77" s="5">
        <v>597.42999999999995</v>
      </c>
      <c r="G77" s="10">
        <f t="shared" si="8"/>
        <v>25092.059999999998</v>
      </c>
      <c r="H77" s="7">
        <f t="shared" si="9"/>
        <v>3.0399065540871921E-3</v>
      </c>
      <c r="I77" s="8">
        <f t="shared" si="11"/>
        <v>0.35888496940055853</v>
      </c>
      <c r="J77" s="3" t="s">
        <v>11</v>
      </c>
    </row>
    <row r="78" spans="1:10" x14ac:dyDescent="0.25">
      <c r="A78" s="3" t="s">
        <v>87</v>
      </c>
      <c r="B78" s="3" t="str">
        <f t="shared" si="6"/>
        <v>8</v>
      </c>
      <c r="C78" s="7">
        <f t="shared" si="7"/>
        <v>6.4432989690721648E-4</v>
      </c>
      <c r="D78" s="8">
        <f t="shared" si="10"/>
        <v>4.9613402061855626E-2</v>
      </c>
      <c r="E78" s="4">
        <v>1800</v>
      </c>
      <c r="F78" s="5">
        <v>13.83</v>
      </c>
      <c r="G78" s="10">
        <f t="shared" si="8"/>
        <v>24894</v>
      </c>
      <c r="H78" s="7">
        <f t="shared" si="9"/>
        <v>3.0159115575782366E-3</v>
      </c>
      <c r="I78" s="8">
        <f t="shared" si="11"/>
        <v>0.36190088095813677</v>
      </c>
      <c r="J78" s="3" t="s">
        <v>11</v>
      </c>
    </row>
    <row r="79" spans="1:10" x14ac:dyDescent="0.25">
      <c r="A79" s="3" t="s">
        <v>88</v>
      </c>
      <c r="B79" s="3" t="str">
        <f t="shared" si="6"/>
        <v>9</v>
      </c>
      <c r="C79" s="7">
        <f t="shared" si="7"/>
        <v>6.4432989690721648E-4</v>
      </c>
      <c r="D79" s="8">
        <f t="shared" si="10"/>
        <v>5.025773195876284E-2</v>
      </c>
      <c r="E79" s="4">
        <v>325</v>
      </c>
      <c r="F79" s="5">
        <v>76.34</v>
      </c>
      <c r="G79" s="10">
        <f t="shared" si="8"/>
        <v>24810.5</v>
      </c>
      <c r="H79" s="7">
        <f t="shared" si="9"/>
        <v>3.0057955209807519E-3</v>
      </c>
      <c r="I79" s="8">
        <f t="shared" si="11"/>
        <v>0.36490667647911751</v>
      </c>
      <c r="J79" s="3" t="s">
        <v>11</v>
      </c>
    </row>
    <row r="80" spans="1:10" x14ac:dyDescent="0.25">
      <c r="A80" s="3" t="s">
        <v>89</v>
      </c>
      <c r="B80" s="3" t="str">
        <f t="shared" si="6"/>
        <v>9</v>
      </c>
      <c r="C80" s="7">
        <f t="shared" si="7"/>
        <v>6.4432989690721648E-4</v>
      </c>
      <c r="D80" s="8">
        <f t="shared" si="10"/>
        <v>5.0902061855670054E-2</v>
      </c>
      <c r="E80" s="4">
        <v>157</v>
      </c>
      <c r="F80" s="5">
        <v>157.58000000000001</v>
      </c>
      <c r="G80" s="10">
        <f t="shared" si="8"/>
        <v>24740.06</v>
      </c>
      <c r="H80" s="7">
        <f t="shared" si="9"/>
        <v>2.9972617051971973E-3</v>
      </c>
      <c r="I80" s="8">
        <f t="shared" si="11"/>
        <v>0.36790393818431472</v>
      </c>
      <c r="J80" s="3" t="s">
        <v>11</v>
      </c>
    </row>
    <row r="81" spans="1:10" x14ac:dyDescent="0.25">
      <c r="A81" s="3" t="s">
        <v>90</v>
      </c>
      <c r="B81" s="3" t="str">
        <f t="shared" si="6"/>
        <v>5</v>
      </c>
      <c r="C81" s="7">
        <f t="shared" si="7"/>
        <v>6.4432989690721648E-4</v>
      </c>
      <c r="D81" s="8">
        <f t="shared" si="10"/>
        <v>5.1546391752577268E-2</v>
      </c>
      <c r="E81" s="4">
        <v>164</v>
      </c>
      <c r="F81" s="5">
        <v>150.76</v>
      </c>
      <c r="G81" s="10">
        <f t="shared" si="8"/>
        <v>24724.639999999999</v>
      </c>
      <c r="H81" s="7">
        <f t="shared" si="9"/>
        <v>2.9953935700554823E-3</v>
      </c>
      <c r="I81" s="8">
        <f t="shared" si="11"/>
        <v>0.37089933175437018</v>
      </c>
      <c r="J81" s="3" t="s">
        <v>11</v>
      </c>
    </row>
    <row r="82" spans="1:10" x14ac:dyDescent="0.25">
      <c r="A82" s="3" t="s">
        <v>91</v>
      </c>
      <c r="B82" s="3" t="str">
        <f t="shared" si="6"/>
        <v>6</v>
      </c>
      <c r="C82" s="7">
        <f t="shared" si="7"/>
        <v>6.4432989690721648E-4</v>
      </c>
      <c r="D82" s="8">
        <f t="shared" si="10"/>
        <v>5.2190721649484483E-2</v>
      </c>
      <c r="E82" s="4">
        <v>733</v>
      </c>
      <c r="F82" s="5">
        <v>33.68</v>
      </c>
      <c r="G82" s="10">
        <f t="shared" si="8"/>
        <v>24687.439999999999</v>
      </c>
      <c r="H82" s="7">
        <f t="shared" si="9"/>
        <v>2.9908867848886982E-3</v>
      </c>
      <c r="I82" s="8">
        <f t="shared" si="11"/>
        <v>0.37389021853925886</v>
      </c>
      <c r="J82" s="3" t="s">
        <v>11</v>
      </c>
    </row>
    <row r="83" spans="1:10" x14ac:dyDescent="0.25">
      <c r="A83" s="3" t="s">
        <v>92</v>
      </c>
      <c r="B83" s="3" t="str">
        <f t="shared" si="6"/>
        <v>8</v>
      </c>
      <c r="C83" s="7">
        <f t="shared" si="7"/>
        <v>6.4432989690721648E-4</v>
      </c>
      <c r="D83" s="8">
        <f t="shared" si="10"/>
        <v>5.2835051546391697E-2</v>
      </c>
      <c r="E83" s="4">
        <v>2108</v>
      </c>
      <c r="F83" s="5">
        <v>11.69</v>
      </c>
      <c r="G83" s="10">
        <f t="shared" si="8"/>
        <v>24642.52</v>
      </c>
      <c r="H83" s="7">
        <f t="shared" si="9"/>
        <v>2.9854447206496687E-3</v>
      </c>
      <c r="I83" s="8">
        <f t="shared" si="11"/>
        <v>0.37687566325990851</v>
      </c>
      <c r="J83" s="3" t="s">
        <v>11</v>
      </c>
    </row>
    <row r="84" spans="1:10" x14ac:dyDescent="0.25">
      <c r="A84" s="3" t="s">
        <v>93</v>
      </c>
      <c r="B84" s="3" t="str">
        <f t="shared" si="6"/>
        <v>6</v>
      </c>
      <c r="C84" s="7">
        <f t="shared" si="7"/>
        <v>6.4432989690721648E-4</v>
      </c>
      <c r="D84" s="8">
        <f t="shared" si="10"/>
        <v>5.3479381443298911E-2</v>
      </c>
      <c r="E84" s="4">
        <v>700</v>
      </c>
      <c r="F84" s="5">
        <v>35.08</v>
      </c>
      <c r="G84" s="10">
        <f t="shared" si="8"/>
        <v>24556</v>
      </c>
      <c r="H84" s="7">
        <f t="shared" si="9"/>
        <v>2.97496281063273E-3</v>
      </c>
      <c r="I84" s="8">
        <f t="shared" si="11"/>
        <v>0.37985062607054126</v>
      </c>
      <c r="J84" s="3" t="s">
        <v>11</v>
      </c>
    </row>
    <row r="85" spans="1:10" x14ac:dyDescent="0.25">
      <c r="A85" s="3" t="s">
        <v>94</v>
      </c>
      <c r="B85" s="3" t="str">
        <f t="shared" si="6"/>
        <v>8</v>
      </c>
      <c r="C85" s="7">
        <f t="shared" si="7"/>
        <v>6.4432989690721648E-4</v>
      </c>
      <c r="D85" s="8">
        <f t="shared" si="10"/>
        <v>5.4123711340206125E-2</v>
      </c>
      <c r="E85" s="4">
        <v>544</v>
      </c>
      <c r="F85" s="5">
        <v>44.62</v>
      </c>
      <c r="G85" s="10">
        <f t="shared" si="8"/>
        <v>24273.279999999999</v>
      </c>
      <c r="H85" s="7">
        <f t="shared" si="9"/>
        <v>2.9407112433651747E-3</v>
      </c>
      <c r="I85" s="8">
        <f t="shared" si="11"/>
        <v>0.38279133731390647</v>
      </c>
      <c r="J85" s="3" t="s">
        <v>11</v>
      </c>
    </row>
    <row r="86" spans="1:10" x14ac:dyDescent="0.25">
      <c r="A86" s="3" t="s">
        <v>95</v>
      </c>
      <c r="B86" s="3" t="str">
        <f t="shared" si="6"/>
        <v>3</v>
      </c>
      <c r="C86" s="7">
        <f t="shared" si="7"/>
        <v>6.4432989690721648E-4</v>
      </c>
      <c r="D86" s="8">
        <f t="shared" si="10"/>
        <v>5.4768041237113339E-2</v>
      </c>
      <c r="E86" s="4">
        <v>57</v>
      </c>
      <c r="F86" s="5">
        <v>424.09</v>
      </c>
      <c r="G86" s="10">
        <f t="shared" si="8"/>
        <v>24173.129999999997</v>
      </c>
      <c r="H86" s="7">
        <f t="shared" si="9"/>
        <v>2.9285780569551375E-3</v>
      </c>
      <c r="I86" s="8">
        <f t="shared" si="11"/>
        <v>0.38571991537086159</v>
      </c>
      <c r="J86" s="3" t="s">
        <v>11</v>
      </c>
    </row>
    <row r="87" spans="1:10" x14ac:dyDescent="0.25">
      <c r="A87" s="3" t="s">
        <v>96</v>
      </c>
      <c r="B87" s="3" t="str">
        <f t="shared" si="6"/>
        <v>1</v>
      </c>
      <c r="C87" s="7">
        <f t="shared" si="7"/>
        <v>6.4432989690721648E-4</v>
      </c>
      <c r="D87" s="8">
        <f t="shared" si="10"/>
        <v>5.5412371134020554E-2</v>
      </c>
      <c r="E87" s="4">
        <v>40</v>
      </c>
      <c r="F87" s="5">
        <v>602.54999999999995</v>
      </c>
      <c r="G87" s="10">
        <f t="shared" si="8"/>
        <v>24102</v>
      </c>
      <c r="H87" s="7">
        <f t="shared" si="9"/>
        <v>2.9199606475757475E-3</v>
      </c>
      <c r="I87" s="8">
        <f t="shared" si="11"/>
        <v>0.38863987601843736</v>
      </c>
      <c r="J87" s="3" t="s">
        <v>11</v>
      </c>
    </row>
    <row r="88" spans="1:10" x14ac:dyDescent="0.25">
      <c r="A88" s="3" t="s">
        <v>97</v>
      </c>
      <c r="B88" s="3" t="str">
        <f t="shared" si="6"/>
        <v>9</v>
      </c>
      <c r="C88" s="7">
        <f t="shared" si="7"/>
        <v>6.4432989690721648E-4</v>
      </c>
      <c r="D88" s="8">
        <f t="shared" si="10"/>
        <v>5.6056701030927768E-2</v>
      </c>
      <c r="E88" s="4">
        <v>101</v>
      </c>
      <c r="F88" s="5">
        <v>236.53</v>
      </c>
      <c r="G88" s="10">
        <f t="shared" si="8"/>
        <v>23889.53</v>
      </c>
      <c r="H88" s="7">
        <f t="shared" si="9"/>
        <v>2.8942198775653576E-3</v>
      </c>
      <c r="I88" s="8">
        <f t="shared" si="11"/>
        <v>0.39153409589600274</v>
      </c>
      <c r="J88" s="3" t="s">
        <v>11</v>
      </c>
    </row>
    <row r="89" spans="1:10" x14ac:dyDescent="0.25">
      <c r="A89" s="3" t="s">
        <v>98</v>
      </c>
      <c r="B89" s="3" t="str">
        <f t="shared" si="6"/>
        <v>7</v>
      </c>
      <c r="C89" s="7">
        <f t="shared" si="7"/>
        <v>6.4432989690721648E-4</v>
      </c>
      <c r="D89" s="8">
        <f t="shared" si="10"/>
        <v>5.6701030927834982E-2</v>
      </c>
      <c r="E89" s="4">
        <v>116</v>
      </c>
      <c r="F89" s="5">
        <v>204.85</v>
      </c>
      <c r="G89" s="10">
        <f t="shared" si="8"/>
        <v>23762.6</v>
      </c>
      <c r="H89" s="7">
        <f t="shared" si="9"/>
        <v>2.8788422904357917E-3</v>
      </c>
      <c r="I89" s="8">
        <f t="shared" si="11"/>
        <v>0.39441293818643852</v>
      </c>
      <c r="J89" s="3" t="s">
        <v>11</v>
      </c>
    </row>
    <row r="90" spans="1:10" x14ac:dyDescent="0.25">
      <c r="A90" s="3" t="s">
        <v>99</v>
      </c>
      <c r="B90" s="3" t="str">
        <f t="shared" si="6"/>
        <v>8</v>
      </c>
      <c r="C90" s="7">
        <f t="shared" si="7"/>
        <v>6.4432989690721648E-4</v>
      </c>
      <c r="D90" s="8">
        <f t="shared" si="10"/>
        <v>5.7345360824742196E-2</v>
      </c>
      <c r="E90" s="4">
        <v>1047</v>
      </c>
      <c r="F90" s="5">
        <v>22.55</v>
      </c>
      <c r="G90" s="10">
        <f t="shared" si="8"/>
        <v>23609.850000000002</v>
      </c>
      <c r="H90" s="7">
        <f t="shared" si="9"/>
        <v>2.8603366067200342E-3</v>
      </c>
      <c r="I90" s="8">
        <f t="shared" si="11"/>
        <v>0.39727327479315855</v>
      </c>
      <c r="J90" s="3" t="s">
        <v>11</v>
      </c>
    </row>
    <row r="91" spans="1:10" x14ac:dyDescent="0.25">
      <c r="A91" s="3" t="s">
        <v>100</v>
      </c>
      <c r="B91" s="3" t="str">
        <f t="shared" si="6"/>
        <v>8</v>
      </c>
      <c r="C91" s="7">
        <f t="shared" si="7"/>
        <v>6.4432989690721648E-4</v>
      </c>
      <c r="D91" s="8">
        <f t="shared" si="10"/>
        <v>5.798969072164941E-2</v>
      </c>
      <c r="E91" s="4">
        <v>573</v>
      </c>
      <c r="F91" s="5">
        <v>41.09</v>
      </c>
      <c r="G91" s="10">
        <f t="shared" si="8"/>
        <v>23544.570000000003</v>
      </c>
      <c r="H91" s="7">
        <f t="shared" si="9"/>
        <v>2.8524279256531629E-3</v>
      </c>
      <c r="I91" s="8">
        <f t="shared" si="11"/>
        <v>0.4001257027188117</v>
      </c>
      <c r="J91" s="3" t="s">
        <v>11</v>
      </c>
    </row>
    <row r="92" spans="1:10" x14ac:dyDescent="0.25">
      <c r="A92" s="3" t="s">
        <v>101</v>
      </c>
      <c r="B92" s="3" t="str">
        <f t="shared" si="6"/>
        <v>3</v>
      </c>
      <c r="C92" s="7">
        <f t="shared" si="7"/>
        <v>6.4432989690721648E-4</v>
      </c>
      <c r="D92" s="8">
        <f t="shared" si="10"/>
        <v>5.8634020618556625E-2</v>
      </c>
      <c r="E92" s="4">
        <v>28</v>
      </c>
      <c r="F92" s="5">
        <v>840.79</v>
      </c>
      <c r="G92" s="10">
        <f t="shared" si="8"/>
        <v>23542.12</v>
      </c>
      <c r="H92" s="7">
        <f t="shared" si="9"/>
        <v>2.8521311078128766E-3</v>
      </c>
      <c r="I92" s="8">
        <f t="shared" si="11"/>
        <v>0.40297783382662455</v>
      </c>
      <c r="J92" s="3" t="s">
        <v>11</v>
      </c>
    </row>
    <row r="93" spans="1:10" x14ac:dyDescent="0.25">
      <c r="A93" s="3" t="s">
        <v>102</v>
      </c>
      <c r="B93" s="3" t="str">
        <f t="shared" si="6"/>
        <v>1</v>
      </c>
      <c r="C93" s="7">
        <f t="shared" si="7"/>
        <v>6.4432989690721648E-4</v>
      </c>
      <c r="D93" s="8">
        <f t="shared" si="10"/>
        <v>5.9278350515463839E-2</v>
      </c>
      <c r="E93" s="4">
        <v>27</v>
      </c>
      <c r="F93" s="5">
        <v>865.54</v>
      </c>
      <c r="G93" s="10">
        <f t="shared" si="8"/>
        <v>23369.579999999998</v>
      </c>
      <c r="H93" s="7">
        <f t="shared" si="9"/>
        <v>2.8312278628484454E-3</v>
      </c>
      <c r="I93" s="8">
        <f t="shared" si="11"/>
        <v>0.40580906168947301</v>
      </c>
      <c r="J93" s="3" t="s">
        <v>11</v>
      </c>
    </row>
    <row r="94" spans="1:10" x14ac:dyDescent="0.25">
      <c r="A94" s="3" t="s">
        <v>103</v>
      </c>
      <c r="B94" s="3" t="str">
        <f t="shared" si="6"/>
        <v>8</v>
      </c>
      <c r="C94" s="7">
        <f t="shared" si="7"/>
        <v>6.4432989690721648E-4</v>
      </c>
      <c r="D94" s="8">
        <f t="shared" si="10"/>
        <v>5.9922680412371053E-2</v>
      </c>
      <c r="E94" s="4">
        <v>1232</v>
      </c>
      <c r="F94" s="5">
        <v>18.829999999999998</v>
      </c>
      <c r="G94" s="10">
        <f t="shared" si="8"/>
        <v>23198.559999999998</v>
      </c>
      <c r="H94" s="7">
        <f t="shared" si="9"/>
        <v>2.8105087660951302E-3</v>
      </c>
      <c r="I94" s="8">
        <f t="shared" si="11"/>
        <v>0.40861957045556813</v>
      </c>
      <c r="J94" s="3" t="s">
        <v>11</v>
      </c>
    </row>
    <row r="95" spans="1:10" x14ac:dyDescent="0.25">
      <c r="A95" s="3" t="s">
        <v>104</v>
      </c>
      <c r="B95" s="3" t="str">
        <f t="shared" si="6"/>
        <v>9</v>
      </c>
      <c r="C95" s="7">
        <f t="shared" si="7"/>
        <v>6.4432989690721648E-4</v>
      </c>
      <c r="D95" s="8">
        <f t="shared" si="10"/>
        <v>6.0567010309278267E-2</v>
      </c>
      <c r="E95" s="4">
        <v>687</v>
      </c>
      <c r="F95" s="5">
        <v>33.659999999999997</v>
      </c>
      <c r="G95" s="10">
        <f t="shared" si="8"/>
        <v>23124.42</v>
      </c>
      <c r="H95" s="7">
        <f t="shared" si="9"/>
        <v>2.8015266947976751E-3</v>
      </c>
      <c r="I95" s="8">
        <f t="shared" si="11"/>
        <v>0.41142109715036579</v>
      </c>
      <c r="J95" s="3" t="s">
        <v>11</v>
      </c>
    </row>
    <row r="96" spans="1:10" x14ac:dyDescent="0.25">
      <c r="A96" s="3" t="s">
        <v>105</v>
      </c>
      <c r="B96" s="3" t="str">
        <f t="shared" si="6"/>
        <v>8</v>
      </c>
      <c r="C96" s="7">
        <f t="shared" si="7"/>
        <v>6.4432989690721648E-4</v>
      </c>
      <c r="D96" s="8">
        <f t="shared" si="10"/>
        <v>6.1211340206185481E-2</v>
      </c>
      <c r="E96" s="4">
        <v>917</v>
      </c>
      <c r="F96" s="5">
        <v>25.14</v>
      </c>
      <c r="G96" s="10">
        <f t="shared" si="8"/>
        <v>23053.38</v>
      </c>
      <c r="H96" s="7">
        <f t="shared" si="9"/>
        <v>2.7929201889307855E-3</v>
      </c>
      <c r="I96" s="8">
        <f t="shared" si="11"/>
        <v>0.41421401733929658</v>
      </c>
      <c r="J96" s="3" t="s">
        <v>11</v>
      </c>
    </row>
    <row r="97" spans="1:10" x14ac:dyDescent="0.25">
      <c r="A97" s="3" t="s">
        <v>106</v>
      </c>
      <c r="B97" s="3" t="str">
        <f t="shared" si="6"/>
        <v>1</v>
      </c>
      <c r="C97" s="7">
        <f t="shared" si="7"/>
        <v>6.4432989690721648E-4</v>
      </c>
      <c r="D97" s="8">
        <f t="shared" si="10"/>
        <v>6.1855670103092696E-2</v>
      </c>
      <c r="E97" s="4">
        <v>29</v>
      </c>
      <c r="F97" s="5">
        <v>787.94</v>
      </c>
      <c r="G97" s="10">
        <f t="shared" si="8"/>
        <v>22850.260000000002</v>
      </c>
      <c r="H97" s="7">
        <f t="shared" si="9"/>
        <v>2.7683121727190359E-3</v>
      </c>
      <c r="I97" s="8">
        <f t="shared" si="11"/>
        <v>0.41698232951201564</v>
      </c>
      <c r="J97" s="3" t="s">
        <v>11</v>
      </c>
    </row>
    <row r="98" spans="1:10" x14ac:dyDescent="0.25">
      <c r="A98" s="3" t="s">
        <v>107</v>
      </c>
      <c r="B98" s="3" t="str">
        <f t="shared" si="6"/>
        <v>4</v>
      </c>
      <c r="C98" s="7">
        <f t="shared" si="7"/>
        <v>6.4432989690721648E-4</v>
      </c>
      <c r="D98" s="8">
        <f t="shared" si="10"/>
        <v>6.249999999999991E-2</v>
      </c>
      <c r="E98" s="4">
        <v>81</v>
      </c>
      <c r="F98" s="5">
        <v>281.66000000000003</v>
      </c>
      <c r="G98" s="10">
        <f t="shared" si="8"/>
        <v>22814.460000000003</v>
      </c>
      <c r="H98" s="7">
        <f t="shared" si="9"/>
        <v>2.7639749977467014E-3</v>
      </c>
      <c r="I98" s="8">
        <f t="shared" si="11"/>
        <v>0.41974630450976236</v>
      </c>
      <c r="J98" s="3" t="s">
        <v>11</v>
      </c>
    </row>
    <row r="99" spans="1:10" x14ac:dyDescent="0.25">
      <c r="A99" s="3" t="s">
        <v>108</v>
      </c>
      <c r="B99" s="3" t="str">
        <f t="shared" si="6"/>
        <v>8</v>
      </c>
      <c r="C99" s="7">
        <f t="shared" si="7"/>
        <v>6.4432989690721648E-4</v>
      </c>
      <c r="D99" s="8">
        <f t="shared" si="10"/>
        <v>6.3144329896907131E-2</v>
      </c>
      <c r="E99" s="4">
        <v>315</v>
      </c>
      <c r="F99" s="5">
        <v>72.42</v>
      </c>
      <c r="G99" s="10">
        <f t="shared" si="8"/>
        <v>22812.3</v>
      </c>
      <c r="H99" s="7">
        <f t="shared" si="9"/>
        <v>2.7637133134466941E-3</v>
      </c>
      <c r="I99" s="8">
        <f t="shared" si="11"/>
        <v>0.42251001782320907</v>
      </c>
      <c r="J99" s="3" t="s">
        <v>11</v>
      </c>
    </row>
    <row r="100" spans="1:10" x14ac:dyDescent="0.25">
      <c r="A100" s="3" t="s">
        <v>109</v>
      </c>
      <c r="B100" s="3" t="str">
        <f t="shared" si="6"/>
        <v>8</v>
      </c>
      <c r="C100" s="7">
        <f t="shared" si="7"/>
        <v>6.4432989690721648E-4</v>
      </c>
      <c r="D100" s="8">
        <f t="shared" si="10"/>
        <v>6.3788659793814345E-2</v>
      </c>
      <c r="E100" s="4">
        <v>608</v>
      </c>
      <c r="F100" s="5">
        <v>37.49</v>
      </c>
      <c r="G100" s="10">
        <f t="shared" si="8"/>
        <v>22793.920000000002</v>
      </c>
      <c r="H100" s="7">
        <f t="shared" si="9"/>
        <v>2.7614865738938591E-3</v>
      </c>
      <c r="I100" s="8">
        <f t="shared" si="11"/>
        <v>0.42527150439710293</v>
      </c>
      <c r="J100" s="3" t="s">
        <v>11</v>
      </c>
    </row>
    <row r="101" spans="1:10" x14ac:dyDescent="0.25">
      <c r="A101" s="3" t="s">
        <v>110</v>
      </c>
      <c r="B101" s="3" t="str">
        <f t="shared" si="6"/>
        <v>1</v>
      </c>
      <c r="C101" s="7">
        <f t="shared" si="7"/>
        <v>6.4432989690721648E-4</v>
      </c>
      <c r="D101" s="8">
        <f t="shared" si="10"/>
        <v>6.4432989690721559E-2</v>
      </c>
      <c r="E101" s="4">
        <v>22</v>
      </c>
      <c r="F101" s="5">
        <v>1033.4000000000001</v>
      </c>
      <c r="G101" s="10">
        <f t="shared" si="8"/>
        <v>22734.800000000003</v>
      </c>
      <c r="H101" s="7">
        <f t="shared" si="9"/>
        <v>2.7543241776825621E-3</v>
      </c>
      <c r="I101" s="8">
        <f t="shared" si="11"/>
        <v>0.42802582857478549</v>
      </c>
      <c r="J101" s="3" t="s">
        <v>11</v>
      </c>
    </row>
    <row r="102" spans="1:10" x14ac:dyDescent="0.25">
      <c r="A102" s="3" t="s">
        <v>111</v>
      </c>
      <c r="B102" s="3" t="str">
        <f t="shared" si="6"/>
        <v>5</v>
      </c>
      <c r="C102" s="7">
        <f t="shared" si="7"/>
        <v>6.4432989690721648E-4</v>
      </c>
      <c r="D102" s="8">
        <f t="shared" si="10"/>
        <v>6.5077319587628774E-2</v>
      </c>
      <c r="E102" s="4">
        <v>223</v>
      </c>
      <c r="F102" s="5">
        <v>101.81</v>
      </c>
      <c r="G102" s="10">
        <f t="shared" si="8"/>
        <v>22703.63</v>
      </c>
      <c r="H102" s="7">
        <f t="shared" si="9"/>
        <v>2.7505479278532971E-3</v>
      </c>
      <c r="I102" s="8">
        <f t="shared" si="11"/>
        <v>0.43077637650263878</v>
      </c>
      <c r="J102" s="3" t="s">
        <v>11</v>
      </c>
    </row>
    <row r="103" spans="1:10" x14ac:dyDescent="0.25">
      <c r="A103" s="3" t="s">
        <v>112</v>
      </c>
      <c r="B103" s="3" t="str">
        <f t="shared" si="6"/>
        <v>9</v>
      </c>
      <c r="C103" s="7">
        <f t="shared" si="7"/>
        <v>6.4432989690721648E-4</v>
      </c>
      <c r="D103" s="8">
        <f t="shared" si="10"/>
        <v>6.5721649484535988E-2</v>
      </c>
      <c r="E103" s="4">
        <v>260</v>
      </c>
      <c r="F103" s="5">
        <v>87.18</v>
      </c>
      <c r="G103" s="10">
        <f t="shared" si="8"/>
        <v>22666.800000000003</v>
      </c>
      <c r="H103" s="7">
        <f t="shared" si="9"/>
        <v>2.746085968237904E-3</v>
      </c>
      <c r="I103" s="8">
        <f t="shared" si="11"/>
        <v>0.43352246247087667</v>
      </c>
      <c r="J103" s="3" t="s">
        <v>11</v>
      </c>
    </row>
    <row r="104" spans="1:10" x14ac:dyDescent="0.25">
      <c r="A104" s="3" t="s">
        <v>113</v>
      </c>
      <c r="B104" s="3" t="str">
        <f t="shared" si="6"/>
        <v>8</v>
      </c>
      <c r="C104" s="7">
        <f t="shared" si="7"/>
        <v>6.4432989690721648E-4</v>
      </c>
      <c r="D104" s="8">
        <f t="shared" si="10"/>
        <v>6.6365979381443202E-2</v>
      </c>
      <c r="E104" s="4">
        <v>565</v>
      </c>
      <c r="F104" s="5">
        <v>39.83</v>
      </c>
      <c r="G104" s="10">
        <f t="shared" si="8"/>
        <v>22503.95</v>
      </c>
      <c r="H104" s="7">
        <f t="shared" si="9"/>
        <v>2.7263566681193364E-3</v>
      </c>
      <c r="I104" s="8">
        <f t="shared" si="11"/>
        <v>0.43624881913899599</v>
      </c>
      <c r="J104" s="3" t="s">
        <v>11</v>
      </c>
    </row>
    <row r="105" spans="1:10" x14ac:dyDescent="0.25">
      <c r="A105" s="3" t="s">
        <v>114</v>
      </c>
      <c r="B105" s="3" t="str">
        <f t="shared" si="6"/>
        <v>6</v>
      </c>
      <c r="C105" s="7">
        <f t="shared" si="7"/>
        <v>6.4432989690721648E-4</v>
      </c>
      <c r="D105" s="8">
        <f t="shared" si="10"/>
        <v>6.7010309278350416E-2</v>
      </c>
      <c r="E105" s="4">
        <v>345</v>
      </c>
      <c r="F105" s="5">
        <v>65.14</v>
      </c>
      <c r="G105" s="10">
        <f t="shared" si="8"/>
        <v>22473.3</v>
      </c>
      <c r="H105" s="7">
        <f t="shared" si="9"/>
        <v>2.7226434163622956E-3</v>
      </c>
      <c r="I105" s="8">
        <f t="shared" si="11"/>
        <v>0.43897146255535829</v>
      </c>
      <c r="J105" s="3" t="s">
        <v>11</v>
      </c>
    </row>
    <row r="106" spans="1:10" x14ac:dyDescent="0.25">
      <c r="A106" s="3" t="s">
        <v>115</v>
      </c>
      <c r="B106" s="3" t="str">
        <f t="shared" si="6"/>
        <v>3</v>
      </c>
      <c r="C106" s="7">
        <f t="shared" si="7"/>
        <v>6.4432989690721648E-4</v>
      </c>
      <c r="D106" s="8">
        <f t="shared" si="10"/>
        <v>6.765463917525763E-2</v>
      </c>
      <c r="E106" s="4">
        <v>32</v>
      </c>
      <c r="F106" s="5">
        <v>699.17</v>
      </c>
      <c r="G106" s="10">
        <f t="shared" si="8"/>
        <v>22373.439999999999</v>
      </c>
      <c r="H106" s="7">
        <f t="shared" si="9"/>
        <v>2.7105453634925373E-3</v>
      </c>
      <c r="I106" s="8">
        <f t="shared" si="11"/>
        <v>0.44168200791885082</v>
      </c>
      <c r="J106" s="3" t="s">
        <v>11</v>
      </c>
    </row>
    <row r="107" spans="1:10" x14ac:dyDescent="0.25">
      <c r="A107" s="3" t="s">
        <v>116</v>
      </c>
      <c r="B107" s="3" t="str">
        <f t="shared" si="6"/>
        <v>8</v>
      </c>
      <c r="C107" s="7">
        <f t="shared" si="7"/>
        <v>6.4432989690721648E-4</v>
      </c>
      <c r="D107" s="8">
        <f t="shared" si="10"/>
        <v>6.8298969072164845E-2</v>
      </c>
      <c r="E107" s="4">
        <v>2171</v>
      </c>
      <c r="F107" s="5">
        <v>10.29</v>
      </c>
      <c r="G107" s="10">
        <f t="shared" si="8"/>
        <v>22339.589999999997</v>
      </c>
      <c r="H107" s="7">
        <f t="shared" si="9"/>
        <v>2.7064444312910416E-3</v>
      </c>
      <c r="I107" s="8">
        <f t="shared" si="11"/>
        <v>0.44438845235014185</v>
      </c>
      <c r="J107" s="3" t="s">
        <v>11</v>
      </c>
    </row>
    <row r="108" spans="1:10" x14ac:dyDescent="0.25">
      <c r="A108" s="3" t="s">
        <v>117</v>
      </c>
      <c r="B108" s="3" t="str">
        <f t="shared" si="6"/>
        <v>9</v>
      </c>
      <c r="C108" s="7">
        <f t="shared" si="7"/>
        <v>6.4432989690721648E-4</v>
      </c>
      <c r="D108" s="8">
        <f t="shared" si="10"/>
        <v>6.8943298969072059E-2</v>
      </c>
      <c r="E108" s="4">
        <v>92</v>
      </c>
      <c r="F108" s="5">
        <v>240.12</v>
      </c>
      <c r="G108" s="10">
        <f t="shared" si="8"/>
        <v>22091.040000000001</v>
      </c>
      <c r="H108" s="7">
        <f t="shared" si="9"/>
        <v>2.6763325642694276E-3</v>
      </c>
      <c r="I108" s="8">
        <f t="shared" si="11"/>
        <v>0.44706478491441126</v>
      </c>
      <c r="J108" s="3" t="s">
        <v>11</v>
      </c>
    </row>
    <row r="109" spans="1:10" x14ac:dyDescent="0.25">
      <c r="A109" s="3" t="s">
        <v>118</v>
      </c>
      <c r="B109" s="3" t="str">
        <f t="shared" si="6"/>
        <v>7</v>
      </c>
      <c r="C109" s="7">
        <f t="shared" si="7"/>
        <v>6.4432989690721648E-4</v>
      </c>
      <c r="D109" s="8">
        <f t="shared" si="10"/>
        <v>6.9587628865979273E-2</v>
      </c>
      <c r="E109" s="4">
        <v>141</v>
      </c>
      <c r="F109" s="5">
        <v>156.12</v>
      </c>
      <c r="G109" s="10">
        <f t="shared" si="8"/>
        <v>22012.920000000002</v>
      </c>
      <c r="H109" s="7">
        <f t="shared" si="9"/>
        <v>2.6668683154191823E-3</v>
      </c>
      <c r="I109" s="8">
        <f t="shared" si="11"/>
        <v>0.44973165322983044</v>
      </c>
      <c r="J109" s="3" t="s">
        <v>11</v>
      </c>
    </row>
    <row r="110" spans="1:10" x14ac:dyDescent="0.25">
      <c r="A110" s="3" t="s">
        <v>119</v>
      </c>
      <c r="B110" s="3" t="str">
        <f t="shared" si="6"/>
        <v>9</v>
      </c>
      <c r="C110" s="7">
        <f t="shared" si="7"/>
        <v>6.4432989690721648E-4</v>
      </c>
      <c r="D110" s="8">
        <f t="shared" si="10"/>
        <v>7.0231958762886487E-2</v>
      </c>
      <c r="E110" s="4">
        <v>76</v>
      </c>
      <c r="F110" s="5">
        <v>288.06</v>
      </c>
      <c r="G110" s="10">
        <f t="shared" si="8"/>
        <v>21892.560000000001</v>
      </c>
      <c r="H110" s="7">
        <f t="shared" si="9"/>
        <v>2.6522866847021372E-3</v>
      </c>
      <c r="I110" s="8">
        <f t="shared" si="11"/>
        <v>0.45238393991453257</v>
      </c>
      <c r="J110" s="3" t="s">
        <v>11</v>
      </c>
    </row>
    <row r="111" spans="1:10" x14ac:dyDescent="0.25">
      <c r="A111" s="3" t="s">
        <v>120</v>
      </c>
      <c r="B111" s="3" t="str">
        <f t="shared" si="6"/>
        <v>7</v>
      </c>
      <c r="C111" s="7">
        <f t="shared" si="7"/>
        <v>6.4432989690721648E-4</v>
      </c>
      <c r="D111" s="8">
        <f t="shared" si="10"/>
        <v>7.0876288659793701E-2</v>
      </c>
      <c r="E111" s="4">
        <v>162</v>
      </c>
      <c r="F111" s="5">
        <v>134.68</v>
      </c>
      <c r="G111" s="10">
        <f t="shared" si="8"/>
        <v>21818.16</v>
      </c>
      <c r="H111" s="7">
        <f t="shared" si="9"/>
        <v>2.64327311436857E-3</v>
      </c>
      <c r="I111" s="8">
        <f t="shared" si="11"/>
        <v>0.45502721302890115</v>
      </c>
      <c r="J111" s="3" t="s">
        <v>11</v>
      </c>
    </row>
    <row r="112" spans="1:10" x14ac:dyDescent="0.25">
      <c r="A112" s="3" t="s">
        <v>121</v>
      </c>
      <c r="B112" s="3" t="str">
        <f t="shared" si="6"/>
        <v>3</v>
      </c>
      <c r="C112" s="7">
        <f t="shared" si="7"/>
        <v>6.4432989690721648E-4</v>
      </c>
      <c r="D112" s="8">
        <f t="shared" si="10"/>
        <v>7.1520618556700916E-2</v>
      </c>
      <c r="E112" s="4">
        <v>23</v>
      </c>
      <c r="F112" s="5">
        <v>948.38</v>
      </c>
      <c r="G112" s="10">
        <f t="shared" si="8"/>
        <v>21812.74</v>
      </c>
      <c r="H112" s="7">
        <f t="shared" si="9"/>
        <v>2.6426164806157755E-3</v>
      </c>
      <c r="I112" s="8">
        <f t="shared" si="11"/>
        <v>0.4576698295095169</v>
      </c>
      <c r="J112" s="3" t="s">
        <v>11</v>
      </c>
    </row>
    <row r="113" spans="1:10" x14ac:dyDescent="0.25">
      <c r="A113" s="3" t="s">
        <v>122</v>
      </c>
      <c r="B113" s="3" t="str">
        <f t="shared" si="6"/>
        <v>8</v>
      </c>
      <c r="C113" s="7">
        <f t="shared" si="7"/>
        <v>6.4432989690721648E-4</v>
      </c>
      <c r="D113" s="8">
        <f t="shared" si="10"/>
        <v>7.216494845360813E-2</v>
      </c>
      <c r="E113" s="4">
        <v>1013</v>
      </c>
      <c r="F113" s="5">
        <v>21.35</v>
      </c>
      <c r="G113" s="10">
        <f t="shared" si="8"/>
        <v>21627.550000000003</v>
      </c>
      <c r="H113" s="7">
        <f t="shared" si="9"/>
        <v>2.6201806863943599E-3</v>
      </c>
      <c r="I113" s="8">
        <f t="shared" si="11"/>
        <v>0.46029001019591126</v>
      </c>
      <c r="J113" s="3" t="s">
        <v>11</v>
      </c>
    </row>
    <row r="114" spans="1:10" x14ac:dyDescent="0.25">
      <c r="A114" s="3" t="s">
        <v>123</v>
      </c>
      <c r="B114" s="3" t="str">
        <f t="shared" si="6"/>
        <v>3</v>
      </c>
      <c r="C114" s="7">
        <f t="shared" si="7"/>
        <v>6.4432989690721648E-4</v>
      </c>
      <c r="D114" s="8">
        <f t="shared" si="10"/>
        <v>7.2809278350515344E-2</v>
      </c>
      <c r="E114" s="4">
        <v>18</v>
      </c>
      <c r="F114" s="5">
        <v>1199.6400000000001</v>
      </c>
      <c r="G114" s="10">
        <f t="shared" si="8"/>
        <v>21593.52</v>
      </c>
      <c r="H114" s="7">
        <f t="shared" si="9"/>
        <v>2.6160579471678639E-3</v>
      </c>
      <c r="I114" s="8">
        <f t="shared" si="11"/>
        <v>0.46290606814307911</v>
      </c>
      <c r="J114" s="3" t="s">
        <v>11</v>
      </c>
    </row>
    <row r="115" spans="1:10" x14ac:dyDescent="0.25">
      <c r="A115" s="3" t="s">
        <v>124</v>
      </c>
      <c r="B115" s="3" t="str">
        <f t="shared" si="6"/>
        <v>5</v>
      </c>
      <c r="C115" s="7">
        <f t="shared" si="7"/>
        <v>6.4432989690721648E-4</v>
      </c>
      <c r="D115" s="8">
        <f t="shared" si="10"/>
        <v>7.3453608247422558E-2</v>
      </c>
      <c r="E115" s="4">
        <v>107</v>
      </c>
      <c r="F115" s="5">
        <v>201.2</v>
      </c>
      <c r="G115" s="10">
        <f t="shared" si="8"/>
        <v>21528.399999999998</v>
      </c>
      <c r="H115" s="7">
        <f t="shared" si="9"/>
        <v>2.6081686501232145E-3</v>
      </c>
      <c r="I115" s="8">
        <f t="shared" si="11"/>
        <v>0.46551423679320231</v>
      </c>
      <c r="J115" s="3" t="s">
        <v>11</v>
      </c>
    </row>
    <row r="116" spans="1:10" x14ac:dyDescent="0.25">
      <c r="A116" s="3" t="s">
        <v>125</v>
      </c>
      <c r="B116" s="3" t="str">
        <f t="shared" si="6"/>
        <v>3</v>
      </c>
      <c r="C116" s="7">
        <f t="shared" si="7"/>
        <v>6.4432989690721648E-4</v>
      </c>
      <c r="D116" s="8">
        <f t="shared" si="10"/>
        <v>7.4097938144329772E-2</v>
      </c>
      <c r="E116" s="4">
        <v>25</v>
      </c>
      <c r="F116" s="5">
        <v>861.01</v>
      </c>
      <c r="G116" s="10">
        <f t="shared" si="8"/>
        <v>21525.25</v>
      </c>
      <c r="H116" s="7">
        <f t="shared" si="9"/>
        <v>2.6077870271857049E-3</v>
      </c>
      <c r="I116" s="8">
        <f t="shared" si="11"/>
        <v>0.46812202382038803</v>
      </c>
      <c r="J116" s="3" t="s">
        <v>11</v>
      </c>
    </row>
    <row r="117" spans="1:10" x14ac:dyDescent="0.25">
      <c r="A117" s="3" t="s">
        <v>126</v>
      </c>
      <c r="B117" s="3" t="str">
        <f t="shared" si="6"/>
        <v>7</v>
      </c>
      <c r="C117" s="7">
        <f t="shared" si="7"/>
        <v>6.4432989690721648E-4</v>
      </c>
      <c r="D117" s="8">
        <f t="shared" si="10"/>
        <v>7.4742268041236987E-2</v>
      </c>
      <c r="E117" s="4">
        <v>1621</v>
      </c>
      <c r="F117" s="5">
        <v>13.26</v>
      </c>
      <c r="G117" s="10">
        <f t="shared" si="8"/>
        <v>21494.46</v>
      </c>
      <c r="H117" s="7">
        <f t="shared" si="9"/>
        <v>2.6040568144092193E-3</v>
      </c>
      <c r="I117" s="8">
        <f t="shared" si="11"/>
        <v>0.47072608063479726</v>
      </c>
      <c r="J117" s="3" t="s">
        <v>11</v>
      </c>
    </row>
    <row r="118" spans="1:10" x14ac:dyDescent="0.25">
      <c r="A118" s="3" t="s">
        <v>127</v>
      </c>
      <c r="B118" s="3" t="str">
        <f t="shared" si="6"/>
        <v>1</v>
      </c>
      <c r="C118" s="7">
        <f t="shared" si="7"/>
        <v>6.4432989690721648E-4</v>
      </c>
      <c r="D118" s="8">
        <f t="shared" si="10"/>
        <v>7.5386597938144201E-2</v>
      </c>
      <c r="E118" s="4">
        <v>25</v>
      </c>
      <c r="F118" s="5">
        <v>859.35</v>
      </c>
      <c r="G118" s="10">
        <f t="shared" si="8"/>
        <v>21483.75</v>
      </c>
      <c r="H118" s="7">
        <f t="shared" si="9"/>
        <v>2.6027592964216854E-3</v>
      </c>
      <c r="I118" s="8">
        <f t="shared" si="11"/>
        <v>0.47332883993121894</v>
      </c>
      <c r="J118" s="3" t="s">
        <v>11</v>
      </c>
    </row>
    <row r="119" spans="1:10" x14ac:dyDescent="0.25">
      <c r="A119" s="3" t="s">
        <v>128</v>
      </c>
      <c r="B119" s="3" t="str">
        <f t="shared" si="6"/>
        <v>9</v>
      </c>
      <c r="C119" s="7">
        <f t="shared" si="7"/>
        <v>6.4432989690721648E-4</v>
      </c>
      <c r="D119" s="8">
        <f t="shared" si="10"/>
        <v>7.6030927835051415E-2</v>
      </c>
      <c r="E119" s="4">
        <v>55</v>
      </c>
      <c r="F119" s="5">
        <v>387.48</v>
      </c>
      <c r="G119" s="10">
        <f t="shared" si="8"/>
        <v>21311.4</v>
      </c>
      <c r="H119" s="7">
        <f t="shared" si="9"/>
        <v>2.5818790699836439E-3</v>
      </c>
      <c r="I119" s="8">
        <f t="shared" si="11"/>
        <v>0.47591071900120258</v>
      </c>
      <c r="J119" s="3" t="s">
        <v>11</v>
      </c>
    </row>
    <row r="120" spans="1:10" x14ac:dyDescent="0.25">
      <c r="A120" s="3" t="s">
        <v>129</v>
      </c>
      <c r="B120" s="3" t="str">
        <f t="shared" si="6"/>
        <v>1</v>
      </c>
      <c r="C120" s="7">
        <f t="shared" si="7"/>
        <v>6.4432989690721648E-4</v>
      </c>
      <c r="D120" s="8">
        <f t="shared" si="10"/>
        <v>7.6675257731958629E-2</v>
      </c>
      <c r="E120" s="4">
        <v>23</v>
      </c>
      <c r="F120" s="5">
        <v>925.13</v>
      </c>
      <c r="G120" s="10">
        <f t="shared" si="8"/>
        <v>21277.99</v>
      </c>
      <c r="H120" s="7">
        <f t="shared" si="9"/>
        <v>2.5778314438432612E-3</v>
      </c>
      <c r="I120" s="8">
        <f t="shared" si="11"/>
        <v>0.47848855044504585</v>
      </c>
      <c r="J120" s="3" t="s">
        <v>11</v>
      </c>
    </row>
    <row r="121" spans="1:10" x14ac:dyDescent="0.25">
      <c r="A121" s="3" t="s">
        <v>130</v>
      </c>
      <c r="B121" s="3" t="str">
        <f t="shared" si="6"/>
        <v>4</v>
      </c>
      <c r="C121" s="7">
        <f t="shared" si="7"/>
        <v>6.4432989690721648E-4</v>
      </c>
      <c r="D121" s="8">
        <f t="shared" si="10"/>
        <v>7.7319587628865843E-2</v>
      </c>
      <c r="E121" s="4">
        <v>75</v>
      </c>
      <c r="F121" s="5">
        <v>280.95</v>
      </c>
      <c r="G121" s="10">
        <f t="shared" si="8"/>
        <v>21071.25</v>
      </c>
      <c r="H121" s="7">
        <f t="shared" si="9"/>
        <v>2.5527848641287224E-3</v>
      </c>
      <c r="I121" s="8">
        <f t="shared" si="11"/>
        <v>0.48104133530917459</v>
      </c>
      <c r="J121" s="3" t="s">
        <v>11</v>
      </c>
    </row>
    <row r="122" spans="1:10" x14ac:dyDescent="0.25">
      <c r="A122" s="3" t="s">
        <v>131</v>
      </c>
      <c r="B122" s="3" t="str">
        <f t="shared" si="6"/>
        <v>8</v>
      </c>
      <c r="C122" s="7">
        <f t="shared" si="7"/>
        <v>6.4432989690721648E-4</v>
      </c>
      <c r="D122" s="8">
        <f t="shared" si="10"/>
        <v>7.7963917525773058E-2</v>
      </c>
      <c r="E122" s="4">
        <v>702</v>
      </c>
      <c r="F122" s="5">
        <v>29.93</v>
      </c>
      <c r="G122" s="10">
        <f t="shared" si="8"/>
        <v>21010.86</v>
      </c>
      <c r="H122" s="7">
        <f t="shared" si="9"/>
        <v>2.5454686072410326E-3</v>
      </c>
      <c r="I122" s="8">
        <f t="shared" si="11"/>
        <v>0.48358680391641562</v>
      </c>
      <c r="J122" s="3" t="s">
        <v>11</v>
      </c>
    </row>
    <row r="123" spans="1:10" x14ac:dyDescent="0.25">
      <c r="A123" s="3" t="s">
        <v>132</v>
      </c>
      <c r="B123" s="3" t="str">
        <f t="shared" si="6"/>
        <v>2</v>
      </c>
      <c r="C123" s="7">
        <f t="shared" si="7"/>
        <v>6.4432989690721648E-4</v>
      </c>
      <c r="D123" s="8">
        <f t="shared" si="10"/>
        <v>7.8608247422680272E-2</v>
      </c>
      <c r="E123" s="4">
        <v>1107</v>
      </c>
      <c r="F123" s="5">
        <v>18.89</v>
      </c>
      <c r="G123" s="10">
        <f t="shared" si="8"/>
        <v>20911.23</v>
      </c>
      <c r="H123" s="7">
        <f t="shared" si="9"/>
        <v>2.5333984189032195E-3</v>
      </c>
      <c r="I123" s="8">
        <f t="shared" si="11"/>
        <v>0.48612020233531883</v>
      </c>
      <c r="J123" s="3" t="s">
        <v>11</v>
      </c>
    </row>
    <row r="124" spans="1:10" x14ac:dyDescent="0.25">
      <c r="A124" s="3" t="s">
        <v>133</v>
      </c>
      <c r="B124" s="3" t="str">
        <f t="shared" si="6"/>
        <v>9</v>
      </c>
      <c r="C124" s="7">
        <f t="shared" si="7"/>
        <v>6.4432989690721648E-4</v>
      </c>
      <c r="D124" s="8">
        <f t="shared" si="10"/>
        <v>7.9252577319587486E-2</v>
      </c>
      <c r="E124" s="4">
        <v>45</v>
      </c>
      <c r="F124" s="5">
        <v>461.68</v>
      </c>
      <c r="G124" s="10">
        <f t="shared" si="8"/>
        <v>20775.599999999999</v>
      </c>
      <c r="H124" s="7">
        <f t="shared" si="9"/>
        <v>2.516966825565293E-3</v>
      </c>
      <c r="I124" s="8">
        <f t="shared" si="11"/>
        <v>0.48863716916088412</v>
      </c>
      <c r="J124" s="3" t="s">
        <v>11</v>
      </c>
    </row>
    <row r="125" spans="1:10" x14ac:dyDescent="0.25">
      <c r="A125" s="3" t="s">
        <v>134</v>
      </c>
      <c r="B125" s="3" t="str">
        <f t="shared" si="6"/>
        <v>8</v>
      </c>
      <c r="C125" s="7">
        <f t="shared" si="7"/>
        <v>6.4432989690721648E-4</v>
      </c>
      <c r="D125" s="8">
        <f t="shared" si="10"/>
        <v>7.98969072164947E-2</v>
      </c>
      <c r="E125" s="4">
        <v>800</v>
      </c>
      <c r="F125" s="5">
        <v>25.86</v>
      </c>
      <c r="G125" s="10">
        <f t="shared" si="8"/>
        <v>20688</v>
      </c>
      <c r="H125" s="7">
        <f t="shared" si="9"/>
        <v>2.5063540733983513E-3</v>
      </c>
      <c r="I125" s="8">
        <f t="shared" si="11"/>
        <v>0.49114352323428245</v>
      </c>
      <c r="J125" s="3" t="s">
        <v>11</v>
      </c>
    </row>
    <row r="126" spans="1:10" x14ac:dyDescent="0.25">
      <c r="A126" s="3" t="s">
        <v>135</v>
      </c>
      <c r="B126" s="3" t="str">
        <f t="shared" si="6"/>
        <v>4</v>
      </c>
      <c r="C126" s="7">
        <f t="shared" si="7"/>
        <v>6.4432989690721648E-4</v>
      </c>
      <c r="D126" s="8">
        <f t="shared" si="10"/>
        <v>8.0541237113401914E-2</v>
      </c>
      <c r="E126" s="4">
        <v>114</v>
      </c>
      <c r="F126" s="5">
        <v>180.36</v>
      </c>
      <c r="G126" s="10">
        <f t="shared" si="8"/>
        <v>20561.04</v>
      </c>
      <c r="H126" s="7">
        <f t="shared" si="9"/>
        <v>2.4909728517646191E-3</v>
      </c>
      <c r="I126" s="8">
        <f t="shared" si="11"/>
        <v>0.49363449608604709</v>
      </c>
      <c r="J126" s="3" t="s">
        <v>11</v>
      </c>
    </row>
    <row r="127" spans="1:10" x14ac:dyDescent="0.25">
      <c r="A127" s="3" t="s">
        <v>136</v>
      </c>
      <c r="B127" s="3" t="str">
        <f t="shared" si="6"/>
        <v>4</v>
      </c>
      <c r="C127" s="7">
        <f t="shared" si="7"/>
        <v>6.4432989690721648E-4</v>
      </c>
      <c r="D127" s="8">
        <f t="shared" si="10"/>
        <v>8.1185567010309129E-2</v>
      </c>
      <c r="E127" s="4">
        <v>971</v>
      </c>
      <c r="F127" s="5">
        <v>20.94</v>
      </c>
      <c r="G127" s="10">
        <f t="shared" si="8"/>
        <v>20332.740000000002</v>
      </c>
      <c r="H127" s="7">
        <f t="shared" si="9"/>
        <v>2.4633142750555685E-3</v>
      </c>
      <c r="I127" s="8">
        <f t="shared" si="11"/>
        <v>0.49609781036110268</v>
      </c>
      <c r="J127" s="3" t="s">
        <v>11</v>
      </c>
    </row>
    <row r="128" spans="1:10" x14ac:dyDescent="0.25">
      <c r="A128" s="3" t="s">
        <v>137</v>
      </c>
      <c r="B128" s="3" t="str">
        <f t="shared" si="6"/>
        <v>2</v>
      </c>
      <c r="C128" s="7">
        <f t="shared" si="7"/>
        <v>6.4432989690721648E-4</v>
      </c>
      <c r="D128" s="8">
        <f t="shared" si="10"/>
        <v>8.1829896907216343E-2</v>
      </c>
      <c r="E128" s="4">
        <v>233</v>
      </c>
      <c r="F128" s="5">
        <v>87.23</v>
      </c>
      <c r="G128" s="10">
        <f t="shared" si="8"/>
        <v>20324.59</v>
      </c>
      <c r="H128" s="7">
        <f t="shared" si="9"/>
        <v>2.462326901423598E-3</v>
      </c>
      <c r="I128" s="8">
        <f t="shared" si="11"/>
        <v>0.49856013726252629</v>
      </c>
      <c r="J128" s="3" t="s">
        <v>11</v>
      </c>
    </row>
    <row r="129" spans="1:10" x14ac:dyDescent="0.25">
      <c r="A129" s="3" t="s">
        <v>138</v>
      </c>
      <c r="B129" s="3" t="str">
        <f t="shared" si="6"/>
        <v>3</v>
      </c>
      <c r="C129" s="7">
        <f t="shared" si="7"/>
        <v>6.4432989690721648E-4</v>
      </c>
      <c r="D129" s="8">
        <f t="shared" si="10"/>
        <v>8.2474226804123557E-2</v>
      </c>
      <c r="E129" s="4">
        <v>55</v>
      </c>
      <c r="F129" s="5">
        <v>367.72</v>
      </c>
      <c r="G129" s="10">
        <f t="shared" si="8"/>
        <v>20224.600000000002</v>
      </c>
      <c r="H129" s="7">
        <f t="shared" si="9"/>
        <v>2.450213099035784E-3</v>
      </c>
      <c r="I129" s="8">
        <f t="shared" si="11"/>
        <v>0.50101035036156205</v>
      </c>
      <c r="J129" s="3" t="s">
        <v>11</v>
      </c>
    </row>
    <row r="130" spans="1:10" x14ac:dyDescent="0.25">
      <c r="A130" s="3" t="s">
        <v>139</v>
      </c>
      <c r="B130" s="3" t="str">
        <f t="shared" ref="B130:B193" si="12">RIGHT(A130,1)</f>
        <v>9</v>
      </c>
      <c r="C130" s="7">
        <f t="shared" ref="C130:C193" si="13">1/COUNTA(A$2:A$1553)</f>
        <v>6.4432989690721648E-4</v>
      </c>
      <c r="D130" s="8">
        <f t="shared" si="10"/>
        <v>8.3118556701030771E-2</v>
      </c>
      <c r="E130" s="4">
        <v>113</v>
      </c>
      <c r="F130" s="5">
        <v>178.02</v>
      </c>
      <c r="G130" s="10">
        <f t="shared" ref="G130:G193" si="14">E130*F130</f>
        <v>20116.260000000002</v>
      </c>
      <c r="H130" s="7">
        <f t="shared" ref="H130:H193" si="15">G130/SUM(G$2:G$1553)</f>
        <v>2.4370876929882216E-3</v>
      </c>
      <c r="I130" s="8">
        <f t="shared" si="11"/>
        <v>0.50344743805455028</v>
      </c>
      <c r="J130" s="3" t="s">
        <v>11</v>
      </c>
    </row>
    <row r="131" spans="1:10" x14ac:dyDescent="0.25">
      <c r="A131" s="3" t="s">
        <v>140</v>
      </c>
      <c r="B131" s="3" t="str">
        <f t="shared" si="12"/>
        <v>8</v>
      </c>
      <c r="C131" s="7">
        <f t="shared" si="13"/>
        <v>6.4432989690721648E-4</v>
      </c>
      <c r="D131" s="8">
        <f t="shared" ref="D131:D194" si="16">D130+C131</f>
        <v>8.3762886597937986E-2</v>
      </c>
      <c r="E131" s="4">
        <v>2350</v>
      </c>
      <c r="F131" s="5">
        <v>8.5299999999999994</v>
      </c>
      <c r="G131" s="10">
        <f t="shared" si="14"/>
        <v>20045.5</v>
      </c>
      <c r="H131" s="7">
        <f t="shared" si="15"/>
        <v>2.4285151091602208E-3</v>
      </c>
      <c r="I131" s="8">
        <f t="shared" ref="I131:I194" si="17">I130+H131</f>
        <v>0.50587595316371048</v>
      </c>
      <c r="J131" s="3" t="s">
        <v>11</v>
      </c>
    </row>
    <row r="132" spans="1:10" x14ac:dyDescent="0.25">
      <c r="A132" s="3" t="s">
        <v>141</v>
      </c>
      <c r="B132" s="3" t="str">
        <f t="shared" si="12"/>
        <v>2</v>
      </c>
      <c r="C132" s="7">
        <f t="shared" si="13"/>
        <v>6.4432989690721648E-4</v>
      </c>
      <c r="D132" s="8">
        <f t="shared" si="16"/>
        <v>8.44072164948452E-2</v>
      </c>
      <c r="E132" s="4">
        <v>912</v>
      </c>
      <c r="F132" s="5">
        <v>21.93</v>
      </c>
      <c r="G132" s="10">
        <f t="shared" si="14"/>
        <v>20000.16</v>
      </c>
      <c r="H132" s="7">
        <f t="shared" si="15"/>
        <v>2.4230221618628564E-3</v>
      </c>
      <c r="I132" s="8">
        <f t="shared" si="17"/>
        <v>0.50829897532557333</v>
      </c>
      <c r="J132" s="3" t="s">
        <v>11</v>
      </c>
    </row>
    <row r="133" spans="1:10" x14ac:dyDescent="0.25">
      <c r="A133" s="3" t="s">
        <v>142</v>
      </c>
      <c r="B133" s="3" t="str">
        <f t="shared" si="12"/>
        <v>5</v>
      </c>
      <c r="C133" s="7">
        <f t="shared" si="13"/>
        <v>6.4432989690721648E-4</v>
      </c>
      <c r="D133" s="8">
        <f t="shared" si="16"/>
        <v>8.5051546391752414E-2</v>
      </c>
      <c r="E133" s="4">
        <v>112</v>
      </c>
      <c r="F133" s="5">
        <v>178.16</v>
      </c>
      <c r="G133" s="10">
        <f t="shared" si="14"/>
        <v>19953.919999999998</v>
      </c>
      <c r="H133" s="7">
        <f t="shared" si="15"/>
        <v>2.4174201794404885E-3</v>
      </c>
      <c r="I133" s="8">
        <f t="shared" si="17"/>
        <v>0.5107163955050138</v>
      </c>
      <c r="J133" s="3" t="s">
        <v>11</v>
      </c>
    </row>
    <row r="134" spans="1:10" x14ac:dyDescent="0.25">
      <c r="A134" s="3" t="s">
        <v>143</v>
      </c>
      <c r="B134" s="3" t="str">
        <f t="shared" si="12"/>
        <v>8</v>
      </c>
      <c r="C134" s="7">
        <f t="shared" si="13"/>
        <v>6.4432989690721648E-4</v>
      </c>
      <c r="D134" s="8">
        <f t="shared" si="16"/>
        <v>8.5695876288659628E-2</v>
      </c>
      <c r="E134" s="4">
        <v>641</v>
      </c>
      <c r="F134" s="5">
        <v>31.02</v>
      </c>
      <c r="G134" s="10">
        <f t="shared" si="14"/>
        <v>19883.82</v>
      </c>
      <c r="H134" s="7">
        <f t="shared" si="15"/>
        <v>2.4089275547041571E-3</v>
      </c>
      <c r="I134" s="8">
        <f t="shared" si="17"/>
        <v>0.51312532305971792</v>
      </c>
      <c r="J134" s="3" t="s">
        <v>11</v>
      </c>
    </row>
    <row r="135" spans="1:10" x14ac:dyDescent="0.25">
      <c r="A135" s="3" t="s">
        <v>144</v>
      </c>
      <c r="B135" s="3" t="str">
        <f t="shared" si="12"/>
        <v>9</v>
      </c>
      <c r="C135" s="7">
        <f t="shared" si="13"/>
        <v>6.4432989690721648E-4</v>
      </c>
      <c r="D135" s="8">
        <f t="shared" si="16"/>
        <v>8.6340206185566842E-2</v>
      </c>
      <c r="E135" s="4">
        <v>196</v>
      </c>
      <c r="F135" s="5">
        <v>101.3</v>
      </c>
      <c r="G135" s="10">
        <f t="shared" si="14"/>
        <v>19854.8</v>
      </c>
      <c r="H135" s="7">
        <f t="shared" si="15"/>
        <v>2.4054117776735103E-3</v>
      </c>
      <c r="I135" s="8">
        <f t="shared" si="17"/>
        <v>0.51553073483739142</v>
      </c>
      <c r="J135" s="3" t="s">
        <v>11</v>
      </c>
    </row>
    <row r="136" spans="1:10" x14ac:dyDescent="0.25">
      <c r="A136" s="3" t="s">
        <v>145</v>
      </c>
      <c r="B136" s="3" t="str">
        <f t="shared" si="12"/>
        <v>2</v>
      </c>
      <c r="C136" s="7">
        <f t="shared" si="13"/>
        <v>6.4432989690721648E-4</v>
      </c>
      <c r="D136" s="8">
        <f t="shared" si="16"/>
        <v>8.6984536082474057E-2</v>
      </c>
      <c r="E136" s="4">
        <v>286</v>
      </c>
      <c r="F136" s="5">
        <v>69.33</v>
      </c>
      <c r="G136" s="10">
        <f t="shared" si="14"/>
        <v>19828.38</v>
      </c>
      <c r="H136" s="7">
        <f t="shared" si="15"/>
        <v>2.4022109910039834E-3</v>
      </c>
      <c r="I136" s="8">
        <f t="shared" si="17"/>
        <v>0.51793294582839544</v>
      </c>
      <c r="J136" s="3" t="s">
        <v>11</v>
      </c>
    </row>
    <row r="137" spans="1:10" x14ac:dyDescent="0.25">
      <c r="A137" s="3" t="s">
        <v>146</v>
      </c>
      <c r="B137" s="3" t="str">
        <f t="shared" si="12"/>
        <v>1</v>
      </c>
      <c r="C137" s="7">
        <f t="shared" si="13"/>
        <v>6.4432989690721648E-4</v>
      </c>
      <c r="D137" s="8">
        <f t="shared" si="16"/>
        <v>8.7628865979381271E-2</v>
      </c>
      <c r="E137" s="4">
        <v>33</v>
      </c>
      <c r="F137" s="5">
        <v>598.21</v>
      </c>
      <c r="G137" s="10">
        <f t="shared" si="14"/>
        <v>19740.93</v>
      </c>
      <c r="H137" s="7">
        <f t="shared" si="15"/>
        <v>2.3916164113578749E-3</v>
      </c>
      <c r="I137" s="8">
        <f t="shared" si="17"/>
        <v>0.52032456223975332</v>
      </c>
      <c r="J137" s="3" t="s">
        <v>11</v>
      </c>
    </row>
    <row r="138" spans="1:10" x14ac:dyDescent="0.25">
      <c r="A138" s="3" t="s">
        <v>147</v>
      </c>
      <c r="B138" s="3" t="str">
        <f t="shared" si="12"/>
        <v>9</v>
      </c>
      <c r="C138" s="7">
        <f t="shared" si="13"/>
        <v>6.4432989690721648E-4</v>
      </c>
      <c r="D138" s="8">
        <f t="shared" si="16"/>
        <v>8.8273195876288485E-2</v>
      </c>
      <c r="E138" s="4">
        <v>67</v>
      </c>
      <c r="F138" s="5">
        <v>292.39</v>
      </c>
      <c r="G138" s="10">
        <f t="shared" si="14"/>
        <v>19590.129999999997</v>
      </c>
      <c r="H138" s="7">
        <f t="shared" si="15"/>
        <v>2.3733469704129563E-3</v>
      </c>
      <c r="I138" s="8">
        <f t="shared" si="17"/>
        <v>0.52269790921016623</v>
      </c>
      <c r="J138" s="3" t="s">
        <v>11</v>
      </c>
    </row>
    <row r="139" spans="1:10" x14ac:dyDescent="0.25">
      <c r="A139" s="3" t="s">
        <v>148</v>
      </c>
      <c r="B139" s="3" t="str">
        <f t="shared" si="12"/>
        <v>8</v>
      </c>
      <c r="C139" s="7">
        <f t="shared" si="13"/>
        <v>6.4432989690721648E-4</v>
      </c>
      <c r="D139" s="8">
        <f t="shared" si="16"/>
        <v>8.8917525773195699E-2</v>
      </c>
      <c r="E139" s="4">
        <v>1463</v>
      </c>
      <c r="F139" s="5">
        <v>13.25</v>
      </c>
      <c r="G139" s="10">
        <f t="shared" si="14"/>
        <v>19384.75</v>
      </c>
      <c r="H139" s="7">
        <f t="shared" si="15"/>
        <v>2.348465154887311E-3</v>
      </c>
      <c r="I139" s="8">
        <f t="shared" si="17"/>
        <v>0.52504637436505353</v>
      </c>
      <c r="J139" s="3" t="s">
        <v>11</v>
      </c>
    </row>
    <row r="140" spans="1:10" x14ac:dyDescent="0.25">
      <c r="A140" s="3" t="s">
        <v>149</v>
      </c>
      <c r="B140" s="3" t="str">
        <f t="shared" si="12"/>
        <v>8</v>
      </c>
      <c r="C140" s="7">
        <f t="shared" si="13"/>
        <v>6.4432989690721648E-4</v>
      </c>
      <c r="D140" s="8">
        <f t="shared" si="16"/>
        <v>8.9561855670102913E-2</v>
      </c>
      <c r="E140" s="4">
        <v>596</v>
      </c>
      <c r="F140" s="5">
        <v>32.479999999999997</v>
      </c>
      <c r="G140" s="10">
        <f t="shared" si="14"/>
        <v>19358.079999999998</v>
      </c>
      <c r="H140" s="7">
        <f t="shared" si="15"/>
        <v>2.3452340806830604E-3</v>
      </c>
      <c r="I140" s="8">
        <f t="shared" si="17"/>
        <v>0.52739160844573663</v>
      </c>
      <c r="J140" s="3" t="s">
        <v>11</v>
      </c>
    </row>
    <row r="141" spans="1:10" x14ac:dyDescent="0.25">
      <c r="A141" s="3" t="s">
        <v>150</v>
      </c>
      <c r="B141" s="3" t="str">
        <f t="shared" si="12"/>
        <v>6</v>
      </c>
      <c r="C141" s="7">
        <f t="shared" si="13"/>
        <v>6.4432989690721648E-4</v>
      </c>
      <c r="D141" s="8">
        <f t="shared" si="16"/>
        <v>9.0206185567010128E-2</v>
      </c>
      <c r="E141" s="4">
        <v>581</v>
      </c>
      <c r="F141" s="5">
        <v>32.79</v>
      </c>
      <c r="G141" s="10">
        <f t="shared" si="14"/>
        <v>19050.989999999998</v>
      </c>
      <c r="H141" s="7">
        <f t="shared" si="15"/>
        <v>2.3080300845307062E-3</v>
      </c>
      <c r="I141" s="8">
        <f t="shared" si="17"/>
        <v>0.52969963853026736</v>
      </c>
      <c r="J141" s="3" t="s">
        <v>11</v>
      </c>
    </row>
    <row r="142" spans="1:10" x14ac:dyDescent="0.25">
      <c r="A142" s="3" t="s">
        <v>151</v>
      </c>
      <c r="B142" s="3" t="str">
        <f t="shared" si="12"/>
        <v>1</v>
      </c>
      <c r="C142" s="7">
        <f t="shared" si="13"/>
        <v>6.4432989690721648E-4</v>
      </c>
      <c r="D142" s="8">
        <f t="shared" si="16"/>
        <v>9.0850515463917342E-2</v>
      </c>
      <c r="E142" s="4">
        <v>19</v>
      </c>
      <c r="F142" s="5">
        <v>995.97</v>
      </c>
      <c r="G142" s="10">
        <f t="shared" si="14"/>
        <v>18923.43</v>
      </c>
      <c r="H142" s="7">
        <f t="shared" si="15"/>
        <v>2.292576172813639E-3</v>
      </c>
      <c r="I142" s="8">
        <f t="shared" si="17"/>
        <v>0.531992214703081</v>
      </c>
      <c r="J142" s="3" t="s">
        <v>11</v>
      </c>
    </row>
    <row r="143" spans="1:10" x14ac:dyDescent="0.25">
      <c r="A143" s="3" t="s">
        <v>152</v>
      </c>
      <c r="B143" s="3" t="str">
        <f t="shared" si="12"/>
        <v>7</v>
      </c>
      <c r="C143" s="7">
        <f t="shared" si="13"/>
        <v>6.4432989690721648E-4</v>
      </c>
      <c r="D143" s="8">
        <f t="shared" si="16"/>
        <v>9.1494845360824556E-2</v>
      </c>
      <c r="E143" s="4">
        <v>878</v>
      </c>
      <c r="F143" s="5">
        <v>21.51</v>
      </c>
      <c r="G143" s="10">
        <f t="shared" si="14"/>
        <v>18885.780000000002</v>
      </c>
      <c r="H143" s="7">
        <f t="shared" si="15"/>
        <v>2.2880148700843545E-3</v>
      </c>
      <c r="I143" s="8">
        <f t="shared" si="17"/>
        <v>0.53428022957316534</v>
      </c>
      <c r="J143" s="3" t="s">
        <v>11</v>
      </c>
    </row>
    <row r="144" spans="1:10" x14ac:dyDescent="0.25">
      <c r="A144" s="3" t="s">
        <v>153</v>
      </c>
      <c r="B144" s="3" t="str">
        <f t="shared" si="12"/>
        <v>6</v>
      </c>
      <c r="C144" s="7">
        <f t="shared" si="13"/>
        <v>6.4432989690721648E-4</v>
      </c>
      <c r="D144" s="8">
        <f t="shared" si="16"/>
        <v>9.213917525773177E-2</v>
      </c>
      <c r="E144" s="4">
        <v>971</v>
      </c>
      <c r="F144" s="5">
        <v>19.36</v>
      </c>
      <c r="G144" s="10">
        <f t="shared" si="14"/>
        <v>18798.559999999998</v>
      </c>
      <c r="H144" s="7">
        <f t="shared" si="15"/>
        <v>2.2774481549701908E-3</v>
      </c>
      <c r="I144" s="8">
        <f t="shared" si="17"/>
        <v>0.53655767772813556</v>
      </c>
      <c r="J144" s="3" t="s">
        <v>11</v>
      </c>
    </row>
    <row r="145" spans="1:10" x14ac:dyDescent="0.25">
      <c r="A145" s="3" t="s">
        <v>154</v>
      </c>
      <c r="B145" s="3" t="str">
        <f t="shared" si="12"/>
        <v>4</v>
      </c>
      <c r="C145" s="7">
        <f t="shared" si="13"/>
        <v>6.4432989690721648E-4</v>
      </c>
      <c r="D145" s="8">
        <f t="shared" si="16"/>
        <v>9.2783505154638984E-2</v>
      </c>
      <c r="E145" s="4">
        <v>95</v>
      </c>
      <c r="F145" s="5">
        <v>197.46</v>
      </c>
      <c r="G145" s="10">
        <f t="shared" si="14"/>
        <v>18758.7</v>
      </c>
      <c r="H145" s="7">
        <f t="shared" si="15"/>
        <v>2.2726191104339545E-3</v>
      </c>
      <c r="I145" s="8">
        <f t="shared" si="17"/>
        <v>0.53883029683856953</v>
      </c>
      <c r="J145" s="3" t="s">
        <v>11</v>
      </c>
    </row>
    <row r="146" spans="1:10" x14ac:dyDescent="0.25">
      <c r="A146" s="3" t="s">
        <v>155</v>
      </c>
      <c r="B146" s="3" t="str">
        <f t="shared" si="12"/>
        <v>1</v>
      </c>
      <c r="C146" s="7">
        <f t="shared" si="13"/>
        <v>6.4432989690721648E-4</v>
      </c>
      <c r="D146" s="8">
        <f t="shared" si="16"/>
        <v>9.3427835051546199E-2</v>
      </c>
      <c r="E146" s="4">
        <v>21</v>
      </c>
      <c r="F146" s="5">
        <v>890.39</v>
      </c>
      <c r="G146" s="10">
        <f t="shared" si="14"/>
        <v>18698.189999999999</v>
      </c>
      <c r="H146" s="7">
        <f t="shared" si="15"/>
        <v>2.2652883155295975E-3</v>
      </c>
      <c r="I146" s="8">
        <f t="shared" si="17"/>
        <v>0.54109558515409917</v>
      </c>
      <c r="J146" s="3" t="s">
        <v>11</v>
      </c>
    </row>
    <row r="147" spans="1:10" x14ac:dyDescent="0.25">
      <c r="A147" s="3" t="s">
        <v>156</v>
      </c>
      <c r="B147" s="3" t="str">
        <f t="shared" si="12"/>
        <v>6</v>
      </c>
      <c r="C147" s="7">
        <f t="shared" si="13"/>
        <v>6.4432989690721648E-4</v>
      </c>
      <c r="D147" s="8">
        <f t="shared" si="16"/>
        <v>9.4072164948453413E-2</v>
      </c>
      <c r="E147" s="4">
        <v>1258</v>
      </c>
      <c r="F147" s="5">
        <v>14.78</v>
      </c>
      <c r="G147" s="10">
        <f t="shared" si="14"/>
        <v>18593.239999999998</v>
      </c>
      <c r="H147" s="7">
        <f t="shared" si="15"/>
        <v>2.2525736084528787E-3</v>
      </c>
      <c r="I147" s="8">
        <f t="shared" si="17"/>
        <v>0.54334815876255205</v>
      </c>
      <c r="J147" s="3" t="s">
        <v>11</v>
      </c>
    </row>
    <row r="148" spans="1:10" x14ac:dyDescent="0.25">
      <c r="A148" s="3" t="s">
        <v>157</v>
      </c>
      <c r="B148" s="3" t="str">
        <f t="shared" si="12"/>
        <v>8</v>
      </c>
      <c r="C148" s="7">
        <f t="shared" si="13"/>
        <v>6.4432989690721648E-4</v>
      </c>
      <c r="D148" s="8">
        <f t="shared" si="16"/>
        <v>9.4716494845360627E-2</v>
      </c>
      <c r="E148" s="4">
        <v>605</v>
      </c>
      <c r="F148" s="5">
        <v>30.66</v>
      </c>
      <c r="G148" s="10">
        <f t="shared" si="14"/>
        <v>18549.3</v>
      </c>
      <c r="H148" s="7">
        <f t="shared" si="15"/>
        <v>2.247250271349963E-3</v>
      </c>
      <c r="I148" s="8">
        <f t="shared" si="17"/>
        <v>0.54559540903390202</v>
      </c>
      <c r="J148" s="3" t="s">
        <v>11</v>
      </c>
    </row>
    <row r="149" spans="1:10" x14ac:dyDescent="0.25">
      <c r="A149" s="3" t="s">
        <v>158</v>
      </c>
      <c r="B149" s="3" t="str">
        <f t="shared" si="12"/>
        <v>8</v>
      </c>
      <c r="C149" s="7">
        <f t="shared" si="13"/>
        <v>6.4432989690721648E-4</v>
      </c>
      <c r="D149" s="8">
        <f t="shared" si="16"/>
        <v>9.5360824742267841E-2</v>
      </c>
      <c r="E149" s="4">
        <v>306</v>
      </c>
      <c r="F149" s="5">
        <v>60.57</v>
      </c>
      <c r="G149" s="10">
        <f t="shared" si="14"/>
        <v>18534.420000000002</v>
      </c>
      <c r="H149" s="7">
        <f t="shared" si="15"/>
        <v>2.2454475572832502E-3</v>
      </c>
      <c r="I149" s="8">
        <f t="shared" si="17"/>
        <v>0.54784085659118531</v>
      </c>
      <c r="J149" s="3" t="s">
        <v>11</v>
      </c>
    </row>
    <row r="150" spans="1:10" x14ac:dyDescent="0.25">
      <c r="A150" s="3" t="s">
        <v>159</v>
      </c>
      <c r="B150" s="3" t="str">
        <f t="shared" si="12"/>
        <v>9</v>
      </c>
      <c r="C150" s="7">
        <f t="shared" si="13"/>
        <v>6.4432989690721648E-4</v>
      </c>
      <c r="D150" s="8">
        <f t="shared" si="16"/>
        <v>9.6005154639175055E-2</v>
      </c>
      <c r="E150" s="4">
        <v>54</v>
      </c>
      <c r="F150" s="5">
        <v>343.15</v>
      </c>
      <c r="G150" s="10">
        <f t="shared" si="14"/>
        <v>18530.099999999999</v>
      </c>
      <c r="H150" s="7">
        <f t="shared" si="15"/>
        <v>2.2449241886832358E-3</v>
      </c>
      <c r="I150" s="8">
        <f t="shared" si="17"/>
        <v>0.55008578077986858</v>
      </c>
      <c r="J150" s="3" t="s">
        <v>11</v>
      </c>
    </row>
    <row r="151" spans="1:10" x14ac:dyDescent="0.25">
      <c r="A151" s="3" t="s">
        <v>160</v>
      </c>
      <c r="B151" s="3" t="str">
        <f t="shared" si="12"/>
        <v>9</v>
      </c>
      <c r="C151" s="7">
        <f t="shared" si="13"/>
        <v>6.4432989690721648E-4</v>
      </c>
      <c r="D151" s="8">
        <f t="shared" si="16"/>
        <v>9.664948453608227E-2</v>
      </c>
      <c r="E151" s="4">
        <v>74</v>
      </c>
      <c r="F151" s="5">
        <v>250.08</v>
      </c>
      <c r="G151" s="10">
        <f t="shared" si="14"/>
        <v>18505.920000000002</v>
      </c>
      <c r="H151" s="7">
        <f t="shared" si="15"/>
        <v>2.2419947783248271E-3</v>
      </c>
      <c r="I151" s="8">
        <f t="shared" si="17"/>
        <v>0.55232777555819346</v>
      </c>
      <c r="J151" s="3" t="s">
        <v>11</v>
      </c>
    </row>
    <row r="152" spans="1:10" x14ac:dyDescent="0.25">
      <c r="A152" s="3" t="s">
        <v>161</v>
      </c>
      <c r="B152" s="3" t="str">
        <f t="shared" si="12"/>
        <v>3</v>
      </c>
      <c r="C152" s="7">
        <f t="shared" si="13"/>
        <v>6.4432989690721648E-4</v>
      </c>
      <c r="D152" s="8">
        <f t="shared" si="16"/>
        <v>9.7293814432989484E-2</v>
      </c>
      <c r="E152" s="4">
        <v>32</v>
      </c>
      <c r="F152" s="5">
        <v>576.04999999999995</v>
      </c>
      <c r="G152" s="10">
        <f t="shared" si="14"/>
        <v>18433.599999999999</v>
      </c>
      <c r="H152" s="7">
        <f t="shared" si="15"/>
        <v>2.2332332002801551E-3</v>
      </c>
      <c r="I152" s="8">
        <f t="shared" si="17"/>
        <v>0.55456100875847358</v>
      </c>
      <c r="J152" s="3" t="s">
        <v>11</v>
      </c>
    </row>
    <row r="153" spans="1:10" x14ac:dyDescent="0.25">
      <c r="A153" s="3" t="s">
        <v>162</v>
      </c>
      <c r="B153" s="3" t="str">
        <f t="shared" si="12"/>
        <v>9</v>
      </c>
      <c r="C153" s="7">
        <f t="shared" si="13"/>
        <v>6.4432989690721648E-4</v>
      </c>
      <c r="D153" s="8">
        <f t="shared" si="16"/>
        <v>9.7938144329896698E-2</v>
      </c>
      <c r="E153" s="4">
        <v>113</v>
      </c>
      <c r="F153" s="5">
        <v>161.55000000000001</v>
      </c>
      <c r="G153" s="10">
        <f t="shared" si="14"/>
        <v>18255.150000000001</v>
      </c>
      <c r="H153" s="7">
        <f t="shared" si="15"/>
        <v>2.2116139579948721E-3</v>
      </c>
      <c r="I153" s="8">
        <f t="shared" si="17"/>
        <v>0.55677262271646843</v>
      </c>
      <c r="J153" s="3" t="s">
        <v>11</v>
      </c>
    </row>
    <row r="154" spans="1:10" x14ac:dyDescent="0.25">
      <c r="A154" s="3" t="s">
        <v>163</v>
      </c>
      <c r="B154" s="3" t="str">
        <f t="shared" si="12"/>
        <v>1</v>
      </c>
      <c r="C154" s="7">
        <f t="shared" si="13"/>
        <v>6.4432989690721648E-4</v>
      </c>
      <c r="D154" s="8">
        <f t="shared" si="16"/>
        <v>9.8582474226803912E-2</v>
      </c>
      <c r="E154" s="4">
        <v>39</v>
      </c>
      <c r="F154" s="5">
        <v>465.4</v>
      </c>
      <c r="G154" s="10">
        <f t="shared" si="14"/>
        <v>18150.599999999999</v>
      </c>
      <c r="H154" s="7">
        <f t="shared" si="15"/>
        <v>2.1989477109737102E-3</v>
      </c>
      <c r="I154" s="8">
        <f t="shared" si="17"/>
        <v>0.55897157042744217</v>
      </c>
      <c r="J154" s="3" t="s">
        <v>11</v>
      </c>
    </row>
    <row r="155" spans="1:10" x14ac:dyDescent="0.25">
      <c r="A155" s="3" t="s">
        <v>164</v>
      </c>
      <c r="B155" s="3" t="str">
        <f t="shared" si="12"/>
        <v>3</v>
      </c>
      <c r="C155" s="7">
        <f t="shared" si="13"/>
        <v>6.4432989690721648E-4</v>
      </c>
      <c r="D155" s="8">
        <f t="shared" si="16"/>
        <v>9.9226804123711126E-2</v>
      </c>
      <c r="E155" s="4">
        <v>36</v>
      </c>
      <c r="F155" s="5">
        <v>503.96</v>
      </c>
      <c r="G155" s="10">
        <f t="shared" si="14"/>
        <v>18142.559999999998</v>
      </c>
      <c r="H155" s="7">
        <f t="shared" si="15"/>
        <v>2.1979736638570182E-3</v>
      </c>
      <c r="I155" s="8">
        <f t="shared" si="17"/>
        <v>0.56116954409129916</v>
      </c>
      <c r="J155" s="3" t="s">
        <v>11</v>
      </c>
    </row>
    <row r="156" spans="1:10" x14ac:dyDescent="0.25">
      <c r="A156" s="3" t="s">
        <v>165</v>
      </c>
      <c r="B156" s="3" t="str">
        <f t="shared" si="12"/>
        <v>1</v>
      </c>
      <c r="C156" s="7">
        <f t="shared" si="13"/>
        <v>6.4432989690721648E-4</v>
      </c>
      <c r="D156" s="8">
        <f t="shared" si="16"/>
        <v>9.9871134020618341E-2</v>
      </c>
      <c r="E156" s="4">
        <v>23</v>
      </c>
      <c r="F156" s="5">
        <v>787.47</v>
      </c>
      <c r="G156" s="10">
        <f t="shared" si="14"/>
        <v>18111.810000000001</v>
      </c>
      <c r="H156" s="7">
        <f t="shared" si="15"/>
        <v>2.1942482970860886E-3</v>
      </c>
      <c r="I156" s="8">
        <f t="shared" si="17"/>
        <v>0.5633637923883853</v>
      </c>
      <c r="J156" s="3" t="s">
        <v>11</v>
      </c>
    </row>
    <row r="157" spans="1:10" x14ac:dyDescent="0.25">
      <c r="A157" s="3" t="s">
        <v>166</v>
      </c>
      <c r="B157" s="3" t="str">
        <f t="shared" si="12"/>
        <v>1</v>
      </c>
      <c r="C157" s="7">
        <f t="shared" si="13"/>
        <v>6.4432989690721648E-4</v>
      </c>
      <c r="D157" s="8">
        <f t="shared" si="16"/>
        <v>0.10051546391752555</v>
      </c>
      <c r="E157" s="4">
        <v>35</v>
      </c>
      <c r="F157" s="5">
        <v>516.83000000000004</v>
      </c>
      <c r="G157" s="10">
        <f t="shared" si="14"/>
        <v>18089.050000000003</v>
      </c>
      <c r="H157" s="7">
        <f t="shared" si="15"/>
        <v>2.1914909199249061E-3</v>
      </c>
      <c r="I157" s="8">
        <f t="shared" si="17"/>
        <v>0.56555528330831017</v>
      </c>
      <c r="J157" s="3" t="s">
        <v>11</v>
      </c>
    </row>
    <row r="158" spans="1:10" x14ac:dyDescent="0.25">
      <c r="A158" s="3" t="s">
        <v>167</v>
      </c>
      <c r="B158" s="3" t="str">
        <f t="shared" si="12"/>
        <v>9</v>
      </c>
      <c r="C158" s="7">
        <f t="shared" si="13"/>
        <v>6.4432989690721648E-4</v>
      </c>
      <c r="D158" s="8">
        <f t="shared" si="16"/>
        <v>0.10115979381443277</v>
      </c>
      <c r="E158" s="4">
        <v>39</v>
      </c>
      <c r="F158" s="5">
        <v>462.9</v>
      </c>
      <c r="G158" s="10">
        <f t="shared" si="14"/>
        <v>18053.099999999999</v>
      </c>
      <c r="H158" s="7">
        <f t="shared" si="15"/>
        <v>2.1871355724317368E-3</v>
      </c>
      <c r="I158" s="8">
        <f t="shared" si="17"/>
        <v>0.56774241888074195</v>
      </c>
      <c r="J158" s="3" t="s">
        <v>11</v>
      </c>
    </row>
    <row r="159" spans="1:10" x14ac:dyDescent="0.25">
      <c r="A159" s="3" t="s">
        <v>168</v>
      </c>
      <c r="B159" s="3" t="str">
        <f t="shared" si="12"/>
        <v>1</v>
      </c>
      <c r="C159" s="7">
        <f t="shared" si="13"/>
        <v>6.4432989690721648E-4</v>
      </c>
      <c r="D159" s="8">
        <f t="shared" si="16"/>
        <v>0.10180412371133998</v>
      </c>
      <c r="E159" s="4">
        <v>22</v>
      </c>
      <c r="F159" s="5">
        <v>816.69</v>
      </c>
      <c r="G159" s="10">
        <f t="shared" si="14"/>
        <v>17967.18</v>
      </c>
      <c r="H159" s="7">
        <f t="shared" si="15"/>
        <v>2.1767263524981339E-3</v>
      </c>
      <c r="I159" s="8">
        <f t="shared" si="17"/>
        <v>0.56991914523324005</v>
      </c>
      <c r="J159" s="3" t="s">
        <v>11</v>
      </c>
    </row>
    <row r="160" spans="1:10" x14ac:dyDescent="0.25">
      <c r="A160" s="3" t="s">
        <v>169</v>
      </c>
      <c r="B160" s="3" t="str">
        <f t="shared" si="12"/>
        <v>1</v>
      </c>
      <c r="C160" s="7">
        <f t="shared" si="13"/>
        <v>6.4432989690721648E-4</v>
      </c>
      <c r="D160" s="8">
        <f t="shared" si="16"/>
        <v>0.1024484536082472</v>
      </c>
      <c r="E160" s="4">
        <v>30</v>
      </c>
      <c r="F160" s="5">
        <v>595.25</v>
      </c>
      <c r="G160" s="10">
        <f t="shared" si="14"/>
        <v>17857.5</v>
      </c>
      <c r="H160" s="7">
        <f t="shared" si="15"/>
        <v>2.1634386052644559E-3</v>
      </c>
      <c r="I160" s="8">
        <f t="shared" si="17"/>
        <v>0.57208258383850452</v>
      </c>
      <c r="J160" s="3" t="s">
        <v>11</v>
      </c>
    </row>
    <row r="161" spans="1:10" x14ac:dyDescent="0.25">
      <c r="A161" s="3" t="s">
        <v>170</v>
      </c>
      <c r="B161" s="3" t="str">
        <f t="shared" si="12"/>
        <v>9</v>
      </c>
      <c r="C161" s="7">
        <f t="shared" si="13"/>
        <v>6.4432989690721648E-4</v>
      </c>
      <c r="D161" s="8">
        <f t="shared" si="16"/>
        <v>0.10309278350515441</v>
      </c>
      <c r="E161" s="4">
        <v>427</v>
      </c>
      <c r="F161" s="5">
        <v>41.77</v>
      </c>
      <c r="G161" s="10">
        <f t="shared" si="14"/>
        <v>17835.79</v>
      </c>
      <c r="H161" s="7">
        <f t="shared" si="15"/>
        <v>2.1608084357491097E-3</v>
      </c>
      <c r="I161" s="8">
        <f t="shared" si="17"/>
        <v>0.57424339227425358</v>
      </c>
      <c r="J161" s="3" t="s">
        <v>11</v>
      </c>
    </row>
    <row r="162" spans="1:10" x14ac:dyDescent="0.25">
      <c r="A162" s="3" t="s">
        <v>171</v>
      </c>
      <c r="B162" s="3" t="str">
        <f t="shared" si="12"/>
        <v>8</v>
      </c>
      <c r="C162" s="7">
        <f t="shared" si="13"/>
        <v>6.4432989690721648E-4</v>
      </c>
      <c r="D162" s="8">
        <f t="shared" si="16"/>
        <v>0.10373711340206163</v>
      </c>
      <c r="E162" s="4">
        <v>719</v>
      </c>
      <c r="F162" s="5">
        <v>24.72</v>
      </c>
      <c r="G162" s="10">
        <f t="shared" si="14"/>
        <v>17773.68</v>
      </c>
      <c r="H162" s="7">
        <f t="shared" si="15"/>
        <v>2.1532838006225255E-3</v>
      </c>
      <c r="I162" s="8">
        <f t="shared" si="17"/>
        <v>0.5763966760748761</v>
      </c>
      <c r="J162" s="3" t="s">
        <v>11</v>
      </c>
    </row>
    <row r="163" spans="1:10" x14ac:dyDescent="0.25">
      <c r="A163" s="3" t="s">
        <v>172</v>
      </c>
      <c r="B163" s="3" t="str">
        <f t="shared" si="12"/>
        <v>4</v>
      </c>
      <c r="C163" s="7">
        <f t="shared" si="13"/>
        <v>6.4432989690721648E-4</v>
      </c>
      <c r="D163" s="8">
        <f t="shared" si="16"/>
        <v>0.10438144329896884</v>
      </c>
      <c r="E163" s="4">
        <v>95</v>
      </c>
      <c r="F163" s="5">
        <v>186.63</v>
      </c>
      <c r="G163" s="10">
        <f t="shared" si="14"/>
        <v>17729.849999999999</v>
      </c>
      <c r="H163" s="7">
        <f t="shared" si="15"/>
        <v>2.1479737900348878E-3</v>
      </c>
      <c r="I163" s="8">
        <f t="shared" si="17"/>
        <v>0.57854464986491094</v>
      </c>
      <c r="J163" s="3" t="s">
        <v>11</v>
      </c>
    </row>
    <row r="164" spans="1:10" x14ac:dyDescent="0.25">
      <c r="A164" s="3" t="s">
        <v>173</v>
      </c>
      <c r="B164" s="3" t="str">
        <f t="shared" si="12"/>
        <v>9</v>
      </c>
      <c r="C164" s="7">
        <f t="shared" si="13"/>
        <v>6.4432989690721648E-4</v>
      </c>
      <c r="D164" s="8">
        <f t="shared" si="16"/>
        <v>0.10502577319587605</v>
      </c>
      <c r="E164" s="4">
        <v>43</v>
      </c>
      <c r="F164" s="5">
        <v>411.29</v>
      </c>
      <c r="G164" s="10">
        <f t="shared" si="14"/>
        <v>17685.47</v>
      </c>
      <c r="H164" s="7">
        <f t="shared" si="15"/>
        <v>2.1425971468708596E-3</v>
      </c>
      <c r="I164" s="8">
        <f t="shared" si="17"/>
        <v>0.58068724701178176</v>
      </c>
      <c r="J164" s="3" t="s">
        <v>11</v>
      </c>
    </row>
    <row r="165" spans="1:10" x14ac:dyDescent="0.25">
      <c r="A165" s="3" t="s">
        <v>174</v>
      </c>
      <c r="B165" s="3" t="str">
        <f t="shared" si="12"/>
        <v>9</v>
      </c>
      <c r="C165" s="7">
        <f t="shared" si="13"/>
        <v>6.4432989690721648E-4</v>
      </c>
      <c r="D165" s="8">
        <f t="shared" si="16"/>
        <v>0.10567010309278327</v>
      </c>
      <c r="E165" s="4">
        <v>87</v>
      </c>
      <c r="F165" s="5">
        <v>201.2</v>
      </c>
      <c r="G165" s="10">
        <f t="shared" si="14"/>
        <v>17504.399999999998</v>
      </c>
      <c r="H165" s="7">
        <f t="shared" si="15"/>
        <v>2.1206604912216791E-3</v>
      </c>
      <c r="I165" s="8">
        <f t="shared" si="17"/>
        <v>0.58280790750300349</v>
      </c>
      <c r="J165" s="3" t="s">
        <v>11</v>
      </c>
    </row>
    <row r="166" spans="1:10" x14ac:dyDescent="0.25">
      <c r="A166" s="3" t="s">
        <v>175</v>
      </c>
      <c r="B166" s="3" t="str">
        <f t="shared" si="12"/>
        <v>9</v>
      </c>
      <c r="C166" s="7">
        <f t="shared" si="13"/>
        <v>6.4432989690721648E-4</v>
      </c>
      <c r="D166" s="8">
        <f t="shared" si="16"/>
        <v>0.10631443298969048</v>
      </c>
      <c r="E166" s="4">
        <v>44</v>
      </c>
      <c r="F166" s="5">
        <v>397.14</v>
      </c>
      <c r="G166" s="10">
        <f t="shared" si="14"/>
        <v>17474.16</v>
      </c>
      <c r="H166" s="7">
        <f t="shared" si="15"/>
        <v>2.1169969110215845E-3</v>
      </c>
      <c r="I166" s="8">
        <f t="shared" si="17"/>
        <v>0.58492490441402512</v>
      </c>
      <c r="J166" s="3" t="s">
        <v>11</v>
      </c>
    </row>
    <row r="167" spans="1:10" x14ac:dyDescent="0.25">
      <c r="A167" s="3" t="s">
        <v>176</v>
      </c>
      <c r="B167" s="3" t="str">
        <f t="shared" si="12"/>
        <v>5</v>
      </c>
      <c r="C167" s="7">
        <f t="shared" si="13"/>
        <v>6.4432989690721648E-4</v>
      </c>
      <c r="D167" s="8">
        <f t="shared" si="16"/>
        <v>0.1069587628865977</v>
      </c>
      <c r="E167" s="4">
        <v>161</v>
      </c>
      <c r="F167" s="5">
        <v>108.29</v>
      </c>
      <c r="G167" s="10">
        <f t="shared" si="14"/>
        <v>17434.690000000002</v>
      </c>
      <c r="H167" s="7">
        <f t="shared" si="15"/>
        <v>2.1122151150395159E-3</v>
      </c>
      <c r="I167" s="8">
        <f t="shared" si="17"/>
        <v>0.58703711952906468</v>
      </c>
      <c r="J167" s="3" t="s">
        <v>11</v>
      </c>
    </row>
    <row r="168" spans="1:10" x14ac:dyDescent="0.25">
      <c r="A168" s="3" t="s">
        <v>177</v>
      </c>
      <c r="B168" s="3" t="str">
        <f t="shared" si="12"/>
        <v>8</v>
      </c>
      <c r="C168" s="7">
        <f t="shared" si="13"/>
        <v>6.4432989690721648E-4</v>
      </c>
      <c r="D168" s="8">
        <f t="shared" si="16"/>
        <v>0.10760309278350491</v>
      </c>
      <c r="E168" s="4">
        <v>386</v>
      </c>
      <c r="F168" s="5">
        <v>45.14</v>
      </c>
      <c r="G168" s="10">
        <f t="shared" si="14"/>
        <v>17424.04</v>
      </c>
      <c r="H168" s="7">
        <f t="shared" si="15"/>
        <v>2.1109248660603156E-3</v>
      </c>
      <c r="I168" s="8">
        <f t="shared" si="17"/>
        <v>0.58914804439512503</v>
      </c>
      <c r="J168" s="3" t="s">
        <v>11</v>
      </c>
    </row>
    <row r="169" spans="1:10" x14ac:dyDescent="0.25">
      <c r="A169" s="3" t="s">
        <v>178</v>
      </c>
      <c r="B169" s="3" t="str">
        <f t="shared" si="12"/>
        <v>8</v>
      </c>
      <c r="C169" s="7">
        <f t="shared" si="13"/>
        <v>6.4432989690721648E-4</v>
      </c>
      <c r="D169" s="8">
        <f t="shared" si="16"/>
        <v>0.10824742268041213</v>
      </c>
      <c r="E169" s="4">
        <v>445</v>
      </c>
      <c r="F169" s="5">
        <v>38.82</v>
      </c>
      <c r="G169" s="10">
        <f t="shared" si="14"/>
        <v>17274.900000000001</v>
      </c>
      <c r="H169" s="7">
        <f t="shared" si="15"/>
        <v>2.0928565343459582E-3</v>
      </c>
      <c r="I169" s="8">
        <f t="shared" si="17"/>
        <v>0.59124090092947101</v>
      </c>
      <c r="J169" s="3" t="s">
        <v>11</v>
      </c>
    </row>
    <row r="170" spans="1:10" x14ac:dyDescent="0.25">
      <c r="A170" s="3" t="s">
        <v>179</v>
      </c>
      <c r="B170" s="3" t="str">
        <f t="shared" si="12"/>
        <v>1</v>
      </c>
      <c r="C170" s="7">
        <f t="shared" si="13"/>
        <v>6.4432989690721648E-4</v>
      </c>
      <c r="D170" s="8">
        <f t="shared" si="16"/>
        <v>0.10889175257731934</v>
      </c>
      <c r="E170" s="4">
        <v>27</v>
      </c>
      <c r="F170" s="5">
        <v>638.26</v>
      </c>
      <c r="G170" s="10">
        <f t="shared" si="14"/>
        <v>17233.02</v>
      </c>
      <c r="H170" s="7">
        <f t="shared" si="15"/>
        <v>2.0877827665291599E-3</v>
      </c>
      <c r="I170" s="8">
        <f t="shared" si="17"/>
        <v>0.59332868369600023</v>
      </c>
      <c r="J170" s="3" t="s">
        <v>11</v>
      </c>
    </row>
    <row r="171" spans="1:10" x14ac:dyDescent="0.25">
      <c r="A171" s="3" t="s">
        <v>180</v>
      </c>
      <c r="B171" s="3" t="str">
        <f t="shared" si="12"/>
        <v>8</v>
      </c>
      <c r="C171" s="7">
        <f t="shared" si="13"/>
        <v>6.4432989690721648E-4</v>
      </c>
      <c r="D171" s="8">
        <f t="shared" si="16"/>
        <v>0.10953608247422655</v>
      </c>
      <c r="E171" s="4">
        <v>286</v>
      </c>
      <c r="F171" s="5">
        <v>59.02</v>
      </c>
      <c r="G171" s="10">
        <f t="shared" si="14"/>
        <v>16879.72</v>
      </c>
      <c r="H171" s="7">
        <f t="shared" si="15"/>
        <v>2.0449804224586051E-3</v>
      </c>
      <c r="I171" s="8">
        <f t="shared" si="17"/>
        <v>0.59537366411845882</v>
      </c>
      <c r="J171" s="3" t="s">
        <v>11</v>
      </c>
    </row>
    <row r="172" spans="1:10" x14ac:dyDescent="0.25">
      <c r="A172" s="3" t="s">
        <v>181</v>
      </c>
      <c r="B172" s="3" t="str">
        <f t="shared" si="12"/>
        <v>4</v>
      </c>
      <c r="C172" s="7">
        <f t="shared" si="13"/>
        <v>6.4432989690721648E-4</v>
      </c>
      <c r="D172" s="8">
        <f t="shared" si="16"/>
        <v>0.11018041237113377</v>
      </c>
      <c r="E172" s="4">
        <v>71</v>
      </c>
      <c r="F172" s="5">
        <v>237.14</v>
      </c>
      <c r="G172" s="10">
        <f t="shared" si="14"/>
        <v>16836.939999999999</v>
      </c>
      <c r="H172" s="7">
        <f t="shared" si="15"/>
        <v>2.0397976195168036E-3</v>
      </c>
      <c r="I172" s="8">
        <f t="shared" si="17"/>
        <v>0.5974134617379756</v>
      </c>
      <c r="J172" s="3" t="s">
        <v>11</v>
      </c>
    </row>
    <row r="173" spans="1:10" x14ac:dyDescent="0.25">
      <c r="A173" s="3" t="s">
        <v>182</v>
      </c>
      <c r="B173" s="3" t="str">
        <f t="shared" si="12"/>
        <v>3</v>
      </c>
      <c r="C173" s="7">
        <f t="shared" si="13"/>
        <v>6.4432989690721648E-4</v>
      </c>
      <c r="D173" s="8">
        <f t="shared" si="16"/>
        <v>0.11082474226804098</v>
      </c>
      <c r="E173" s="4">
        <v>125</v>
      </c>
      <c r="F173" s="5">
        <v>134.61000000000001</v>
      </c>
      <c r="G173" s="10">
        <f t="shared" si="14"/>
        <v>16826.25</v>
      </c>
      <c r="H173" s="7">
        <f t="shared" si="15"/>
        <v>2.0385025245320482E-3</v>
      </c>
      <c r="I173" s="8">
        <f t="shared" si="17"/>
        <v>0.59945196426250769</v>
      </c>
      <c r="J173" s="3" t="s">
        <v>11</v>
      </c>
    </row>
    <row r="174" spans="1:10" x14ac:dyDescent="0.25">
      <c r="A174" s="3" t="s">
        <v>183</v>
      </c>
      <c r="B174" s="3" t="str">
        <f t="shared" si="12"/>
        <v>3</v>
      </c>
      <c r="C174" s="7">
        <f t="shared" si="13"/>
        <v>6.4432989690721648E-4</v>
      </c>
      <c r="D174" s="8">
        <f t="shared" si="16"/>
        <v>0.1114690721649482</v>
      </c>
      <c r="E174" s="4">
        <v>24</v>
      </c>
      <c r="F174" s="5">
        <v>698.75</v>
      </c>
      <c r="G174" s="10">
        <f t="shared" si="14"/>
        <v>16770</v>
      </c>
      <c r="H174" s="7">
        <f t="shared" si="15"/>
        <v>2.0316878292193715E-3</v>
      </c>
      <c r="I174" s="8">
        <f t="shared" si="17"/>
        <v>0.60148365209172705</v>
      </c>
      <c r="J174" s="3" t="s">
        <v>11</v>
      </c>
    </row>
    <row r="175" spans="1:10" x14ac:dyDescent="0.25">
      <c r="A175" s="3" t="s">
        <v>184</v>
      </c>
      <c r="B175" s="3" t="str">
        <f t="shared" si="12"/>
        <v>8</v>
      </c>
      <c r="C175" s="7">
        <f t="shared" si="13"/>
        <v>6.4432989690721648E-4</v>
      </c>
      <c r="D175" s="8">
        <f t="shared" si="16"/>
        <v>0.11211340206185541</v>
      </c>
      <c r="E175" s="4">
        <v>546</v>
      </c>
      <c r="F175" s="5">
        <v>30.49</v>
      </c>
      <c r="G175" s="10">
        <f t="shared" si="14"/>
        <v>16647.54</v>
      </c>
      <c r="H175" s="7">
        <f t="shared" si="15"/>
        <v>2.0168517832106531E-3</v>
      </c>
      <c r="I175" s="8">
        <f t="shared" si="17"/>
        <v>0.6035005038749377</v>
      </c>
      <c r="J175" s="3" t="s">
        <v>11</v>
      </c>
    </row>
    <row r="176" spans="1:10" x14ac:dyDescent="0.25">
      <c r="A176" s="3" t="s">
        <v>185</v>
      </c>
      <c r="B176" s="3" t="str">
        <f t="shared" si="12"/>
        <v>9</v>
      </c>
      <c r="C176" s="7">
        <f t="shared" si="13"/>
        <v>6.4432989690721648E-4</v>
      </c>
      <c r="D176" s="8">
        <f t="shared" si="16"/>
        <v>0.11275773195876262</v>
      </c>
      <c r="E176" s="4">
        <v>66</v>
      </c>
      <c r="F176" s="5">
        <v>251.51</v>
      </c>
      <c r="G176" s="10">
        <f t="shared" si="14"/>
        <v>16599.66</v>
      </c>
      <c r="H176" s="7">
        <f t="shared" si="15"/>
        <v>2.0110511145605024E-3</v>
      </c>
      <c r="I176" s="8">
        <f t="shared" si="17"/>
        <v>0.60551155498949816</v>
      </c>
      <c r="J176" s="3" t="s">
        <v>11</v>
      </c>
    </row>
    <row r="177" spans="1:10" x14ac:dyDescent="0.25">
      <c r="A177" s="3" t="s">
        <v>186</v>
      </c>
      <c r="B177" s="3" t="str">
        <f t="shared" si="12"/>
        <v>7</v>
      </c>
      <c r="C177" s="7">
        <f t="shared" si="13"/>
        <v>6.4432989690721648E-4</v>
      </c>
      <c r="D177" s="8">
        <f t="shared" si="16"/>
        <v>0.11340206185566984</v>
      </c>
      <c r="E177" s="4">
        <v>160</v>
      </c>
      <c r="F177" s="5">
        <v>102.24</v>
      </c>
      <c r="G177" s="10">
        <f t="shared" si="14"/>
        <v>16358.4</v>
      </c>
      <c r="H177" s="7">
        <f t="shared" si="15"/>
        <v>1.981822432051411E-3</v>
      </c>
      <c r="I177" s="8">
        <f t="shared" si="17"/>
        <v>0.60749337742154952</v>
      </c>
      <c r="J177" s="3" t="s">
        <v>11</v>
      </c>
    </row>
    <row r="178" spans="1:10" x14ac:dyDescent="0.25">
      <c r="A178" s="3" t="s">
        <v>187</v>
      </c>
      <c r="B178" s="3" t="str">
        <f t="shared" si="12"/>
        <v>4</v>
      </c>
      <c r="C178" s="7">
        <f t="shared" si="13"/>
        <v>6.4432989690721648E-4</v>
      </c>
      <c r="D178" s="8">
        <f t="shared" si="16"/>
        <v>0.11404639175257705</v>
      </c>
      <c r="E178" s="4">
        <v>105</v>
      </c>
      <c r="F178" s="5">
        <v>155.38</v>
      </c>
      <c r="G178" s="10">
        <f t="shared" si="14"/>
        <v>16314.9</v>
      </c>
      <c r="H178" s="7">
        <f t="shared" si="15"/>
        <v>1.9765524010096078E-3</v>
      </c>
      <c r="I178" s="8">
        <f t="shared" si="17"/>
        <v>0.6094699298225591</v>
      </c>
      <c r="J178" s="3" t="s">
        <v>11</v>
      </c>
    </row>
    <row r="179" spans="1:10" x14ac:dyDescent="0.25">
      <c r="A179" s="3" t="s">
        <v>188</v>
      </c>
      <c r="B179" s="3" t="str">
        <f t="shared" si="12"/>
        <v>8</v>
      </c>
      <c r="C179" s="7">
        <f t="shared" si="13"/>
        <v>6.4432989690721648E-4</v>
      </c>
      <c r="D179" s="8">
        <f t="shared" si="16"/>
        <v>0.11469072164948427</v>
      </c>
      <c r="E179" s="4">
        <v>265</v>
      </c>
      <c r="F179" s="5">
        <v>61.22</v>
      </c>
      <c r="G179" s="10">
        <f t="shared" si="14"/>
        <v>16223.3</v>
      </c>
      <c r="H179" s="7">
        <f t="shared" si="15"/>
        <v>1.9654550482870975E-3</v>
      </c>
      <c r="I179" s="8">
        <f t="shared" si="17"/>
        <v>0.61143538487084614</v>
      </c>
      <c r="J179" s="3" t="s">
        <v>11</v>
      </c>
    </row>
    <row r="180" spans="1:10" x14ac:dyDescent="0.25">
      <c r="A180" s="3" t="s">
        <v>189</v>
      </c>
      <c r="B180" s="3" t="str">
        <f t="shared" si="12"/>
        <v>1</v>
      </c>
      <c r="C180" s="7">
        <f t="shared" si="13"/>
        <v>6.4432989690721648E-4</v>
      </c>
      <c r="D180" s="8">
        <f t="shared" si="16"/>
        <v>0.11533505154639148</v>
      </c>
      <c r="E180" s="4">
        <v>16</v>
      </c>
      <c r="F180" s="5">
        <v>1011.92</v>
      </c>
      <c r="G180" s="10">
        <f t="shared" si="14"/>
        <v>16190.72</v>
      </c>
      <c r="H180" s="7">
        <f t="shared" si="15"/>
        <v>1.961507976761995E-3</v>
      </c>
      <c r="I180" s="8">
        <f t="shared" si="17"/>
        <v>0.61339689284760812</v>
      </c>
      <c r="J180" s="3" t="s">
        <v>11</v>
      </c>
    </row>
    <row r="181" spans="1:10" x14ac:dyDescent="0.25">
      <c r="A181" s="3" t="s">
        <v>190</v>
      </c>
      <c r="B181" s="3" t="str">
        <f t="shared" si="12"/>
        <v>3</v>
      </c>
      <c r="C181" s="7">
        <f t="shared" si="13"/>
        <v>6.4432989690721648E-4</v>
      </c>
      <c r="D181" s="8">
        <f t="shared" si="16"/>
        <v>0.1159793814432987</v>
      </c>
      <c r="E181" s="4">
        <v>14</v>
      </c>
      <c r="F181" s="5">
        <v>1156.04</v>
      </c>
      <c r="G181" s="10">
        <f t="shared" si="14"/>
        <v>16184.56</v>
      </c>
      <c r="H181" s="7">
        <f t="shared" si="15"/>
        <v>1.9607616919064203E-3</v>
      </c>
      <c r="I181" s="8">
        <f t="shared" si="17"/>
        <v>0.61535765453951452</v>
      </c>
      <c r="J181" s="3" t="s">
        <v>11</v>
      </c>
    </row>
    <row r="182" spans="1:10" x14ac:dyDescent="0.25">
      <c r="A182" s="3" t="s">
        <v>191</v>
      </c>
      <c r="B182" s="3" t="str">
        <f t="shared" si="12"/>
        <v>1</v>
      </c>
      <c r="C182" s="7">
        <f t="shared" si="13"/>
        <v>6.4432989690721648E-4</v>
      </c>
      <c r="D182" s="8">
        <f t="shared" si="16"/>
        <v>0.11662371134020591</v>
      </c>
      <c r="E182" s="4">
        <v>33</v>
      </c>
      <c r="F182" s="5">
        <v>485.9</v>
      </c>
      <c r="G182" s="10">
        <f t="shared" si="14"/>
        <v>16034.699999999999</v>
      </c>
      <c r="H182" s="7">
        <f t="shared" si="15"/>
        <v>1.9426061320920603E-3</v>
      </c>
      <c r="I182" s="8">
        <f t="shared" si="17"/>
        <v>0.61730026067160659</v>
      </c>
      <c r="J182" s="3" t="s">
        <v>11</v>
      </c>
    </row>
    <row r="183" spans="1:10" x14ac:dyDescent="0.25">
      <c r="A183" s="3" t="s">
        <v>192</v>
      </c>
      <c r="B183" s="3" t="str">
        <f t="shared" si="12"/>
        <v>4</v>
      </c>
      <c r="C183" s="7">
        <f t="shared" si="13"/>
        <v>6.4432989690721648E-4</v>
      </c>
      <c r="D183" s="8">
        <f t="shared" si="16"/>
        <v>0.11726804123711312</v>
      </c>
      <c r="E183" s="4">
        <v>131</v>
      </c>
      <c r="F183" s="5">
        <v>122.34</v>
      </c>
      <c r="G183" s="10">
        <f t="shared" si="14"/>
        <v>16026.54</v>
      </c>
      <c r="H183" s="7">
        <f t="shared" si="15"/>
        <v>1.9416175469587015E-3</v>
      </c>
      <c r="I183" s="8">
        <f t="shared" si="17"/>
        <v>0.61924187821856524</v>
      </c>
      <c r="J183" s="3" t="s">
        <v>11</v>
      </c>
    </row>
    <row r="184" spans="1:10" x14ac:dyDescent="0.25">
      <c r="A184" s="3" t="s">
        <v>193</v>
      </c>
      <c r="B184" s="3" t="str">
        <f t="shared" si="12"/>
        <v>3</v>
      </c>
      <c r="C184" s="7">
        <f t="shared" si="13"/>
        <v>6.4432989690721648E-4</v>
      </c>
      <c r="D184" s="8">
        <f t="shared" si="16"/>
        <v>0.11791237113402034</v>
      </c>
      <c r="E184" s="4">
        <v>222</v>
      </c>
      <c r="F184" s="5">
        <v>71.83</v>
      </c>
      <c r="G184" s="10">
        <f t="shared" si="14"/>
        <v>15946.26</v>
      </c>
      <c r="H184" s="7">
        <f t="shared" si="15"/>
        <v>1.9318916138084492E-3</v>
      </c>
      <c r="I184" s="8">
        <f t="shared" si="17"/>
        <v>0.62117376983237371</v>
      </c>
      <c r="J184" s="3" t="s">
        <v>11</v>
      </c>
    </row>
    <row r="185" spans="1:10" x14ac:dyDescent="0.25">
      <c r="A185" s="3" t="s">
        <v>194</v>
      </c>
      <c r="B185" s="3" t="str">
        <f t="shared" si="12"/>
        <v>8</v>
      </c>
      <c r="C185" s="7">
        <f t="shared" si="13"/>
        <v>6.4432989690721648E-4</v>
      </c>
      <c r="D185" s="8">
        <f t="shared" si="16"/>
        <v>0.11855670103092755</v>
      </c>
      <c r="E185" s="4">
        <v>198</v>
      </c>
      <c r="F185" s="5">
        <v>80.45</v>
      </c>
      <c r="G185" s="10">
        <f t="shared" si="14"/>
        <v>15929.1</v>
      </c>
      <c r="H185" s="7">
        <f t="shared" si="15"/>
        <v>1.9298126774250619E-3</v>
      </c>
      <c r="I185" s="8">
        <f t="shared" si="17"/>
        <v>0.6231035825097988</v>
      </c>
      <c r="J185" s="3" t="s">
        <v>11</v>
      </c>
    </row>
    <row r="186" spans="1:10" x14ac:dyDescent="0.25">
      <c r="A186" s="3" t="s">
        <v>195</v>
      </c>
      <c r="B186" s="3" t="str">
        <f t="shared" si="12"/>
        <v>9</v>
      </c>
      <c r="C186" s="7">
        <f t="shared" si="13"/>
        <v>6.4432989690721648E-4</v>
      </c>
      <c r="D186" s="8">
        <f t="shared" si="16"/>
        <v>0.11920103092783477</v>
      </c>
      <c r="E186" s="4">
        <v>53</v>
      </c>
      <c r="F186" s="5">
        <v>298.3</v>
      </c>
      <c r="G186" s="10">
        <f t="shared" si="14"/>
        <v>15809.900000000001</v>
      </c>
      <c r="H186" s="7">
        <f t="shared" si="15"/>
        <v>1.9153715808691318E-3</v>
      </c>
      <c r="I186" s="8">
        <f t="shared" si="17"/>
        <v>0.62501895409066799</v>
      </c>
      <c r="J186" s="3" t="s">
        <v>11</v>
      </c>
    </row>
    <row r="187" spans="1:10" x14ac:dyDescent="0.25">
      <c r="A187" s="3" t="s">
        <v>196</v>
      </c>
      <c r="B187" s="3" t="str">
        <f t="shared" si="12"/>
        <v>1</v>
      </c>
      <c r="C187" s="7">
        <f t="shared" si="13"/>
        <v>6.4432989690721648E-4</v>
      </c>
      <c r="D187" s="8">
        <f t="shared" si="16"/>
        <v>0.11984536082474198</v>
      </c>
      <c r="E187" s="4">
        <v>30</v>
      </c>
      <c r="F187" s="5">
        <v>523.89</v>
      </c>
      <c r="G187" s="10">
        <f t="shared" si="14"/>
        <v>15716.699999999999</v>
      </c>
      <c r="H187" s="7">
        <f t="shared" si="15"/>
        <v>1.9040803879243943E-3</v>
      </c>
      <c r="I187" s="8">
        <f t="shared" si="17"/>
        <v>0.62692303447859243</v>
      </c>
      <c r="J187" s="3" t="s">
        <v>11</v>
      </c>
    </row>
    <row r="188" spans="1:10" x14ac:dyDescent="0.25">
      <c r="A188" s="3" t="s">
        <v>197</v>
      </c>
      <c r="B188" s="3" t="str">
        <f t="shared" si="12"/>
        <v>1</v>
      </c>
      <c r="C188" s="7">
        <f t="shared" si="13"/>
        <v>6.4432989690721648E-4</v>
      </c>
      <c r="D188" s="8">
        <f t="shared" si="16"/>
        <v>0.1204896907216492</v>
      </c>
      <c r="E188" s="4">
        <v>28</v>
      </c>
      <c r="F188" s="5">
        <v>560.55999999999995</v>
      </c>
      <c r="G188" s="10">
        <f t="shared" si="14"/>
        <v>15695.679999999998</v>
      </c>
      <c r="H188" s="7">
        <f t="shared" si="15"/>
        <v>1.9015338120048836E-3</v>
      </c>
      <c r="I188" s="8">
        <f t="shared" si="17"/>
        <v>0.6288245682905973</v>
      </c>
      <c r="J188" s="3" t="s">
        <v>11</v>
      </c>
    </row>
    <row r="189" spans="1:10" x14ac:dyDescent="0.25">
      <c r="A189" s="3" t="s">
        <v>198</v>
      </c>
      <c r="B189" s="3" t="str">
        <f t="shared" si="12"/>
        <v>7</v>
      </c>
      <c r="C189" s="7">
        <f t="shared" si="13"/>
        <v>6.4432989690721648E-4</v>
      </c>
      <c r="D189" s="8">
        <f t="shared" si="16"/>
        <v>0.12113402061855641</v>
      </c>
      <c r="E189" s="4">
        <v>149</v>
      </c>
      <c r="F189" s="5">
        <v>104.69</v>
      </c>
      <c r="G189" s="10">
        <f t="shared" si="14"/>
        <v>15598.81</v>
      </c>
      <c r="H189" s="7">
        <f t="shared" si="15"/>
        <v>1.8897979980504126E-3</v>
      </c>
      <c r="I189" s="8">
        <f t="shared" si="17"/>
        <v>0.63071436628864774</v>
      </c>
      <c r="J189" s="3" t="s">
        <v>11</v>
      </c>
    </row>
    <row r="190" spans="1:10" x14ac:dyDescent="0.25">
      <c r="A190" s="3" t="s">
        <v>199</v>
      </c>
      <c r="B190" s="3" t="str">
        <f t="shared" si="12"/>
        <v>9</v>
      </c>
      <c r="C190" s="7">
        <f t="shared" si="13"/>
        <v>6.4432989690721648E-4</v>
      </c>
      <c r="D190" s="8">
        <f t="shared" si="16"/>
        <v>0.12177835051546362</v>
      </c>
      <c r="E190" s="4">
        <v>185</v>
      </c>
      <c r="F190" s="5">
        <v>83.56</v>
      </c>
      <c r="G190" s="10">
        <f t="shared" si="14"/>
        <v>15458.6</v>
      </c>
      <c r="H190" s="7">
        <f t="shared" si="15"/>
        <v>1.8728115370763609E-3</v>
      </c>
      <c r="I190" s="8">
        <f t="shared" si="17"/>
        <v>0.63258717782572416</v>
      </c>
      <c r="J190" s="3" t="s">
        <v>11</v>
      </c>
    </row>
    <row r="191" spans="1:10" x14ac:dyDescent="0.25">
      <c r="A191" s="3" t="s">
        <v>200</v>
      </c>
      <c r="B191" s="3" t="str">
        <f t="shared" si="12"/>
        <v>3</v>
      </c>
      <c r="C191" s="7">
        <f t="shared" si="13"/>
        <v>6.4432989690721648E-4</v>
      </c>
      <c r="D191" s="8">
        <f t="shared" si="16"/>
        <v>0.12242268041237084</v>
      </c>
      <c r="E191" s="4">
        <v>123</v>
      </c>
      <c r="F191" s="5">
        <v>125.31</v>
      </c>
      <c r="G191" s="10">
        <f t="shared" si="14"/>
        <v>15413.130000000001</v>
      </c>
      <c r="H191" s="7">
        <f t="shared" si="15"/>
        <v>1.8673028402609404E-3</v>
      </c>
      <c r="I191" s="8">
        <f t="shared" si="17"/>
        <v>0.63445448066598509</v>
      </c>
      <c r="J191" s="3" t="s">
        <v>11</v>
      </c>
    </row>
    <row r="192" spans="1:10" x14ac:dyDescent="0.25">
      <c r="A192" s="3" t="s">
        <v>201</v>
      </c>
      <c r="B192" s="3" t="str">
        <f t="shared" si="12"/>
        <v>1</v>
      </c>
      <c r="C192" s="7">
        <f t="shared" si="13"/>
        <v>6.4432989690721648E-4</v>
      </c>
      <c r="D192" s="8">
        <f t="shared" si="16"/>
        <v>0.12306701030927805</v>
      </c>
      <c r="E192" s="4">
        <v>16</v>
      </c>
      <c r="F192" s="5">
        <v>958.15</v>
      </c>
      <c r="G192" s="10">
        <f t="shared" si="14"/>
        <v>15330.4</v>
      </c>
      <c r="H192" s="7">
        <f t="shared" si="15"/>
        <v>1.8572800892704025E-3</v>
      </c>
      <c r="I192" s="8">
        <f t="shared" si="17"/>
        <v>0.63631176075525553</v>
      </c>
      <c r="J192" s="3" t="s">
        <v>11</v>
      </c>
    </row>
    <row r="193" spans="1:10" x14ac:dyDescent="0.25">
      <c r="A193" s="3" t="s">
        <v>202</v>
      </c>
      <c r="B193" s="3" t="str">
        <f t="shared" si="12"/>
        <v>1</v>
      </c>
      <c r="C193" s="7">
        <f t="shared" si="13"/>
        <v>6.4432989690721648E-4</v>
      </c>
      <c r="D193" s="8">
        <f t="shared" si="16"/>
        <v>0.12371134020618527</v>
      </c>
      <c r="E193" s="4">
        <v>14</v>
      </c>
      <c r="F193" s="5">
        <v>1094.6300000000001</v>
      </c>
      <c r="G193" s="10">
        <f t="shared" si="14"/>
        <v>15324.820000000002</v>
      </c>
      <c r="H193" s="7">
        <f t="shared" si="15"/>
        <v>1.8566040714953851E-3</v>
      </c>
      <c r="I193" s="8">
        <f t="shared" si="17"/>
        <v>0.63816836482675088</v>
      </c>
      <c r="J193" s="3" t="s">
        <v>11</v>
      </c>
    </row>
    <row r="194" spans="1:10" x14ac:dyDescent="0.25">
      <c r="A194" s="3" t="s">
        <v>203</v>
      </c>
      <c r="B194" s="3" t="str">
        <f t="shared" ref="B194:B257" si="18">RIGHT(A194,1)</f>
        <v>6</v>
      </c>
      <c r="C194" s="7">
        <f t="shared" ref="C194:C257" si="19">1/COUNTA(A$2:A$1553)</f>
        <v>6.4432989690721648E-4</v>
      </c>
      <c r="D194" s="8">
        <f t="shared" si="16"/>
        <v>0.12435567010309248</v>
      </c>
      <c r="E194" s="4">
        <v>178</v>
      </c>
      <c r="F194" s="5">
        <v>86.09</v>
      </c>
      <c r="G194" s="10">
        <f t="shared" ref="G194:G257" si="20">E194*F194</f>
        <v>15324.02</v>
      </c>
      <c r="H194" s="7">
        <f t="shared" ref="H194:H257" si="21">G194/SUM(G$2:G$1553)</f>
        <v>1.8565071513842713E-3</v>
      </c>
      <c r="I194" s="8">
        <f t="shared" si="17"/>
        <v>0.64002487197813518</v>
      </c>
      <c r="J194" s="3" t="s">
        <v>11</v>
      </c>
    </row>
    <row r="195" spans="1:10" x14ac:dyDescent="0.25">
      <c r="A195" s="3" t="s">
        <v>204</v>
      </c>
      <c r="B195" s="3" t="str">
        <f t="shared" si="18"/>
        <v>4</v>
      </c>
      <c r="C195" s="7">
        <f t="shared" si="19"/>
        <v>6.4432989690721648E-4</v>
      </c>
      <c r="D195" s="8">
        <f t="shared" ref="D195:D258" si="22">D194+C195</f>
        <v>0.12499999999999969</v>
      </c>
      <c r="E195" s="4">
        <v>70</v>
      </c>
      <c r="F195" s="5">
        <v>218.04</v>
      </c>
      <c r="G195" s="10">
        <f t="shared" si="20"/>
        <v>15262.8</v>
      </c>
      <c r="H195" s="7">
        <f t="shared" si="21"/>
        <v>1.8490903398813011E-3</v>
      </c>
      <c r="I195" s="8">
        <f t="shared" ref="I195:I258" si="23">I194+H195</f>
        <v>0.64187396231801652</v>
      </c>
      <c r="J195" s="3" t="s">
        <v>11</v>
      </c>
    </row>
    <row r="196" spans="1:10" x14ac:dyDescent="0.25">
      <c r="A196" s="3" t="s">
        <v>205</v>
      </c>
      <c r="B196" s="3" t="str">
        <f t="shared" si="18"/>
        <v>9</v>
      </c>
      <c r="C196" s="7">
        <f t="shared" si="19"/>
        <v>6.4432989690721648E-4</v>
      </c>
      <c r="D196" s="8">
        <f t="shared" si="22"/>
        <v>0.12564432989690691</v>
      </c>
      <c r="E196" s="4">
        <v>42</v>
      </c>
      <c r="F196" s="5">
        <v>357.83</v>
      </c>
      <c r="G196" s="10">
        <f t="shared" si="20"/>
        <v>15028.859999999999</v>
      </c>
      <c r="H196" s="7">
        <f t="shared" si="21"/>
        <v>1.8207484763888991E-3</v>
      </c>
      <c r="I196" s="8">
        <f t="shared" si="23"/>
        <v>0.64369471079440543</v>
      </c>
      <c r="J196" s="3" t="s">
        <v>11</v>
      </c>
    </row>
    <row r="197" spans="1:10" x14ac:dyDescent="0.25">
      <c r="A197" s="12" t="s">
        <v>206</v>
      </c>
      <c r="B197" s="12" t="str">
        <f t="shared" si="18"/>
        <v>9</v>
      </c>
      <c r="C197" s="13">
        <f t="shared" si="19"/>
        <v>6.4432989690721648E-4</v>
      </c>
      <c r="D197" s="14">
        <f t="shared" si="22"/>
        <v>0.12628865979381412</v>
      </c>
      <c r="E197" s="15">
        <v>67</v>
      </c>
      <c r="F197" s="16">
        <v>224.24</v>
      </c>
      <c r="G197" s="17">
        <f t="shared" si="20"/>
        <v>15024.08</v>
      </c>
      <c r="H197" s="13">
        <f t="shared" si="21"/>
        <v>1.8201693787249953E-3</v>
      </c>
      <c r="I197" s="14">
        <f t="shared" si="23"/>
        <v>0.64551488017313041</v>
      </c>
      <c r="J197" s="12" t="s">
        <v>11</v>
      </c>
    </row>
    <row r="198" spans="1:10" x14ac:dyDescent="0.25">
      <c r="A198" s="3" t="s">
        <v>207</v>
      </c>
      <c r="B198" s="3" t="str">
        <f t="shared" si="18"/>
        <v>8</v>
      </c>
      <c r="C198" s="7">
        <f t="shared" si="19"/>
        <v>6.4432989690721648E-4</v>
      </c>
      <c r="D198" s="8">
        <f t="shared" si="22"/>
        <v>0.12693298969072134</v>
      </c>
      <c r="E198" s="4">
        <v>357</v>
      </c>
      <c r="F198" s="5">
        <v>41.76</v>
      </c>
      <c r="G198" s="10">
        <f t="shared" si="20"/>
        <v>14908.32</v>
      </c>
      <c r="H198" s="7">
        <f t="shared" si="21"/>
        <v>1.8061450386468536E-3</v>
      </c>
      <c r="I198" s="8">
        <f t="shared" si="23"/>
        <v>0.64732102521177726</v>
      </c>
      <c r="J198" s="3" t="s">
        <v>208</v>
      </c>
    </row>
    <row r="199" spans="1:10" x14ac:dyDescent="0.25">
      <c r="A199" s="3" t="s">
        <v>209</v>
      </c>
      <c r="B199" s="3" t="str">
        <f t="shared" si="18"/>
        <v>8</v>
      </c>
      <c r="C199" s="7">
        <f t="shared" si="19"/>
        <v>6.4432989690721648E-4</v>
      </c>
      <c r="D199" s="8">
        <f t="shared" si="22"/>
        <v>0.12757731958762855</v>
      </c>
      <c r="E199" s="4">
        <v>330</v>
      </c>
      <c r="F199" s="5">
        <v>44.87</v>
      </c>
      <c r="G199" s="10">
        <f t="shared" si="20"/>
        <v>14807.099999999999</v>
      </c>
      <c r="H199" s="7">
        <f t="shared" si="21"/>
        <v>1.7938822215882021E-3</v>
      </c>
      <c r="I199" s="8">
        <f t="shared" si="23"/>
        <v>0.64911490743336542</v>
      </c>
      <c r="J199" s="3" t="s">
        <v>208</v>
      </c>
    </row>
    <row r="200" spans="1:10" x14ac:dyDescent="0.25">
      <c r="A200" s="3" t="s">
        <v>210</v>
      </c>
      <c r="B200" s="3" t="str">
        <f t="shared" si="18"/>
        <v>1</v>
      </c>
      <c r="C200" s="7">
        <f t="shared" si="19"/>
        <v>6.4432989690721648E-4</v>
      </c>
      <c r="D200" s="8">
        <f t="shared" si="22"/>
        <v>0.12822164948453577</v>
      </c>
      <c r="E200" s="4">
        <v>18</v>
      </c>
      <c r="F200" s="5">
        <v>820.89</v>
      </c>
      <c r="G200" s="10">
        <f t="shared" si="20"/>
        <v>14776.02</v>
      </c>
      <c r="H200" s="7">
        <f t="shared" si="21"/>
        <v>1.790116875271438E-3</v>
      </c>
      <c r="I200" s="8">
        <f t="shared" si="23"/>
        <v>0.65090502430863684</v>
      </c>
      <c r="J200" s="3" t="s">
        <v>208</v>
      </c>
    </row>
    <row r="201" spans="1:10" x14ac:dyDescent="0.25">
      <c r="A201" s="3" t="s">
        <v>211</v>
      </c>
      <c r="B201" s="3" t="str">
        <f t="shared" si="18"/>
        <v>9</v>
      </c>
      <c r="C201" s="7">
        <f t="shared" si="19"/>
        <v>6.4432989690721648E-4</v>
      </c>
      <c r="D201" s="8">
        <f t="shared" si="22"/>
        <v>0.12886597938144298</v>
      </c>
      <c r="E201" s="4">
        <v>110</v>
      </c>
      <c r="F201" s="5">
        <v>132.9</v>
      </c>
      <c r="G201" s="10">
        <f t="shared" si="20"/>
        <v>14619</v>
      </c>
      <c r="H201" s="7">
        <f t="shared" si="21"/>
        <v>1.7710938804626111E-3</v>
      </c>
      <c r="I201" s="8">
        <f t="shared" si="23"/>
        <v>0.65267611818909943</v>
      </c>
      <c r="J201" s="3" t="s">
        <v>208</v>
      </c>
    </row>
    <row r="202" spans="1:10" x14ac:dyDescent="0.25">
      <c r="A202" s="3" t="s">
        <v>212</v>
      </c>
      <c r="B202" s="3" t="str">
        <f t="shared" si="18"/>
        <v>9</v>
      </c>
      <c r="C202" s="7">
        <f t="shared" si="19"/>
        <v>6.4432989690721648E-4</v>
      </c>
      <c r="D202" s="8">
        <f t="shared" si="22"/>
        <v>0.12951030927835019</v>
      </c>
      <c r="E202" s="4">
        <v>489</v>
      </c>
      <c r="F202" s="5">
        <v>29.74</v>
      </c>
      <c r="G202" s="10">
        <f t="shared" si="20"/>
        <v>14542.859999999999</v>
      </c>
      <c r="H202" s="7">
        <f t="shared" si="21"/>
        <v>1.7618695088873716E-3</v>
      </c>
      <c r="I202" s="8">
        <f t="shared" si="23"/>
        <v>0.65443798769798678</v>
      </c>
      <c r="J202" s="3" t="s">
        <v>208</v>
      </c>
    </row>
    <row r="203" spans="1:10" x14ac:dyDescent="0.25">
      <c r="A203" s="3" t="s">
        <v>213</v>
      </c>
      <c r="B203" s="3" t="str">
        <f t="shared" si="18"/>
        <v>9</v>
      </c>
      <c r="C203" s="7">
        <f t="shared" si="19"/>
        <v>6.4432989690721648E-4</v>
      </c>
      <c r="D203" s="8">
        <f t="shared" si="22"/>
        <v>0.13015463917525741</v>
      </c>
      <c r="E203" s="4">
        <v>43</v>
      </c>
      <c r="F203" s="5">
        <v>338.15</v>
      </c>
      <c r="G203" s="10">
        <f t="shared" si="20"/>
        <v>14540.449999999999</v>
      </c>
      <c r="H203" s="7">
        <f t="shared" si="21"/>
        <v>1.7615775370526418E-3</v>
      </c>
      <c r="I203" s="8">
        <f t="shared" si="23"/>
        <v>0.65619956523503942</v>
      </c>
      <c r="J203" s="3" t="s">
        <v>208</v>
      </c>
    </row>
    <row r="204" spans="1:10" x14ac:dyDescent="0.25">
      <c r="A204" s="3" t="s">
        <v>214</v>
      </c>
      <c r="B204" s="3" t="str">
        <f t="shared" si="18"/>
        <v>4</v>
      </c>
      <c r="C204" s="7">
        <f t="shared" si="19"/>
        <v>6.4432989690721648E-4</v>
      </c>
      <c r="D204" s="8">
        <f t="shared" si="22"/>
        <v>0.13079896907216462</v>
      </c>
      <c r="E204" s="4">
        <v>38</v>
      </c>
      <c r="F204" s="5">
        <v>380.2</v>
      </c>
      <c r="G204" s="10">
        <f t="shared" si="20"/>
        <v>14447.6</v>
      </c>
      <c r="H204" s="7">
        <f t="shared" si="21"/>
        <v>1.750328746656517E-3</v>
      </c>
      <c r="I204" s="8">
        <f t="shared" si="23"/>
        <v>0.6579498939816959</v>
      </c>
      <c r="J204" s="3" t="s">
        <v>208</v>
      </c>
    </row>
    <row r="205" spans="1:10" x14ac:dyDescent="0.25">
      <c r="A205" s="3" t="s">
        <v>215</v>
      </c>
      <c r="B205" s="3" t="str">
        <f t="shared" si="18"/>
        <v>4</v>
      </c>
      <c r="C205" s="7">
        <f t="shared" si="19"/>
        <v>6.4432989690721648E-4</v>
      </c>
      <c r="D205" s="8">
        <f t="shared" si="22"/>
        <v>0.13144329896907184</v>
      </c>
      <c r="E205" s="4">
        <v>49</v>
      </c>
      <c r="F205" s="5">
        <v>293.75</v>
      </c>
      <c r="G205" s="10">
        <f t="shared" si="20"/>
        <v>14393.75</v>
      </c>
      <c r="H205" s="7">
        <f t="shared" si="21"/>
        <v>1.743804811677181E-3</v>
      </c>
      <c r="I205" s="8">
        <f t="shared" si="23"/>
        <v>0.65969369879337303</v>
      </c>
      <c r="J205" s="3" t="s">
        <v>208</v>
      </c>
    </row>
    <row r="206" spans="1:10" x14ac:dyDescent="0.25">
      <c r="A206" s="3" t="s">
        <v>216</v>
      </c>
      <c r="B206" s="3" t="str">
        <f t="shared" si="18"/>
        <v>8</v>
      </c>
      <c r="C206" s="7">
        <f t="shared" si="19"/>
        <v>6.4432989690721648E-4</v>
      </c>
      <c r="D206" s="8">
        <f t="shared" si="22"/>
        <v>0.13208762886597905</v>
      </c>
      <c r="E206" s="4">
        <v>319</v>
      </c>
      <c r="F206" s="5">
        <v>44.84</v>
      </c>
      <c r="G206" s="10">
        <f t="shared" si="20"/>
        <v>14303.960000000001</v>
      </c>
      <c r="H206" s="7">
        <f t="shared" si="21"/>
        <v>1.7329267407060656E-3</v>
      </c>
      <c r="I206" s="8">
        <f t="shared" si="23"/>
        <v>0.66142662553407905</v>
      </c>
      <c r="J206" s="3" t="s">
        <v>208</v>
      </c>
    </row>
    <row r="207" spans="1:10" x14ac:dyDescent="0.25">
      <c r="A207" s="3" t="s">
        <v>217</v>
      </c>
      <c r="B207" s="3" t="str">
        <f t="shared" si="18"/>
        <v>8</v>
      </c>
      <c r="C207" s="7">
        <f t="shared" si="19"/>
        <v>6.4432989690721648E-4</v>
      </c>
      <c r="D207" s="8">
        <f t="shared" si="22"/>
        <v>0.13273195876288627</v>
      </c>
      <c r="E207" s="4">
        <v>1077</v>
      </c>
      <c r="F207" s="5">
        <v>13.28</v>
      </c>
      <c r="G207" s="10">
        <f t="shared" si="20"/>
        <v>14302.56</v>
      </c>
      <c r="H207" s="7">
        <f t="shared" si="21"/>
        <v>1.7327571305116166E-3</v>
      </c>
      <c r="I207" s="8">
        <f t="shared" si="23"/>
        <v>0.66315938266459062</v>
      </c>
      <c r="J207" s="3" t="s">
        <v>208</v>
      </c>
    </row>
    <row r="208" spans="1:10" x14ac:dyDescent="0.25">
      <c r="A208" s="3" t="s">
        <v>218</v>
      </c>
      <c r="B208" s="3" t="str">
        <f t="shared" si="18"/>
        <v>1</v>
      </c>
      <c r="C208" s="7">
        <f t="shared" si="19"/>
        <v>6.4432989690721648E-4</v>
      </c>
      <c r="D208" s="8">
        <f t="shared" si="22"/>
        <v>0.13337628865979348</v>
      </c>
      <c r="E208" s="4">
        <v>19</v>
      </c>
      <c r="F208" s="5">
        <v>748.5</v>
      </c>
      <c r="G208" s="10">
        <f t="shared" si="20"/>
        <v>14221.5</v>
      </c>
      <c r="H208" s="7">
        <f t="shared" si="21"/>
        <v>1.7229367002530285E-3</v>
      </c>
      <c r="I208" s="8">
        <f t="shared" si="23"/>
        <v>0.66488231936484365</v>
      </c>
      <c r="J208" s="3" t="s">
        <v>208</v>
      </c>
    </row>
    <row r="209" spans="1:10" x14ac:dyDescent="0.25">
      <c r="A209" s="3" t="s">
        <v>219</v>
      </c>
      <c r="B209" s="3" t="str">
        <f t="shared" si="18"/>
        <v>1</v>
      </c>
      <c r="C209" s="7">
        <f t="shared" si="19"/>
        <v>6.4432989690721648E-4</v>
      </c>
      <c r="D209" s="8">
        <f t="shared" si="22"/>
        <v>0.13402061855670069</v>
      </c>
      <c r="E209" s="4">
        <v>15</v>
      </c>
      <c r="F209" s="5">
        <v>947.59</v>
      </c>
      <c r="G209" s="10">
        <f t="shared" si="20"/>
        <v>14213.85</v>
      </c>
      <c r="H209" s="7">
        <f t="shared" si="21"/>
        <v>1.7220099016905044E-3</v>
      </c>
      <c r="I209" s="8">
        <f t="shared" si="23"/>
        <v>0.66660432926653412</v>
      </c>
      <c r="J209" s="3" t="s">
        <v>208</v>
      </c>
    </row>
    <row r="210" spans="1:10" x14ac:dyDescent="0.25">
      <c r="A210" s="3" t="s">
        <v>220</v>
      </c>
      <c r="B210" s="3" t="str">
        <f t="shared" si="18"/>
        <v>8</v>
      </c>
      <c r="C210" s="7">
        <f t="shared" si="19"/>
        <v>6.4432989690721648E-4</v>
      </c>
      <c r="D210" s="8">
        <f t="shared" si="22"/>
        <v>0.13466494845360791</v>
      </c>
      <c r="E210" s="4">
        <v>245</v>
      </c>
      <c r="F210" s="5">
        <v>57.93</v>
      </c>
      <c r="G210" s="10">
        <f t="shared" si="20"/>
        <v>14192.85</v>
      </c>
      <c r="H210" s="7">
        <f t="shared" si="21"/>
        <v>1.7194657487737718E-3</v>
      </c>
      <c r="I210" s="8">
        <f t="shared" si="23"/>
        <v>0.66832379501530792</v>
      </c>
      <c r="J210" s="3" t="s">
        <v>208</v>
      </c>
    </row>
    <row r="211" spans="1:10" x14ac:dyDescent="0.25">
      <c r="A211" s="3" t="s">
        <v>221</v>
      </c>
      <c r="B211" s="3" t="str">
        <f t="shared" si="18"/>
        <v>6</v>
      </c>
      <c r="C211" s="7">
        <f t="shared" si="19"/>
        <v>6.4432989690721648E-4</v>
      </c>
      <c r="D211" s="8">
        <f t="shared" si="22"/>
        <v>0.13530927835051512</v>
      </c>
      <c r="E211" s="4">
        <v>275</v>
      </c>
      <c r="F211" s="5">
        <v>51.38</v>
      </c>
      <c r="G211" s="10">
        <f t="shared" si="20"/>
        <v>14129.5</v>
      </c>
      <c r="H211" s="7">
        <f t="shared" si="21"/>
        <v>1.7117908874749615E-3</v>
      </c>
      <c r="I211" s="8">
        <f t="shared" si="23"/>
        <v>0.67003558590278289</v>
      </c>
      <c r="J211" s="3" t="s">
        <v>208</v>
      </c>
    </row>
    <row r="212" spans="1:10" x14ac:dyDescent="0.25">
      <c r="A212" s="3" t="s">
        <v>222</v>
      </c>
      <c r="B212" s="3" t="str">
        <f t="shared" si="18"/>
        <v>9</v>
      </c>
      <c r="C212" s="7">
        <f t="shared" si="19"/>
        <v>6.4432989690721648E-4</v>
      </c>
      <c r="D212" s="8">
        <f t="shared" si="22"/>
        <v>0.13595360824742234</v>
      </c>
      <c r="E212" s="4">
        <v>65</v>
      </c>
      <c r="F212" s="5">
        <v>216.66</v>
      </c>
      <c r="G212" s="10">
        <f t="shared" si="20"/>
        <v>14082.9</v>
      </c>
      <c r="H212" s="7">
        <f t="shared" si="21"/>
        <v>1.706145291002593E-3</v>
      </c>
      <c r="I212" s="8">
        <f t="shared" si="23"/>
        <v>0.67174173119378544</v>
      </c>
      <c r="J212" s="3" t="s">
        <v>208</v>
      </c>
    </row>
    <row r="213" spans="1:10" x14ac:dyDescent="0.25">
      <c r="A213" s="3" t="s">
        <v>223</v>
      </c>
      <c r="B213" s="3" t="str">
        <f t="shared" si="18"/>
        <v>9</v>
      </c>
      <c r="C213" s="7">
        <f t="shared" si="19"/>
        <v>6.4432989690721648E-4</v>
      </c>
      <c r="D213" s="8">
        <f t="shared" si="22"/>
        <v>0.13659793814432955</v>
      </c>
      <c r="E213" s="4">
        <v>133</v>
      </c>
      <c r="F213" s="5">
        <v>105.47</v>
      </c>
      <c r="G213" s="10">
        <f t="shared" si="20"/>
        <v>14027.51</v>
      </c>
      <c r="H213" s="7">
        <f t="shared" si="21"/>
        <v>1.6994347848093634E-3</v>
      </c>
      <c r="I213" s="8">
        <f t="shared" si="23"/>
        <v>0.67344116597859482</v>
      </c>
      <c r="J213" s="3" t="s">
        <v>208</v>
      </c>
    </row>
    <row r="214" spans="1:10" x14ac:dyDescent="0.25">
      <c r="A214" s="3" t="s">
        <v>224</v>
      </c>
      <c r="B214" s="3" t="str">
        <f t="shared" si="18"/>
        <v>3</v>
      </c>
      <c r="C214" s="7">
        <f t="shared" si="19"/>
        <v>6.4432989690721648E-4</v>
      </c>
      <c r="D214" s="8">
        <f t="shared" si="22"/>
        <v>0.13724226804123676</v>
      </c>
      <c r="E214" s="4">
        <v>49</v>
      </c>
      <c r="F214" s="5">
        <v>285.88</v>
      </c>
      <c r="G214" s="10">
        <f t="shared" si="20"/>
        <v>14008.119999999999</v>
      </c>
      <c r="H214" s="7">
        <f t="shared" si="21"/>
        <v>1.6970856836162466E-3</v>
      </c>
      <c r="I214" s="8">
        <f t="shared" si="23"/>
        <v>0.67513825166221109</v>
      </c>
      <c r="J214" s="3" t="s">
        <v>208</v>
      </c>
    </row>
    <row r="215" spans="1:10" x14ac:dyDescent="0.25">
      <c r="A215" s="3" t="s">
        <v>225</v>
      </c>
      <c r="B215" s="3" t="str">
        <f t="shared" si="18"/>
        <v>7</v>
      </c>
      <c r="C215" s="7">
        <f t="shared" si="19"/>
        <v>6.4432989690721648E-4</v>
      </c>
      <c r="D215" s="8">
        <f t="shared" si="22"/>
        <v>0.13788659793814398</v>
      </c>
      <c r="E215" s="4">
        <v>138</v>
      </c>
      <c r="F215" s="5">
        <v>100.63</v>
      </c>
      <c r="G215" s="10">
        <f t="shared" si="20"/>
        <v>13886.939999999999</v>
      </c>
      <c r="H215" s="7">
        <f t="shared" si="21"/>
        <v>1.6824047097853101E-3</v>
      </c>
      <c r="I215" s="8">
        <f t="shared" si="23"/>
        <v>0.6768206563719964</v>
      </c>
      <c r="J215" s="3" t="s">
        <v>208</v>
      </c>
    </row>
    <row r="216" spans="1:10" x14ac:dyDescent="0.25">
      <c r="A216" s="3" t="s">
        <v>226</v>
      </c>
      <c r="B216" s="3" t="str">
        <f t="shared" si="18"/>
        <v>3</v>
      </c>
      <c r="C216" s="7">
        <f t="shared" si="19"/>
        <v>6.4432989690721648E-4</v>
      </c>
      <c r="D216" s="8">
        <f t="shared" si="22"/>
        <v>0.13853092783505119</v>
      </c>
      <c r="E216" s="4">
        <v>18</v>
      </c>
      <c r="F216" s="5">
        <v>752.37</v>
      </c>
      <c r="G216" s="10">
        <f t="shared" si="20"/>
        <v>13542.66</v>
      </c>
      <c r="H216" s="7">
        <f t="shared" si="21"/>
        <v>1.6406951399675618E-3</v>
      </c>
      <c r="I216" s="8">
        <f t="shared" si="23"/>
        <v>0.67846135151196396</v>
      </c>
      <c r="J216" s="3" t="s">
        <v>208</v>
      </c>
    </row>
    <row r="217" spans="1:10" x14ac:dyDescent="0.25">
      <c r="A217" s="3" t="s">
        <v>227</v>
      </c>
      <c r="B217" s="3" t="str">
        <f t="shared" si="18"/>
        <v>8</v>
      </c>
      <c r="C217" s="7">
        <f t="shared" si="19"/>
        <v>6.4432989690721648E-4</v>
      </c>
      <c r="D217" s="8">
        <f t="shared" si="22"/>
        <v>0.13917525773195841</v>
      </c>
      <c r="E217" s="4">
        <v>368</v>
      </c>
      <c r="F217" s="5">
        <v>36.340000000000003</v>
      </c>
      <c r="G217" s="10">
        <f t="shared" si="20"/>
        <v>13373.12</v>
      </c>
      <c r="H217" s="7">
        <f t="shared" si="21"/>
        <v>1.6201553454198068E-3</v>
      </c>
      <c r="I217" s="8">
        <f t="shared" si="23"/>
        <v>0.68008150685738378</v>
      </c>
      <c r="J217" s="3" t="s">
        <v>208</v>
      </c>
    </row>
    <row r="218" spans="1:10" x14ac:dyDescent="0.25">
      <c r="A218" s="3" t="s">
        <v>228</v>
      </c>
      <c r="B218" s="3" t="str">
        <f t="shared" si="18"/>
        <v>1</v>
      </c>
      <c r="C218" s="7">
        <f t="shared" si="19"/>
        <v>6.4432989690721648E-4</v>
      </c>
      <c r="D218" s="8">
        <f t="shared" si="22"/>
        <v>0.13981958762886562</v>
      </c>
      <c r="E218" s="4">
        <v>15</v>
      </c>
      <c r="F218" s="5">
        <v>890.28</v>
      </c>
      <c r="G218" s="10">
        <f t="shared" si="20"/>
        <v>13354.199999999999</v>
      </c>
      <c r="H218" s="7">
        <f t="shared" si="21"/>
        <v>1.6178631847919693E-3</v>
      </c>
      <c r="I218" s="8">
        <f t="shared" si="23"/>
        <v>0.68169937004217573</v>
      </c>
      <c r="J218" s="3" t="s">
        <v>208</v>
      </c>
    </row>
    <row r="219" spans="1:10" x14ac:dyDescent="0.25">
      <c r="A219" s="3" t="s">
        <v>229</v>
      </c>
      <c r="B219" s="3" t="str">
        <f t="shared" si="18"/>
        <v>8</v>
      </c>
      <c r="C219" s="7">
        <f t="shared" si="19"/>
        <v>6.4432989690721648E-4</v>
      </c>
      <c r="D219" s="8">
        <f t="shared" si="22"/>
        <v>0.14046391752577284</v>
      </c>
      <c r="E219" s="4">
        <v>261</v>
      </c>
      <c r="F219" s="5">
        <v>50.47</v>
      </c>
      <c r="G219" s="10">
        <f t="shared" si="20"/>
        <v>13172.67</v>
      </c>
      <c r="H219" s="7">
        <f t="shared" si="21"/>
        <v>1.5958708000788989E-3</v>
      </c>
      <c r="I219" s="8">
        <f t="shared" si="23"/>
        <v>0.68329524084225468</v>
      </c>
      <c r="J219" s="3" t="s">
        <v>208</v>
      </c>
    </row>
    <row r="220" spans="1:10" x14ac:dyDescent="0.25">
      <c r="A220" s="3" t="s">
        <v>230</v>
      </c>
      <c r="B220" s="3" t="str">
        <f t="shared" si="18"/>
        <v>6</v>
      </c>
      <c r="C220" s="7">
        <f t="shared" si="19"/>
        <v>6.4432989690721648E-4</v>
      </c>
      <c r="D220" s="8">
        <f t="shared" si="22"/>
        <v>0.14110824742268005</v>
      </c>
      <c r="E220" s="4">
        <v>145</v>
      </c>
      <c r="F220" s="5">
        <v>90.7</v>
      </c>
      <c r="G220" s="10">
        <f t="shared" si="20"/>
        <v>13151.5</v>
      </c>
      <c r="H220" s="7">
        <f t="shared" si="21"/>
        <v>1.5933060516385546E-3</v>
      </c>
      <c r="I220" s="8">
        <f t="shared" si="23"/>
        <v>0.68488854689389322</v>
      </c>
      <c r="J220" s="3" t="s">
        <v>208</v>
      </c>
    </row>
    <row r="221" spans="1:10" x14ac:dyDescent="0.25">
      <c r="A221" s="3" t="s">
        <v>231</v>
      </c>
      <c r="B221" s="3" t="str">
        <f t="shared" si="18"/>
        <v>3</v>
      </c>
      <c r="C221" s="7">
        <f t="shared" si="19"/>
        <v>6.4432989690721648E-4</v>
      </c>
      <c r="D221" s="8">
        <f t="shared" si="22"/>
        <v>0.14175257731958726</v>
      </c>
      <c r="E221" s="4">
        <v>10</v>
      </c>
      <c r="F221" s="5">
        <v>1307.75</v>
      </c>
      <c r="G221" s="10">
        <f t="shared" si="20"/>
        <v>13077.5</v>
      </c>
      <c r="H221" s="7">
        <f t="shared" si="21"/>
        <v>1.5843409413605443E-3</v>
      </c>
      <c r="I221" s="8">
        <f t="shared" si="23"/>
        <v>0.68647288783525373</v>
      </c>
      <c r="J221" s="3" t="s">
        <v>208</v>
      </c>
    </row>
    <row r="222" spans="1:10" x14ac:dyDescent="0.25">
      <c r="A222" s="3" t="s">
        <v>232</v>
      </c>
      <c r="B222" s="3" t="str">
        <f t="shared" si="18"/>
        <v>7</v>
      </c>
      <c r="C222" s="7">
        <f t="shared" si="19"/>
        <v>6.4432989690721648E-4</v>
      </c>
      <c r="D222" s="8">
        <f t="shared" si="22"/>
        <v>0.14239690721649448</v>
      </c>
      <c r="E222" s="4">
        <v>140</v>
      </c>
      <c r="F222" s="5">
        <v>93.38</v>
      </c>
      <c r="G222" s="10">
        <f t="shared" si="20"/>
        <v>13073.199999999999</v>
      </c>
      <c r="H222" s="7">
        <f t="shared" si="21"/>
        <v>1.5838199957633084E-3</v>
      </c>
      <c r="I222" s="8">
        <f t="shared" si="23"/>
        <v>0.68805670783101702</v>
      </c>
      <c r="J222" s="3" t="s">
        <v>208</v>
      </c>
    </row>
    <row r="223" spans="1:10" x14ac:dyDescent="0.25">
      <c r="A223" s="3" t="s">
        <v>233</v>
      </c>
      <c r="B223" s="3" t="str">
        <f t="shared" si="18"/>
        <v>2</v>
      </c>
      <c r="C223" s="7">
        <f t="shared" si="19"/>
        <v>6.4432989690721648E-4</v>
      </c>
      <c r="D223" s="8">
        <f t="shared" si="22"/>
        <v>0.14304123711340169</v>
      </c>
      <c r="E223" s="4">
        <v>289</v>
      </c>
      <c r="F223" s="5">
        <v>45.18</v>
      </c>
      <c r="G223" s="10">
        <f t="shared" si="20"/>
        <v>13057.02</v>
      </c>
      <c r="H223" s="7">
        <f t="shared" si="21"/>
        <v>1.5818597865160356E-3</v>
      </c>
      <c r="I223" s="8">
        <f t="shared" si="23"/>
        <v>0.68963856761753306</v>
      </c>
      <c r="J223" s="3" t="s">
        <v>208</v>
      </c>
    </row>
    <row r="224" spans="1:10" x14ac:dyDescent="0.25">
      <c r="A224" s="3" t="s">
        <v>234</v>
      </c>
      <c r="B224" s="3" t="str">
        <f t="shared" si="18"/>
        <v>3</v>
      </c>
      <c r="C224" s="7">
        <f t="shared" si="19"/>
        <v>6.4432989690721648E-4</v>
      </c>
      <c r="D224" s="8">
        <f t="shared" si="22"/>
        <v>0.14368556701030891</v>
      </c>
      <c r="E224" s="4">
        <v>42</v>
      </c>
      <c r="F224" s="5">
        <v>307.01</v>
      </c>
      <c r="G224" s="10">
        <f t="shared" si="20"/>
        <v>12894.42</v>
      </c>
      <c r="H224" s="7">
        <f t="shared" si="21"/>
        <v>1.5621607739321911E-3</v>
      </c>
      <c r="I224" s="8">
        <f t="shared" si="23"/>
        <v>0.69120072839146529</v>
      </c>
      <c r="J224" s="3" t="s">
        <v>208</v>
      </c>
    </row>
    <row r="225" spans="1:10" x14ac:dyDescent="0.25">
      <c r="A225" s="3" t="s">
        <v>235</v>
      </c>
      <c r="B225" s="3" t="str">
        <f t="shared" si="18"/>
        <v>1</v>
      </c>
      <c r="C225" s="7">
        <f t="shared" si="19"/>
        <v>6.4432989690721648E-4</v>
      </c>
      <c r="D225" s="8">
        <f t="shared" si="22"/>
        <v>0.14432989690721612</v>
      </c>
      <c r="E225" s="4">
        <v>13</v>
      </c>
      <c r="F225" s="5">
        <v>960.28</v>
      </c>
      <c r="G225" s="10">
        <f t="shared" si="20"/>
        <v>12483.64</v>
      </c>
      <c r="H225" s="7">
        <f t="shared" si="21"/>
        <v>1.5123947198781222E-3</v>
      </c>
      <c r="I225" s="8">
        <f t="shared" si="23"/>
        <v>0.69271312311134337</v>
      </c>
      <c r="J225" s="3" t="s">
        <v>208</v>
      </c>
    </row>
    <row r="226" spans="1:10" x14ac:dyDescent="0.25">
      <c r="A226" s="3" t="s">
        <v>236</v>
      </c>
      <c r="B226" s="3" t="str">
        <f t="shared" si="18"/>
        <v>8</v>
      </c>
      <c r="C226" s="7">
        <f t="shared" si="19"/>
        <v>6.4432989690721648E-4</v>
      </c>
      <c r="D226" s="8">
        <f t="shared" si="22"/>
        <v>0.14497422680412334</v>
      </c>
      <c r="E226" s="4">
        <v>1106</v>
      </c>
      <c r="F226" s="5">
        <v>11.23</v>
      </c>
      <c r="G226" s="10">
        <f t="shared" si="20"/>
        <v>12420.380000000001</v>
      </c>
      <c r="H226" s="7">
        <f t="shared" si="21"/>
        <v>1.5047307620918125E-3</v>
      </c>
      <c r="I226" s="8">
        <f t="shared" si="23"/>
        <v>0.69421785387343515</v>
      </c>
      <c r="J226" s="3" t="s">
        <v>208</v>
      </c>
    </row>
    <row r="227" spans="1:10" x14ac:dyDescent="0.25">
      <c r="A227" s="3" t="s">
        <v>237</v>
      </c>
      <c r="B227" s="3" t="str">
        <f t="shared" si="18"/>
        <v>3</v>
      </c>
      <c r="C227" s="7">
        <f t="shared" si="19"/>
        <v>6.4432989690721648E-4</v>
      </c>
      <c r="D227" s="8">
        <f t="shared" si="22"/>
        <v>0.14561855670103055</v>
      </c>
      <c r="E227" s="4">
        <v>17</v>
      </c>
      <c r="F227" s="5">
        <v>728.51</v>
      </c>
      <c r="G227" s="10">
        <f t="shared" si="20"/>
        <v>12384.67</v>
      </c>
      <c r="H227" s="7">
        <f t="shared" si="21"/>
        <v>1.5004044906319781E-3</v>
      </c>
      <c r="I227" s="8">
        <f t="shared" si="23"/>
        <v>0.69571825836406709</v>
      </c>
      <c r="J227" s="3" t="s">
        <v>208</v>
      </c>
    </row>
    <row r="228" spans="1:10" x14ac:dyDescent="0.25">
      <c r="A228" s="3" t="s">
        <v>238</v>
      </c>
      <c r="B228" s="3" t="str">
        <f t="shared" si="18"/>
        <v>1</v>
      </c>
      <c r="C228" s="7">
        <f t="shared" si="19"/>
        <v>6.4432989690721648E-4</v>
      </c>
      <c r="D228" s="8">
        <f t="shared" si="22"/>
        <v>0.14626288659793776</v>
      </c>
      <c r="E228" s="4">
        <v>16</v>
      </c>
      <c r="F228" s="5">
        <v>772.28</v>
      </c>
      <c r="G228" s="10">
        <f t="shared" si="20"/>
        <v>12356.48</v>
      </c>
      <c r="H228" s="7">
        <f t="shared" si="21"/>
        <v>1.4969892682166115E-3</v>
      </c>
      <c r="I228" s="8">
        <f t="shared" si="23"/>
        <v>0.69721524763228371</v>
      </c>
      <c r="J228" s="3" t="s">
        <v>208</v>
      </c>
    </row>
    <row r="229" spans="1:10" x14ac:dyDescent="0.25">
      <c r="A229" s="3" t="s">
        <v>239</v>
      </c>
      <c r="B229" s="3" t="str">
        <f t="shared" si="18"/>
        <v>9</v>
      </c>
      <c r="C229" s="7">
        <f t="shared" si="19"/>
        <v>6.4432989690721648E-4</v>
      </c>
      <c r="D229" s="8">
        <f t="shared" si="22"/>
        <v>0.14690721649484498</v>
      </c>
      <c r="E229" s="4">
        <v>170</v>
      </c>
      <c r="F229" s="5">
        <v>72.67</v>
      </c>
      <c r="G229" s="10">
        <f t="shared" si="20"/>
        <v>12353.9</v>
      </c>
      <c r="H229" s="7">
        <f t="shared" si="21"/>
        <v>1.49667670085827E-3</v>
      </c>
      <c r="I229" s="8">
        <f t="shared" si="23"/>
        <v>0.698711924333142</v>
      </c>
      <c r="J229" s="3" t="s">
        <v>208</v>
      </c>
    </row>
    <row r="230" spans="1:10" x14ac:dyDescent="0.25">
      <c r="A230" s="12" t="s">
        <v>240</v>
      </c>
      <c r="B230" s="12" t="str">
        <f t="shared" si="18"/>
        <v>9</v>
      </c>
      <c r="C230" s="13">
        <f t="shared" si="19"/>
        <v>6.4432989690721648E-4</v>
      </c>
      <c r="D230" s="14">
        <f t="shared" si="22"/>
        <v>0.14755154639175219</v>
      </c>
      <c r="E230" s="15">
        <v>23</v>
      </c>
      <c r="F230" s="16">
        <v>535.5</v>
      </c>
      <c r="G230" s="17">
        <f t="shared" si="20"/>
        <v>12316.5</v>
      </c>
      <c r="H230" s="13">
        <f t="shared" si="21"/>
        <v>1.4921456856637082E-3</v>
      </c>
      <c r="I230" s="14">
        <f t="shared" si="23"/>
        <v>0.70020407001880569</v>
      </c>
      <c r="J230" s="3" t="s">
        <v>208</v>
      </c>
    </row>
    <row r="231" spans="1:10" x14ac:dyDescent="0.25">
      <c r="A231" s="3" t="s">
        <v>241</v>
      </c>
      <c r="B231" s="3" t="str">
        <f t="shared" si="18"/>
        <v>1</v>
      </c>
      <c r="C231" s="7">
        <f t="shared" si="19"/>
        <v>6.4432989690721648E-4</v>
      </c>
      <c r="D231" s="8">
        <f t="shared" si="22"/>
        <v>0.14819587628865941</v>
      </c>
      <c r="E231" s="4">
        <v>13</v>
      </c>
      <c r="F231" s="5">
        <v>945</v>
      </c>
      <c r="G231" s="10">
        <f t="shared" si="20"/>
        <v>12285</v>
      </c>
      <c r="H231" s="7">
        <f t="shared" si="21"/>
        <v>1.4883294562886092E-3</v>
      </c>
      <c r="I231" s="8">
        <f t="shared" si="23"/>
        <v>0.70169239947509432</v>
      </c>
      <c r="J231" s="3" t="s">
        <v>208</v>
      </c>
    </row>
    <row r="232" spans="1:10" x14ac:dyDescent="0.25">
      <c r="A232" s="3" t="s">
        <v>242</v>
      </c>
      <c r="B232" s="3" t="str">
        <f t="shared" si="18"/>
        <v>1</v>
      </c>
      <c r="C232" s="7">
        <f t="shared" si="19"/>
        <v>6.4432989690721648E-4</v>
      </c>
      <c r="D232" s="8">
        <f t="shared" si="22"/>
        <v>0.14884020618556662</v>
      </c>
      <c r="E232" s="4">
        <v>22</v>
      </c>
      <c r="F232" s="5">
        <v>557.22</v>
      </c>
      <c r="G232" s="10">
        <f t="shared" si="20"/>
        <v>12258.84</v>
      </c>
      <c r="H232" s="7">
        <f t="shared" si="21"/>
        <v>1.4851601686551937E-3</v>
      </c>
      <c r="I232" s="8">
        <f t="shared" si="23"/>
        <v>0.70317755964374951</v>
      </c>
      <c r="J232" s="3" t="s">
        <v>208</v>
      </c>
    </row>
    <row r="233" spans="1:10" x14ac:dyDescent="0.25">
      <c r="A233" s="3" t="s">
        <v>243</v>
      </c>
      <c r="B233" s="3" t="str">
        <f t="shared" si="18"/>
        <v>5</v>
      </c>
      <c r="C233" s="7">
        <f t="shared" si="19"/>
        <v>6.4432989690721648E-4</v>
      </c>
      <c r="D233" s="8">
        <f t="shared" si="22"/>
        <v>0.14948453608247383</v>
      </c>
      <c r="E233" s="4">
        <v>60</v>
      </c>
      <c r="F233" s="5">
        <v>203.98</v>
      </c>
      <c r="G233" s="10">
        <f t="shared" si="20"/>
        <v>12238.8</v>
      </c>
      <c r="H233" s="7">
        <f t="shared" si="21"/>
        <v>1.4827323198717973E-3</v>
      </c>
      <c r="I233" s="8">
        <f t="shared" si="23"/>
        <v>0.70466029196362134</v>
      </c>
      <c r="J233" s="3" t="s">
        <v>208</v>
      </c>
    </row>
    <row r="234" spans="1:10" x14ac:dyDescent="0.25">
      <c r="A234" s="3" t="s">
        <v>244</v>
      </c>
      <c r="B234" s="3" t="str">
        <f t="shared" si="18"/>
        <v>9</v>
      </c>
      <c r="C234" s="7">
        <f t="shared" si="19"/>
        <v>6.4432989690721648E-4</v>
      </c>
      <c r="D234" s="8">
        <f t="shared" si="22"/>
        <v>0.15012886597938105</v>
      </c>
      <c r="E234" s="4">
        <v>57</v>
      </c>
      <c r="F234" s="5">
        <v>214.05</v>
      </c>
      <c r="G234" s="10">
        <f t="shared" si="20"/>
        <v>12200.85</v>
      </c>
      <c r="H234" s="7">
        <f t="shared" si="21"/>
        <v>1.4781346721008447E-3</v>
      </c>
      <c r="I234" s="8">
        <f t="shared" si="23"/>
        <v>0.70613842663572224</v>
      </c>
      <c r="J234" s="3" t="s">
        <v>208</v>
      </c>
    </row>
    <row r="235" spans="1:10" x14ac:dyDescent="0.25">
      <c r="A235" s="3" t="s">
        <v>245</v>
      </c>
      <c r="B235" s="3" t="str">
        <f t="shared" si="18"/>
        <v>1</v>
      </c>
      <c r="C235" s="7">
        <f t="shared" si="19"/>
        <v>6.4432989690721648E-4</v>
      </c>
      <c r="D235" s="8">
        <f t="shared" si="22"/>
        <v>0.15077319587628826</v>
      </c>
      <c r="E235" s="4">
        <v>19</v>
      </c>
      <c r="F235" s="5">
        <v>635.49</v>
      </c>
      <c r="G235" s="10">
        <f t="shared" si="20"/>
        <v>12074.31</v>
      </c>
      <c r="H235" s="7">
        <f t="shared" si="21"/>
        <v>1.4628043335254469E-3</v>
      </c>
      <c r="I235" s="8">
        <f t="shared" si="23"/>
        <v>0.70760123096924765</v>
      </c>
      <c r="J235" s="3" t="s">
        <v>208</v>
      </c>
    </row>
    <row r="236" spans="1:10" x14ac:dyDescent="0.25">
      <c r="A236" s="3" t="s">
        <v>246</v>
      </c>
      <c r="B236" s="3" t="str">
        <f t="shared" si="18"/>
        <v>8</v>
      </c>
      <c r="C236" s="7">
        <f t="shared" si="19"/>
        <v>6.4432989690721648E-4</v>
      </c>
      <c r="D236" s="8">
        <f t="shared" si="22"/>
        <v>0.15141752577319548</v>
      </c>
      <c r="E236" s="4">
        <v>189</v>
      </c>
      <c r="F236" s="5">
        <v>63.76</v>
      </c>
      <c r="G236" s="10">
        <f t="shared" si="20"/>
        <v>12050.64</v>
      </c>
      <c r="H236" s="7">
        <f t="shared" si="21"/>
        <v>1.4599367097378726E-3</v>
      </c>
      <c r="I236" s="8">
        <f t="shared" si="23"/>
        <v>0.70906116767898553</v>
      </c>
      <c r="J236" s="3" t="s">
        <v>208</v>
      </c>
    </row>
    <row r="237" spans="1:10" x14ac:dyDescent="0.25">
      <c r="A237" s="3" t="s">
        <v>247</v>
      </c>
      <c r="B237" s="3" t="str">
        <f t="shared" si="18"/>
        <v>1</v>
      </c>
      <c r="C237" s="7">
        <f t="shared" si="19"/>
        <v>6.4432989690721648E-4</v>
      </c>
      <c r="D237" s="8">
        <f t="shared" si="22"/>
        <v>0.15206185567010269</v>
      </c>
      <c r="E237" s="4">
        <v>10</v>
      </c>
      <c r="F237" s="5">
        <v>1202.3</v>
      </c>
      <c r="G237" s="10">
        <f t="shared" si="20"/>
        <v>12023</v>
      </c>
      <c r="H237" s="7">
        <f t="shared" si="21"/>
        <v>1.4565881198988968E-3</v>
      </c>
      <c r="I237" s="8">
        <f t="shared" si="23"/>
        <v>0.71051775579888443</v>
      </c>
      <c r="J237" s="3" t="s">
        <v>208</v>
      </c>
    </row>
    <row r="238" spans="1:10" x14ac:dyDescent="0.25">
      <c r="A238" s="3" t="s">
        <v>248</v>
      </c>
      <c r="B238" s="3" t="str">
        <f t="shared" si="18"/>
        <v>1</v>
      </c>
      <c r="C238" s="7">
        <f t="shared" si="19"/>
        <v>6.4432989690721648E-4</v>
      </c>
      <c r="D238" s="8">
        <f t="shared" si="22"/>
        <v>0.15270618556700991</v>
      </c>
      <c r="E238" s="4">
        <v>16</v>
      </c>
      <c r="F238" s="5">
        <v>751.09</v>
      </c>
      <c r="G238" s="10">
        <f t="shared" si="20"/>
        <v>12017.44</v>
      </c>
      <c r="H238" s="7">
        <f t="shared" si="21"/>
        <v>1.4559145251266572E-3</v>
      </c>
      <c r="I238" s="8">
        <f t="shared" si="23"/>
        <v>0.71197367032401104</v>
      </c>
      <c r="J238" s="3" t="s">
        <v>208</v>
      </c>
    </row>
    <row r="239" spans="1:10" x14ac:dyDescent="0.25">
      <c r="A239" s="3" t="s">
        <v>249</v>
      </c>
      <c r="B239" s="3" t="str">
        <f t="shared" si="18"/>
        <v>4</v>
      </c>
      <c r="C239" s="7">
        <f t="shared" si="19"/>
        <v>6.4432989690721648E-4</v>
      </c>
      <c r="D239" s="8">
        <f t="shared" si="22"/>
        <v>0.15335051546391712</v>
      </c>
      <c r="E239" s="4">
        <v>58</v>
      </c>
      <c r="F239" s="5">
        <v>206.06</v>
      </c>
      <c r="G239" s="10">
        <f t="shared" si="20"/>
        <v>11951.48</v>
      </c>
      <c r="H239" s="7">
        <f t="shared" si="21"/>
        <v>1.4479234619653386E-3</v>
      </c>
      <c r="I239" s="8">
        <f t="shared" si="23"/>
        <v>0.71342159378597636</v>
      </c>
      <c r="J239" s="3" t="s">
        <v>208</v>
      </c>
    </row>
    <row r="240" spans="1:10" x14ac:dyDescent="0.25">
      <c r="A240" s="3" t="s">
        <v>250</v>
      </c>
      <c r="B240" s="3" t="str">
        <f t="shared" si="18"/>
        <v>1</v>
      </c>
      <c r="C240" s="7">
        <f t="shared" si="19"/>
        <v>6.4432989690721648E-4</v>
      </c>
      <c r="D240" s="8">
        <f t="shared" si="22"/>
        <v>0.15399484536082433</v>
      </c>
      <c r="E240" s="4">
        <v>15</v>
      </c>
      <c r="F240" s="5">
        <v>795.51</v>
      </c>
      <c r="G240" s="10">
        <f t="shared" si="20"/>
        <v>11932.65</v>
      </c>
      <c r="H240" s="7">
        <f t="shared" si="21"/>
        <v>1.4456422048500018E-3</v>
      </c>
      <c r="I240" s="8">
        <f t="shared" si="23"/>
        <v>0.71486723599082636</v>
      </c>
      <c r="J240" s="3" t="s">
        <v>208</v>
      </c>
    </row>
    <row r="241" spans="1:10" x14ac:dyDescent="0.25">
      <c r="A241" s="3" t="s">
        <v>251</v>
      </c>
      <c r="B241" s="3" t="str">
        <f t="shared" si="18"/>
        <v>9</v>
      </c>
      <c r="C241" s="7">
        <f t="shared" si="19"/>
        <v>6.4432989690721648E-4</v>
      </c>
      <c r="D241" s="8">
        <f t="shared" si="22"/>
        <v>0.15463917525773155</v>
      </c>
      <c r="E241" s="4">
        <v>27</v>
      </c>
      <c r="F241" s="5">
        <v>439.48</v>
      </c>
      <c r="G241" s="10">
        <f t="shared" si="20"/>
        <v>11865.960000000001</v>
      </c>
      <c r="H241" s="7">
        <f t="shared" si="21"/>
        <v>1.4375627020872923E-3</v>
      </c>
      <c r="I241" s="8">
        <f t="shared" si="23"/>
        <v>0.71630479869291364</v>
      </c>
      <c r="J241" s="3" t="s">
        <v>208</v>
      </c>
    </row>
    <row r="242" spans="1:10" x14ac:dyDescent="0.25">
      <c r="A242" s="3" t="s">
        <v>252</v>
      </c>
      <c r="B242" s="3" t="str">
        <f t="shared" si="18"/>
        <v>1</v>
      </c>
      <c r="C242" s="7">
        <f t="shared" si="19"/>
        <v>6.4432989690721648E-4</v>
      </c>
      <c r="D242" s="8">
        <f t="shared" si="22"/>
        <v>0.15528350515463876</v>
      </c>
      <c r="E242" s="4">
        <v>24</v>
      </c>
      <c r="F242" s="5">
        <v>494.05</v>
      </c>
      <c r="G242" s="10">
        <f t="shared" si="20"/>
        <v>11857.2</v>
      </c>
      <c r="H242" s="7">
        <f t="shared" si="21"/>
        <v>1.4365014268705981E-3</v>
      </c>
      <c r="I242" s="8">
        <f t="shared" si="23"/>
        <v>0.71774130011978421</v>
      </c>
      <c r="J242" s="3" t="s">
        <v>208</v>
      </c>
    </row>
    <row r="243" spans="1:10" x14ac:dyDescent="0.25">
      <c r="A243" s="3" t="s">
        <v>253</v>
      </c>
      <c r="B243" s="3" t="str">
        <f t="shared" si="18"/>
        <v>4</v>
      </c>
      <c r="C243" s="7">
        <f t="shared" si="19"/>
        <v>6.4432989690721648E-4</v>
      </c>
      <c r="D243" s="8">
        <f t="shared" si="22"/>
        <v>0.15592783505154598</v>
      </c>
      <c r="E243" s="4">
        <v>63</v>
      </c>
      <c r="F243" s="5">
        <v>187.48</v>
      </c>
      <c r="G243" s="10">
        <f t="shared" si="20"/>
        <v>11811.24</v>
      </c>
      <c r="H243" s="7">
        <f t="shared" si="21"/>
        <v>1.4309333664871203E-3</v>
      </c>
      <c r="I243" s="8">
        <f t="shared" si="23"/>
        <v>0.71917223348627135</v>
      </c>
      <c r="J243" s="3" t="s">
        <v>208</v>
      </c>
    </row>
    <row r="244" spans="1:10" x14ac:dyDescent="0.25">
      <c r="A244" s="3" t="s">
        <v>254</v>
      </c>
      <c r="B244" s="3" t="str">
        <f t="shared" si="18"/>
        <v>3</v>
      </c>
      <c r="C244" s="7">
        <f t="shared" si="19"/>
        <v>6.4432989690721648E-4</v>
      </c>
      <c r="D244" s="8">
        <f t="shared" si="22"/>
        <v>0.15657216494845319</v>
      </c>
      <c r="E244" s="4">
        <v>44</v>
      </c>
      <c r="F244" s="5">
        <v>266.8</v>
      </c>
      <c r="G244" s="10">
        <f t="shared" si="20"/>
        <v>11739.2</v>
      </c>
      <c r="H244" s="7">
        <f t="shared" si="21"/>
        <v>1.4222057104813384E-3</v>
      </c>
      <c r="I244" s="8">
        <f t="shared" si="23"/>
        <v>0.7205944391967527</v>
      </c>
      <c r="J244" s="3" t="s">
        <v>208</v>
      </c>
    </row>
    <row r="245" spans="1:10" x14ac:dyDescent="0.25">
      <c r="A245" s="3" t="s">
        <v>255</v>
      </c>
      <c r="B245" s="3" t="str">
        <f t="shared" si="18"/>
        <v>3</v>
      </c>
      <c r="C245" s="7">
        <f t="shared" si="19"/>
        <v>6.4432989690721648E-4</v>
      </c>
      <c r="D245" s="8">
        <f t="shared" si="22"/>
        <v>0.1572164948453604</v>
      </c>
      <c r="E245" s="4">
        <v>19</v>
      </c>
      <c r="F245" s="5">
        <v>615.22</v>
      </c>
      <c r="G245" s="10">
        <f t="shared" si="20"/>
        <v>11689.18</v>
      </c>
      <c r="H245" s="7">
        <f t="shared" si="21"/>
        <v>1.4161457805339588E-3</v>
      </c>
      <c r="I245" s="8">
        <f t="shared" si="23"/>
        <v>0.72201058497728665</v>
      </c>
      <c r="J245" s="3" t="s">
        <v>208</v>
      </c>
    </row>
    <row r="246" spans="1:10" x14ac:dyDescent="0.25">
      <c r="A246" s="3" t="s">
        <v>256</v>
      </c>
      <c r="B246" s="3" t="str">
        <f t="shared" si="18"/>
        <v>3</v>
      </c>
      <c r="C246" s="7">
        <f t="shared" si="19"/>
        <v>6.4432989690721648E-4</v>
      </c>
      <c r="D246" s="8">
        <f t="shared" si="22"/>
        <v>0.15786082474226762</v>
      </c>
      <c r="E246" s="4">
        <v>64</v>
      </c>
      <c r="F246" s="5">
        <v>181.81</v>
      </c>
      <c r="G246" s="10">
        <f t="shared" si="20"/>
        <v>11635.84</v>
      </c>
      <c r="H246" s="7">
        <f t="shared" si="21"/>
        <v>1.409683632125458E-3</v>
      </c>
      <c r="I246" s="8">
        <f t="shared" si="23"/>
        <v>0.72342026860941211</v>
      </c>
      <c r="J246" s="3" t="s">
        <v>208</v>
      </c>
    </row>
    <row r="247" spans="1:10" x14ac:dyDescent="0.25">
      <c r="A247" s="3" t="s">
        <v>257</v>
      </c>
      <c r="B247" s="3" t="str">
        <f t="shared" si="18"/>
        <v>1</v>
      </c>
      <c r="C247" s="7">
        <f t="shared" si="19"/>
        <v>6.4432989690721648E-4</v>
      </c>
      <c r="D247" s="8">
        <f t="shared" si="22"/>
        <v>0.15850515463917483</v>
      </c>
      <c r="E247" s="4">
        <v>28</v>
      </c>
      <c r="F247" s="5">
        <v>413.93</v>
      </c>
      <c r="G247" s="10">
        <f t="shared" si="20"/>
        <v>11590.04</v>
      </c>
      <c r="H247" s="7">
        <f t="shared" si="21"/>
        <v>1.404134955764203E-3</v>
      </c>
      <c r="I247" s="8">
        <f t="shared" si="23"/>
        <v>0.7248244035651763</v>
      </c>
      <c r="J247" s="3" t="s">
        <v>208</v>
      </c>
    </row>
    <row r="248" spans="1:10" x14ac:dyDescent="0.25">
      <c r="A248" s="3" t="s">
        <v>258</v>
      </c>
      <c r="B248" s="3" t="str">
        <f t="shared" si="18"/>
        <v>9</v>
      </c>
      <c r="C248" s="7">
        <f t="shared" si="19"/>
        <v>6.4432989690721648E-4</v>
      </c>
      <c r="D248" s="8">
        <f t="shared" si="22"/>
        <v>0.15914948453608205</v>
      </c>
      <c r="E248" s="4">
        <v>255</v>
      </c>
      <c r="F248" s="5">
        <v>45.31</v>
      </c>
      <c r="G248" s="10">
        <f t="shared" si="20"/>
        <v>11554.050000000001</v>
      </c>
      <c r="H248" s="7">
        <f t="shared" si="21"/>
        <v>1.3997747622654787E-3</v>
      </c>
      <c r="I248" s="8">
        <f t="shared" si="23"/>
        <v>0.72622417832744179</v>
      </c>
      <c r="J248" s="3" t="s">
        <v>208</v>
      </c>
    </row>
    <row r="249" spans="1:10" x14ac:dyDescent="0.25">
      <c r="A249" s="3" t="s">
        <v>259</v>
      </c>
      <c r="B249" s="3" t="str">
        <f t="shared" si="18"/>
        <v>9</v>
      </c>
      <c r="C249" s="7">
        <f t="shared" si="19"/>
        <v>6.4432989690721648E-4</v>
      </c>
      <c r="D249" s="8">
        <f t="shared" si="22"/>
        <v>0.15979381443298926</v>
      </c>
      <c r="E249" s="4">
        <v>40</v>
      </c>
      <c r="F249" s="5">
        <v>288.37</v>
      </c>
      <c r="G249" s="10">
        <f t="shared" si="20"/>
        <v>11534.8</v>
      </c>
      <c r="H249" s="7">
        <f t="shared" si="21"/>
        <v>1.3974426220918069E-3</v>
      </c>
      <c r="I249" s="8">
        <f t="shared" si="23"/>
        <v>0.72762162094953364</v>
      </c>
      <c r="J249" s="3" t="s">
        <v>208</v>
      </c>
    </row>
    <row r="250" spans="1:10" x14ac:dyDescent="0.25">
      <c r="A250" s="3" t="s">
        <v>260</v>
      </c>
      <c r="B250" s="3" t="str">
        <f t="shared" si="18"/>
        <v>1</v>
      </c>
      <c r="C250" s="7">
        <f t="shared" si="19"/>
        <v>6.4432989690721648E-4</v>
      </c>
      <c r="D250" s="8">
        <f t="shared" si="22"/>
        <v>0.16043814432989648</v>
      </c>
      <c r="E250" s="4">
        <v>21</v>
      </c>
      <c r="F250" s="5">
        <v>545.62</v>
      </c>
      <c r="G250" s="10">
        <f t="shared" si="20"/>
        <v>11458.02</v>
      </c>
      <c r="H250" s="7">
        <f t="shared" si="21"/>
        <v>1.3881407144276769E-3</v>
      </c>
      <c r="I250" s="8">
        <f t="shared" si="23"/>
        <v>0.72900976166396136</v>
      </c>
      <c r="J250" s="3" t="s">
        <v>208</v>
      </c>
    </row>
    <row r="251" spans="1:10" x14ac:dyDescent="0.25">
      <c r="A251" s="3" t="s">
        <v>261</v>
      </c>
      <c r="B251" s="3" t="str">
        <f t="shared" si="18"/>
        <v>3</v>
      </c>
      <c r="C251" s="7">
        <f t="shared" si="19"/>
        <v>6.4432989690721648E-4</v>
      </c>
      <c r="D251" s="8">
        <f t="shared" si="22"/>
        <v>0.16108247422680369</v>
      </c>
      <c r="E251" s="4">
        <v>20</v>
      </c>
      <c r="F251" s="5">
        <v>569.55999999999995</v>
      </c>
      <c r="G251" s="10">
        <f t="shared" si="20"/>
        <v>11391.199999999999</v>
      </c>
      <c r="H251" s="7">
        <f t="shared" si="21"/>
        <v>1.3800454621469111E-3</v>
      </c>
      <c r="I251" s="8">
        <f t="shared" si="23"/>
        <v>0.73038980712610824</v>
      </c>
      <c r="J251" s="3" t="s">
        <v>208</v>
      </c>
    </row>
    <row r="252" spans="1:10" x14ac:dyDescent="0.25">
      <c r="A252" s="3" t="s">
        <v>262</v>
      </c>
      <c r="B252" s="3" t="str">
        <f t="shared" si="18"/>
        <v>2</v>
      </c>
      <c r="C252" s="7">
        <f t="shared" si="19"/>
        <v>6.4432989690721648E-4</v>
      </c>
      <c r="D252" s="8">
        <f t="shared" si="22"/>
        <v>0.1617268041237109</v>
      </c>
      <c r="E252" s="4">
        <v>2623</v>
      </c>
      <c r="F252" s="5">
        <v>4.33</v>
      </c>
      <c r="G252" s="10">
        <f t="shared" si="20"/>
        <v>11357.59</v>
      </c>
      <c r="H252" s="7">
        <f t="shared" si="21"/>
        <v>1.37597360597875E-3</v>
      </c>
      <c r="I252" s="8">
        <f t="shared" si="23"/>
        <v>0.73176578073208698</v>
      </c>
      <c r="J252" s="3" t="s">
        <v>208</v>
      </c>
    </row>
    <row r="253" spans="1:10" x14ac:dyDescent="0.25">
      <c r="A253" s="3" t="s">
        <v>263</v>
      </c>
      <c r="B253" s="3" t="str">
        <f t="shared" si="18"/>
        <v>1</v>
      </c>
      <c r="C253" s="7">
        <f t="shared" si="19"/>
        <v>6.4432989690721648E-4</v>
      </c>
      <c r="D253" s="8">
        <f t="shared" si="22"/>
        <v>0.16237113402061812</v>
      </c>
      <c r="E253" s="4">
        <v>25</v>
      </c>
      <c r="F253" s="5">
        <v>452.54</v>
      </c>
      <c r="G253" s="10">
        <f t="shared" si="20"/>
        <v>11313.5</v>
      </c>
      <c r="H253" s="7">
        <f t="shared" si="21"/>
        <v>1.3706320963550005E-3</v>
      </c>
      <c r="I253" s="8">
        <f t="shared" si="23"/>
        <v>0.733136412828442</v>
      </c>
      <c r="J253" s="3" t="s">
        <v>208</v>
      </c>
    </row>
    <row r="254" spans="1:10" x14ac:dyDescent="0.25">
      <c r="A254" s="3" t="s">
        <v>264</v>
      </c>
      <c r="B254" s="3" t="str">
        <f t="shared" si="18"/>
        <v>8</v>
      </c>
      <c r="C254" s="7">
        <f t="shared" si="19"/>
        <v>6.4432989690721648E-4</v>
      </c>
      <c r="D254" s="8">
        <f t="shared" si="22"/>
        <v>0.16301546391752533</v>
      </c>
      <c r="E254" s="4">
        <v>168</v>
      </c>
      <c r="F254" s="5">
        <v>67.099999999999994</v>
      </c>
      <c r="G254" s="10">
        <f t="shared" si="20"/>
        <v>11272.8</v>
      </c>
      <c r="H254" s="7">
        <f t="shared" si="21"/>
        <v>1.3657012857020946E-3</v>
      </c>
      <c r="I254" s="8">
        <f t="shared" si="23"/>
        <v>0.73450211411414412</v>
      </c>
      <c r="J254" s="3" t="s">
        <v>208</v>
      </c>
    </row>
    <row r="255" spans="1:10" x14ac:dyDescent="0.25">
      <c r="A255" s="3" t="s">
        <v>265</v>
      </c>
      <c r="B255" s="3" t="str">
        <f t="shared" si="18"/>
        <v>8</v>
      </c>
      <c r="C255" s="7">
        <f t="shared" si="19"/>
        <v>6.4432989690721648E-4</v>
      </c>
      <c r="D255" s="8">
        <f t="shared" si="22"/>
        <v>0.16365979381443255</v>
      </c>
      <c r="E255" s="4">
        <v>179</v>
      </c>
      <c r="F255" s="5">
        <v>62.57</v>
      </c>
      <c r="G255" s="10">
        <f t="shared" si="20"/>
        <v>11200.03</v>
      </c>
      <c r="H255" s="7">
        <f t="shared" si="21"/>
        <v>1.3568851900949217E-3</v>
      </c>
      <c r="I255" s="8">
        <f t="shared" si="23"/>
        <v>0.73585899930423904</v>
      </c>
      <c r="J255" s="3" t="s">
        <v>208</v>
      </c>
    </row>
    <row r="256" spans="1:10" x14ac:dyDescent="0.25">
      <c r="A256" s="3" t="s">
        <v>266</v>
      </c>
      <c r="B256" s="3" t="str">
        <f t="shared" si="18"/>
        <v>4</v>
      </c>
      <c r="C256" s="7">
        <f t="shared" si="19"/>
        <v>6.4432989690721648E-4</v>
      </c>
      <c r="D256" s="8">
        <f t="shared" si="22"/>
        <v>0.16430412371133976</v>
      </c>
      <c r="E256" s="4">
        <v>71</v>
      </c>
      <c r="F256" s="5">
        <v>157.49</v>
      </c>
      <c r="G256" s="10">
        <f t="shared" si="20"/>
        <v>11181.79</v>
      </c>
      <c r="H256" s="7">
        <f t="shared" si="21"/>
        <v>1.354675411561531E-3</v>
      </c>
      <c r="I256" s="8">
        <f t="shared" si="23"/>
        <v>0.73721367471580057</v>
      </c>
      <c r="J256" s="3" t="s">
        <v>208</v>
      </c>
    </row>
    <row r="257" spans="1:10" x14ac:dyDescent="0.25">
      <c r="A257" s="3" t="s">
        <v>267</v>
      </c>
      <c r="B257" s="3" t="str">
        <f t="shared" si="18"/>
        <v>1</v>
      </c>
      <c r="C257" s="7">
        <f t="shared" si="19"/>
        <v>6.4432989690721648E-4</v>
      </c>
      <c r="D257" s="8">
        <f t="shared" si="22"/>
        <v>0.16494845360824698</v>
      </c>
      <c r="E257" s="4">
        <v>11</v>
      </c>
      <c r="F257" s="5">
        <v>1011.52</v>
      </c>
      <c r="G257" s="10">
        <f t="shared" si="20"/>
        <v>11126.72</v>
      </c>
      <c r="H257" s="7">
        <f t="shared" si="21"/>
        <v>1.3480036734127468E-3</v>
      </c>
      <c r="I257" s="8">
        <f t="shared" si="23"/>
        <v>0.73856167838921327</v>
      </c>
      <c r="J257" s="3" t="s">
        <v>208</v>
      </c>
    </row>
    <row r="258" spans="1:10" x14ac:dyDescent="0.25">
      <c r="A258" s="3" t="s">
        <v>268</v>
      </c>
      <c r="B258" s="3" t="str">
        <f t="shared" ref="B258:B321" si="24">RIGHT(A258,1)</f>
        <v>1</v>
      </c>
      <c r="C258" s="7">
        <f t="shared" ref="C258:C321" si="25">1/COUNTA(A$2:A$1553)</f>
        <v>6.4432989690721648E-4</v>
      </c>
      <c r="D258" s="8">
        <f t="shared" si="22"/>
        <v>0.16559278350515419</v>
      </c>
      <c r="E258" s="4">
        <v>41</v>
      </c>
      <c r="F258" s="5">
        <v>270.93</v>
      </c>
      <c r="G258" s="10">
        <f t="shared" ref="G258:G321" si="26">E258*F258</f>
        <v>11108.130000000001</v>
      </c>
      <c r="H258" s="7">
        <f t="shared" ref="H258:H321" si="27">G258/SUM(G$2:G$1553)</f>
        <v>1.3457514923307439E-3</v>
      </c>
      <c r="I258" s="8">
        <f t="shared" si="23"/>
        <v>0.73990742988154401</v>
      </c>
      <c r="J258" s="3" t="s">
        <v>208</v>
      </c>
    </row>
    <row r="259" spans="1:10" x14ac:dyDescent="0.25">
      <c r="A259" s="3" t="s">
        <v>269</v>
      </c>
      <c r="B259" s="3" t="str">
        <f t="shared" si="24"/>
        <v>9</v>
      </c>
      <c r="C259" s="7">
        <f t="shared" si="25"/>
        <v>6.4432989690721648E-4</v>
      </c>
      <c r="D259" s="8">
        <f t="shared" ref="D259:D322" si="28">D258+C259</f>
        <v>0.1662371134020614</v>
      </c>
      <c r="E259" s="4">
        <v>78</v>
      </c>
      <c r="F259" s="5">
        <v>139.63</v>
      </c>
      <c r="G259" s="10">
        <f t="shared" si="26"/>
        <v>10891.14</v>
      </c>
      <c r="H259" s="7">
        <f t="shared" si="27"/>
        <v>1.3194631236925619E-3</v>
      </c>
      <c r="I259" s="8">
        <f t="shared" ref="I259:I322" si="29">I258+H259</f>
        <v>0.74122689300523659</v>
      </c>
      <c r="J259" s="3" t="s">
        <v>208</v>
      </c>
    </row>
    <row r="260" spans="1:10" x14ac:dyDescent="0.25">
      <c r="A260" s="3" t="s">
        <v>270</v>
      </c>
      <c r="B260" s="3" t="str">
        <f t="shared" si="24"/>
        <v>3</v>
      </c>
      <c r="C260" s="7">
        <f t="shared" si="25"/>
        <v>6.4432989690721648E-4</v>
      </c>
      <c r="D260" s="8">
        <f t="shared" si="28"/>
        <v>0.16688144329896862</v>
      </c>
      <c r="E260" s="4">
        <v>11</v>
      </c>
      <c r="F260" s="5">
        <v>989.99</v>
      </c>
      <c r="G260" s="10">
        <f t="shared" si="26"/>
        <v>10889.89</v>
      </c>
      <c r="H260" s="7">
        <f t="shared" si="27"/>
        <v>1.3193116860189468E-3</v>
      </c>
      <c r="I260" s="8">
        <f t="shared" si="29"/>
        <v>0.74254620469125554</v>
      </c>
      <c r="J260" s="3" t="s">
        <v>208</v>
      </c>
    </row>
    <row r="261" spans="1:10" x14ac:dyDescent="0.25">
      <c r="A261" s="3" t="s">
        <v>271</v>
      </c>
      <c r="B261" s="3" t="str">
        <f t="shared" si="24"/>
        <v>2</v>
      </c>
      <c r="C261" s="7">
        <f t="shared" si="25"/>
        <v>6.4432989690721648E-4</v>
      </c>
      <c r="D261" s="8">
        <f t="shared" si="28"/>
        <v>0.16752577319587583</v>
      </c>
      <c r="E261" s="4">
        <v>285</v>
      </c>
      <c r="F261" s="5">
        <v>37.51</v>
      </c>
      <c r="G261" s="10">
        <f t="shared" si="26"/>
        <v>10690.349999999999</v>
      </c>
      <c r="H261" s="7">
        <f t="shared" si="27"/>
        <v>1.2951373873044307E-3</v>
      </c>
      <c r="I261" s="8">
        <f t="shared" si="29"/>
        <v>0.74384134207856001</v>
      </c>
      <c r="J261" s="3" t="s">
        <v>208</v>
      </c>
    </row>
    <row r="262" spans="1:10" x14ac:dyDescent="0.25">
      <c r="A262" s="3" t="s">
        <v>272</v>
      </c>
      <c r="B262" s="3" t="str">
        <f t="shared" si="24"/>
        <v>1</v>
      </c>
      <c r="C262" s="7">
        <f t="shared" si="25"/>
        <v>6.4432989690721648E-4</v>
      </c>
      <c r="D262" s="8">
        <f t="shared" si="28"/>
        <v>0.16817010309278305</v>
      </c>
      <c r="E262" s="4">
        <v>10</v>
      </c>
      <c r="F262" s="5">
        <v>1064.99</v>
      </c>
      <c r="G262" s="10">
        <f t="shared" si="26"/>
        <v>10649.9</v>
      </c>
      <c r="H262" s="7">
        <f t="shared" si="27"/>
        <v>1.2902368641862481E-3</v>
      </c>
      <c r="I262" s="8">
        <f t="shared" si="29"/>
        <v>0.74513157894274629</v>
      </c>
      <c r="J262" s="3" t="s">
        <v>208</v>
      </c>
    </row>
    <row r="263" spans="1:10" x14ac:dyDescent="0.25">
      <c r="A263" s="3" t="s">
        <v>273</v>
      </c>
      <c r="B263" s="3" t="str">
        <f t="shared" si="24"/>
        <v>9</v>
      </c>
      <c r="C263" s="7">
        <f t="shared" si="25"/>
        <v>6.4432989690721648E-4</v>
      </c>
      <c r="D263" s="8">
        <f t="shared" si="28"/>
        <v>0.16881443298969026</v>
      </c>
      <c r="E263" s="4">
        <v>540</v>
      </c>
      <c r="F263" s="5">
        <v>19.63</v>
      </c>
      <c r="G263" s="10">
        <f t="shared" si="26"/>
        <v>10600.199999999999</v>
      </c>
      <c r="H263" s="7">
        <f t="shared" si="27"/>
        <v>1.284215702283314E-3</v>
      </c>
      <c r="I263" s="8">
        <f t="shared" si="29"/>
        <v>0.74641579464502961</v>
      </c>
      <c r="J263" s="3" t="s">
        <v>208</v>
      </c>
    </row>
    <row r="264" spans="1:10" x14ac:dyDescent="0.25">
      <c r="A264" s="3" t="s">
        <v>274</v>
      </c>
      <c r="B264" s="3" t="str">
        <f t="shared" si="24"/>
        <v>1</v>
      </c>
      <c r="C264" s="7">
        <f t="shared" si="25"/>
        <v>6.4432989690721648E-4</v>
      </c>
      <c r="D264" s="8">
        <f t="shared" si="28"/>
        <v>0.16945876288659747</v>
      </c>
      <c r="E264" s="4">
        <v>10</v>
      </c>
      <c r="F264" s="5">
        <v>1057.3900000000001</v>
      </c>
      <c r="G264" s="10">
        <f t="shared" si="26"/>
        <v>10573.900000000001</v>
      </c>
      <c r="H264" s="7">
        <f t="shared" si="27"/>
        <v>1.2810294536304539E-3</v>
      </c>
      <c r="I264" s="8">
        <f t="shared" si="29"/>
        <v>0.74769682409866001</v>
      </c>
      <c r="J264" s="3" t="s">
        <v>208</v>
      </c>
    </row>
    <row r="265" spans="1:10" x14ac:dyDescent="0.25">
      <c r="A265" s="3" t="s">
        <v>275</v>
      </c>
      <c r="B265" s="3" t="str">
        <f t="shared" si="24"/>
        <v>4</v>
      </c>
      <c r="C265" s="7">
        <f t="shared" si="25"/>
        <v>6.4432989690721648E-4</v>
      </c>
      <c r="D265" s="8">
        <f t="shared" si="28"/>
        <v>0.17010309278350469</v>
      </c>
      <c r="E265" s="4">
        <v>73</v>
      </c>
      <c r="F265" s="5">
        <v>144.56</v>
      </c>
      <c r="G265" s="10">
        <f t="shared" si="26"/>
        <v>10552.880000000001</v>
      </c>
      <c r="H265" s="7">
        <f t="shared" si="27"/>
        <v>1.2784828777109435E-3</v>
      </c>
      <c r="I265" s="8">
        <f t="shared" si="29"/>
        <v>0.74897530697637094</v>
      </c>
      <c r="J265" s="3" t="s">
        <v>208</v>
      </c>
    </row>
    <row r="266" spans="1:10" x14ac:dyDescent="0.25">
      <c r="A266" s="3" t="s">
        <v>276</v>
      </c>
      <c r="B266" s="3" t="str">
        <f t="shared" si="24"/>
        <v>1</v>
      </c>
      <c r="C266" s="7">
        <f t="shared" si="25"/>
        <v>6.4432989690721648E-4</v>
      </c>
      <c r="D266" s="8">
        <f t="shared" si="28"/>
        <v>0.1707474226804119</v>
      </c>
      <c r="E266" s="4">
        <v>14</v>
      </c>
      <c r="F266" s="5">
        <v>735.85</v>
      </c>
      <c r="G266" s="10">
        <f t="shared" si="26"/>
        <v>10301.9</v>
      </c>
      <c r="H266" s="7">
        <f t="shared" si="27"/>
        <v>1.248076615851821E-3</v>
      </c>
      <c r="I266" s="8">
        <f t="shared" si="29"/>
        <v>0.75022338359222274</v>
      </c>
      <c r="J266" s="3" t="s">
        <v>208</v>
      </c>
    </row>
    <row r="267" spans="1:10" x14ac:dyDescent="0.25">
      <c r="A267" s="3" t="s">
        <v>277</v>
      </c>
      <c r="B267" s="3" t="str">
        <f t="shared" si="24"/>
        <v>1</v>
      </c>
      <c r="C267" s="7">
        <f t="shared" si="25"/>
        <v>6.4432989690721648E-4</v>
      </c>
      <c r="D267" s="8">
        <f t="shared" si="28"/>
        <v>0.17139175257731912</v>
      </c>
      <c r="E267" s="4">
        <v>13</v>
      </c>
      <c r="F267" s="5">
        <v>791.67</v>
      </c>
      <c r="G267" s="10">
        <f t="shared" si="26"/>
        <v>10291.709999999999</v>
      </c>
      <c r="H267" s="7">
        <f t="shared" si="27"/>
        <v>1.2468420959365113E-3</v>
      </c>
      <c r="I267" s="8">
        <f t="shared" si="29"/>
        <v>0.75147022568815924</v>
      </c>
      <c r="J267" s="3" t="s">
        <v>208</v>
      </c>
    </row>
    <row r="268" spans="1:10" x14ac:dyDescent="0.25">
      <c r="A268" s="3" t="s">
        <v>278</v>
      </c>
      <c r="B268" s="3" t="str">
        <f t="shared" si="24"/>
        <v>8</v>
      </c>
      <c r="C268" s="7">
        <f t="shared" si="25"/>
        <v>6.4432989690721648E-4</v>
      </c>
      <c r="D268" s="8">
        <f t="shared" si="28"/>
        <v>0.17203608247422633</v>
      </c>
      <c r="E268" s="4">
        <v>182</v>
      </c>
      <c r="F268" s="5">
        <v>56.08</v>
      </c>
      <c r="G268" s="10">
        <f t="shared" si="26"/>
        <v>10206.56</v>
      </c>
      <c r="H268" s="7">
        <f t="shared" si="27"/>
        <v>1.2365261616098548E-3</v>
      </c>
      <c r="I268" s="8">
        <f t="shared" si="29"/>
        <v>0.7527067518497691</v>
      </c>
      <c r="J268" s="3" t="s">
        <v>208</v>
      </c>
    </row>
    <row r="269" spans="1:10" x14ac:dyDescent="0.25">
      <c r="A269" s="3" t="s">
        <v>279</v>
      </c>
      <c r="B269" s="3" t="str">
        <f t="shared" si="24"/>
        <v>4</v>
      </c>
      <c r="C269" s="7">
        <f t="shared" si="25"/>
        <v>6.4432989690721648E-4</v>
      </c>
      <c r="D269" s="8">
        <f t="shared" si="28"/>
        <v>0.17268041237113355</v>
      </c>
      <c r="E269" s="4">
        <v>245</v>
      </c>
      <c r="F269" s="5">
        <v>41.44</v>
      </c>
      <c r="G269" s="10">
        <f t="shared" si="26"/>
        <v>10152.799999999999</v>
      </c>
      <c r="H269" s="7">
        <f t="shared" si="27"/>
        <v>1.230013130143019E-3</v>
      </c>
      <c r="I269" s="8">
        <f t="shared" si="29"/>
        <v>0.75393676497991213</v>
      </c>
      <c r="J269" s="3" t="s">
        <v>208</v>
      </c>
    </row>
    <row r="270" spans="1:10" x14ac:dyDescent="0.25">
      <c r="A270" s="3" t="s">
        <v>280</v>
      </c>
      <c r="B270" s="3" t="str">
        <f t="shared" si="24"/>
        <v>3</v>
      </c>
      <c r="C270" s="7">
        <f t="shared" si="25"/>
        <v>6.4432989690721648E-4</v>
      </c>
      <c r="D270" s="8">
        <f t="shared" si="28"/>
        <v>0.17332474226804076</v>
      </c>
      <c r="E270" s="4">
        <v>23</v>
      </c>
      <c r="F270" s="5">
        <v>438.58</v>
      </c>
      <c r="G270" s="10">
        <f t="shared" si="26"/>
        <v>10087.34</v>
      </c>
      <c r="H270" s="7">
        <f t="shared" si="27"/>
        <v>1.2220826420511468E-3</v>
      </c>
      <c r="I270" s="8">
        <f t="shared" si="29"/>
        <v>0.75515884762196328</v>
      </c>
      <c r="J270" s="3" t="s">
        <v>208</v>
      </c>
    </row>
    <row r="271" spans="1:10" x14ac:dyDescent="0.25">
      <c r="A271" s="3" t="s">
        <v>281</v>
      </c>
      <c r="B271" s="3" t="str">
        <f t="shared" si="24"/>
        <v>1</v>
      </c>
      <c r="C271" s="7">
        <f t="shared" si="25"/>
        <v>6.4432989690721648E-4</v>
      </c>
      <c r="D271" s="8">
        <f t="shared" si="28"/>
        <v>0.17396907216494797</v>
      </c>
      <c r="E271" s="4">
        <v>11</v>
      </c>
      <c r="F271" s="5">
        <v>910.92</v>
      </c>
      <c r="G271" s="10">
        <f t="shared" si="26"/>
        <v>10020.119999999999</v>
      </c>
      <c r="H271" s="7">
        <f t="shared" si="27"/>
        <v>1.2139389297148244E-3</v>
      </c>
      <c r="I271" s="8">
        <f t="shared" si="29"/>
        <v>0.75637278655167806</v>
      </c>
      <c r="J271" s="3" t="s">
        <v>208</v>
      </c>
    </row>
    <row r="272" spans="1:10" x14ac:dyDescent="0.25">
      <c r="A272" s="3" t="s">
        <v>282</v>
      </c>
      <c r="B272" s="3" t="str">
        <f t="shared" si="24"/>
        <v>3</v>
      </c>
      <c r="C272" s="7">
        <f t="shared" si="25"/>
        <v>6.4432989690721648E-4</v>
      </c>
      <c r="D272" s="8">
        <f t="shared" si="28"/>
        <v>0.17461340206185519</v>
      </c>
      <c r="E272" s="4">
        <v>27</v>
      </c>
      <c r="F272" s="5">
        <v>371.11</v>
      </c>
      <c r="G272" s="10">
        <f t="shared" si="26"/>
        <v>10019.970000000001</v>
      </c>
      <c r="H272" s="7">
        <f t="shared" si="27"/>
        <v>1.2139207571939907E-3</v>
      </c>
      <c r="I272" s="8">
        <f t="shared" si="29"/>
        <v>0.75758670730887201</v>
      </c>
      <c r="J272" s="3" t="s">
        <v>208</v>
      </c>
    </row>
    <row r="273" spans="1:10" x14ac:dyDescent="0.25">
      <c r="A273" s="3" t="s">
        <v>283</v>
      </c>
      <c r="B273" s="3" t="str">
        <f t="shared" si="24"/>
        <v>3</v>
      </c>
      <c r="C273" s="7">
        <f t="shared" si="25"/>
        <v>6.4432989690721648E-4</v>
      </c>
      <c r="D273" s="8">
        <f t="shared" si="28"/>
        <v>0.1752577319587624</v>
      </c>
      <c r="E273" s="4">
        <v>23</v>
      </c>
      <c r="F273" s="5">
        <v>428.4</v>
      </c>
      <c r="G273" s="10">
        <f t="shared" si="26"/>
        <v>9853.1999999999989</v>
      </c>
      <c r="H273" s="7">
        <f t="shared" si="27"/>
        <v>1.1937165485309664E-3</v>
      </c>
      <c r="I273" s="8">
        <f t="shared" si="29"/>
        <v>0.75878042385740296</v>
      </c>
      <c r="J273" s="3" t="s">
        <v>208</v>
      </c>
    </row>
    <row r="274" spans="1:10" x14ac:dyDescent="0.25">
      <c r="A274" s="3" t="s">
        <v>284</v>
      </c>
      <c r="B274" s="3" t="str">
        <f t="shared" si="24"/>
        <v>3</v>
      </c>
      <c r="C274" s="7">
        <f t="shared" si="25"/>
        <v>6.4432989690721648E-4</v>
      </c>
      <c r="D274" s="8">
        <f t="shared" si="28"/>
        <v>0.17590206185566962</v>
      </c>
      <c r="E274" s="4">
        <v>13</v>
      </c>
      <c r="F274" s="5">
        <v>754.82</v>
      </c>
      <c r="G274" s="10">
        <f t="shared" si="26"/>
        <v>9812.66</v>
      </c>
      <c r="H274" s="7">
        <f t="shared" si="27"/>
        <v>1.1888051219002835E-3</v>
      </c>
      <c r="I274" s="8">
        <f t="shared" si="29"/>
        <v>0.7599692289793033</v>
      </c>
      <c r="J274" s="3" t="s">
        <v>208</v>
      </c>
    </row>
    <row r="275" spans="1:10" x14ac:dyDescent="0.25">
      <c r="A275" s="3" t="s">
        <v>285</v>
      </c>
      <c r="B275" s="3" t="str">
        <f t="shared" si="24"/>
        <v>4</v>
      </c>
      <c r="C275" s="7">
        <f t="shared" si="25"/>
        <v>6.4432989690721648E-4</v>
      </c>
      <c r="D275" s="8">
        <f t="shared" si="28"/>
        <v>0.17654639175257683</v>
      </c>
      <c r="E275" s="4">
        <v>60</v>
      </c>
      <c r="F275" s="5">
        <v>162.99</v>
      </c>
      <c r="G275" s="10">
        <f t="shared" si="26"/>
        <v>9779.4000000000015</v>
      </c>
      <c r="H275" s="7">
        <f t="shared" si="27"/>
        <v>1.1847756682807347E-3</v>
      </c>
      <c r="I275" s="8">
        <f t="shared" si="29"/>
        <v>0.76115400464758398</v>
      </c>
      <c r="J275" s="3" t="s">
        <v>208</v>
      </c>
    </row>
    <row r="276" spans="1:10" x14ac:dyDescent="0.25">
      <c r="A276" s="3" t="s">
        <v>286</v>
      </c>
      <c r="B276" s="3" t="str">
        <f t="shared" si="24"/>
        <v>4</v>
      </c>
      <c r="C276" s="7">
        <f t="shared" si="25"/>
        <v>6.4432989690721648E-4</v>
      </c>
      <c r="D276" s="8">
        <f t="shared" si="28"/>
        <v>0.17719072164948405</v>
      </c>
      <c r="E276" s="4">
        <v>101</v>
      </c>
      <c r="F276" s="5">
        <v>95.97</v>
      </c>
      <c r="G276" s="10">
        <f t="shared" si="26"/>
        <v>9692.9699999999993</v>
      </c>
      <c r="H276" s="7">
        <f t="shared" si="27"/>
        <v>1.1743046617762962E-3</v>
      </c>
      <c r="I276" s="8">
        <f t="shared" si="29"/>
        <v>0.76232830930936024</v>
      </c>
      <c r="J276" s="3" t="s">
        <v>208</v>
      </c>
    </row>
    <row r="277" spans="1:10" x14ac:dyDescent="0.25">
      <c r="A277" s="3" t="s">
        <v>287</v>
      </c>
      <c r="B277" s="3" t="str">
        <f t="shared" si="24"/>
        <v>1</v>
      </c>
      <c r="C277" s="7">
        <f t="shared" si="25"/>
        <v>6.4432989690721648E-4</v>
      </c>
      <c r="D277" s="8">
        <f t="shared" si="28"/>
        <v>0.17783505154639126</v>
      </c>
      <c r="E277" s="4">
        <v>17</v>
      </c>
      <c r="F277" s="5">
        <v>569.85</v>
      </c>
      <c r="G277" s="10">
        <f t="shared" si="26"/>
        <v>9687.4500000000007</v>
      </c>
      <c r="H277" s="7">
        <f t="shared" si="27"/>
        <v>1.1736359130096123E-3</v>
      </c>
      <c r="I277" s="8">
        <f t="shared" si="29"/>
        <v>0.7635019452223698</v>
      </c>
      <c r="J277" s="3" t="s">
        <v>208</v>
      </c>
    </row>
    <row r="278" spans="1:10" x14ac:dyDescent="0.25">
      <c r="A278" s="3" t="s">
        <v>288</v>
      </c>
      <c r="B278" s="3" t="str">
        <f t="shared" si="24"/>
        <v>8</v>
      </c>
      <c r="C278" s="7">
        <f t="shared" si="25"/>
        <v>6.4432989690721648E-4</v>
      </c>
      <c r="D278" s="8">
        <f t="shared" si="28"/>
        <v>0.17847938144329847</v>
      </c>
      <c r="E278" s="4">
        <v>826</v>
      </c>
      <c r="F278" s="5">
        <v>11.71</v>
      </c>
      <c r="G278" s="10">
        <f t="shared" si="26"/>
        <v>9672.4600000000009</v>
      </c>
      <c r="H278" s="7">
        <f t="shared" si="27"/>
        <v>1.1718198724276208E-3</v>
      </c>
      <c r="I278" s="8">
        <f t="shared" si="29"/>
        <v>0.76467376509479745</v>
      </c>
      <c r="J278" s="3" t="s">
        <v>208</v>
      </c>
    </row>
    <row r="279" spans="1:10" x14ac:dyDescent="0.25">
      <c r="A279" s="3" t="s">
        <v>289</v>
      </c>
      <c r="B279" s="3" t="str">
        <f t="shared" si="24"/>
        <v>9</v>
      </c>
      <c r="C279" s="7">
        <f t="shared" si="25"/>
        <v>6.4432989690721648E-4</v>
      </c>
      <c r="D279" s="8">
        <f t="shared" si="28"/>
        <v>0.17912371134020569</v>
      </c>
      <c r="E279" s="4">
        <v>141</v>
      </c>
      <c r="F279" s="5">
        <v>68.290000000000006</v>
      </c>
      <c r="G279" s="10">
        <f t="shared" si="26"/>
        <v>9628.8900000000012</v>
      </c>
      <c r="H279" s="7">
        <f t="shared" si="27"/>
        <v>1.1665413608760952E-3</v>
      </c>
      <c r="I279" s="8">
        <f t="shared" si="29"/>
        <v>0.76584030645567358</v>
      </c>
      <c r="J279" s="3" t="s">
        <v>208</v>
      </c>
    </row>
    <row r="280" spans="1:10" x14ac:dyDescent="0.25">
      <c r="A280" s="3" t="s">
        <v>290</v>
      </c>
      <c r="B280" s="3" t="str">
        <f t="shared" si="24"/>
        <v>3</v>
      </c>
      <c r="C280" s="7">
        <f t="shared" si="25"/>
        <v>6.4432989690721648E-4</v>
      </c>
      <c r="D280" s="8">
        <f t="shared" si="28"/>
        <v>0.1797680412371129</v>
      </c>
      <c r="E280" s="4">
        <v>23</v>
      </c>
      <c r="F280" s="5">
        <v>414.38</v>
      </c>
      <c r="G280" s="10">
        <f t="shared" si="26"/>
        <v>9530.74</v>
      </c>
      <c r="H280" s="7">
        <f t="shared" si="27"/>
        <v>1.154650474743842E-3</v>
      </c>
      <c r="I280" s="8">
        <f t="shared" si="29"/>
        <v>0.76699495693041742</v>
      </c>
      <c r="J280" s="3" t="s">
        <v>208</v>
      </c>
    </row>
    <row r="281" spans="1:10" x14ac:dyDescent="0.25">
      <c r="A281" s="3" t="s">
        <v>291</v>
      </c>
      <c r="B281" s="3" t="str">
        <f t="shared" si="24"/>
        <v>8</v>
      </c>
      <c r="C281" s="7">
        <f t="shared" si="25"/>
        <v>6.4432989690721648E-4</v>
      </c>
      <c r="D281" s="8">
        <f t="shared" si="28"/>
        <v>0.18041237113402012</v>
      </c>
      <c r="E281" s="4">
        <v>215</v>
      </c>
      <c r="F281" s="5">
        <v>44.31</v>
      </c>
      <c r="G281" s="10">
        <f t="shared" si="26"/>
        <v>9526.65</v>
      </c>
      <c r="H281" s="7">
        <f t="shared" si="27"/>
        <v>1.1541549706757736E-3</v>
      </c>
      <c r="I281" s="8">
        <f t="shared" si="29"/>
        <v>0.76814911190109314</v>
      </c>
      <c r="J281" s="3" t="s">
        <v>208</v>
      </c>
    </row>
    <row r="282" spans="1:10" x14ac:dyDescent="0.25">
      <c r="A282" s="3" t="s">
        <v>292</v>
      </c>
      <c r="B282" s="3" t="str">
        <f t="shared" si="24"/>
        <v>1</v>
      </c>
      <c r="C282" s="7">
        <f t="shared" si="25"/>
        <v>6.4432989690721648E-4</v>
      </c>
      <c r="D282" s="8">
        <f t="shared" si="28"/>
        <v>0.18105670103092733</v>
      </c>
      <c r="E282" s="4">
        <v>25</v>
      </c>
      <c r="F282" s="5">
        <v>380.09</v>
      </c>
      <c r="G282" s="10">
        <f t="shared" si="26"/>
        <v>9502.25</v>
      </c>
      <c r="H282" s="7">
        <f t="shared" si="27"/>
        <v>1.1511989072868079E-3</v>
      </c>
      <c r="I282" s="8">
        <f t="shared" si="29"/>
        <v>0.76930031080837991</v>
      </c>
      <c r="J282" s="3" t="s">
        <v>208</v>
      </c>
    </row>
    <row r="283" spans="1:10" x14ac:dyDescent="0.25">
      <c r="A283" s="3" t="s">
        <v>293</v>
      </c>
      <c r="B283" s="3" t="str">
        <f t="shared" si="24"/>
        <v>3</v>
      </c>
      <c r="C283" s="7">
        <f t="shared" si="25"/>
        <v>6.4432989690721648E-4</v>
      </c>
      <c r="D283" s="8">
        <f t="shared" si="28"/>
        <v>0.18170103092783454</v>
      </c>
      <c r="E283" s="4">
        <v>12</v>
      </c>
      <c r="F283" s="5">
        <v>785.11</v>
      </c>
      <c r="G283" s="10">
        <f t="shared" si="26"/>
        <v>9421.32</v>
      </c>
      <c r="H283" s="7">
        <f t="shared" si="27"/>
        <v>1.1413942265462759E-3</v>
      </c>
      <c r="I283" s="8">
        <f t="shared" si="29"/>
        <v>0.77044170503492615</v>
      </c>
      <c r="J283" s="3" t="s">
        <v>208</v>
      </c>
    </row>
    <row r="284" spans="1:10" x14ac:dyDescent="0.25">
      <c r="A284" s="3" t="s">
        <v>294</v>
      </c>
      <c r="B284" s="3" t="str">
        <f t="shared" si="24"/>
        <v>8</v>
      </c>
      <c r="C284" s="7">
        <f t="shared" si="25"/>
        <v>6.4432989690721648E-4</v>
      </c>
      <c r="D284" s="8">
        <f t="shared" si="28"/>
        <v>0.18234536082474176</v>
      </c>
      <c r="E284" s="4">
        <v>384</v>
      </c>
      <c r="F284" s="5">
        <v>24.52</v>
      </c>
      <c r="G284" s="10">
        <f t="shared" si="26"/>
        <v>9415.68</v>
      </c>
      <c r="H284" s="7">
        <f t="shared" si="27"/>
        <v>1.1407109397629249E-3</v>
      </c>
      <c r="I284" s="8">
        <f t="shared" si="29"/>
        <v>0.77158241597468913</v>
      </c>
      <c r="J284" s="3" t="s">
        <v>208</v>
      </c>
    </row>
    <row r="285" spans="1:10" x14ac:dyDescent="0.25">
      <c r="A285" s="3" t="s">
        <v>295</v>
      </c>
      <c r="B285" s="3" t="str">
        <f t="shared" si="24"/>
        <v>3</v>
      </c>
      <c r="C285" s="7">
        <f t="shared" si="25"/>
        <v>6.4432989690721648E-4</v>
      </c>
      <c r="D285" s="8">
        <f t="shared" si="28"/>
        <v>0.18298969072164897</v>
      </c>
      <c r="E285" s="4">
        <v>54</v>
      </c>
      <c r="F285" s="5">
        <v>173.82</v>
      </c>
      <c r="G285" s="10">
        <f t="shared" si="26"/>
        <v>9386.2799999999988</v>
      </c>
      <c r="H285" s="7">
        <f t="shared" si="27"/>
        <v>1.137149125679499E-3</v>
      </c>
      <c r="I285" s="8">
        <f t="shared" si="29"/>
        <v>0.77271956510036865</v>
      </c>
      <c r="J285" s="3" t="s">
        <v>208</v>
      </c>
    </row>
    <row r="286" spans="1:10" x14ac:dyDescent="0.25">
      <c r="A286" s="3" t="s">
        <v>296</v>
      </c>
      <c r="B286" s="3" t="str">
        <f t="shared" si="24"/>
        <v>1</v>
      </c>
      <c r="C286" s="7">
        <f t="shared" si="25"/>
        <v>6.4432989690721648E-4</v>
      </c>
      <c r="D286" s="8">
        <f t="shared" si="28"/>
        <v>0.18363402061855619</v>
      </c>
      <c r="E286" s="4">
        <v>10</v>
      </c>
      <c r="F286" s="5">
        <v>923.06</v>
      </c>
      <c r="G286" s="10">
        <f t="shared" si="26"/>
        <v>9230.5999999999985</v>
      </c>
      <c r="H286" s="7">
        <f t="shared" si="27"/>
        <v>1.1182884720567874E-3</v>
      </c>
      <c r="I286" s="8">
        <f t="shared" si="29"/>
        <v>0.7738378535724254</v>
      </c>
      <c r="J286" s="3" t="s">
        <v>208</v>
      </c>
    </row>
    <row r="287" spans="1:10" x14ac:dyDescent="0.25">
      <c r="A287" s="3" t="s">
        <v>297</v>
      </c>
      <c r="B287" s="3" t="str">
        <f t="shared" si="24"/>
        <v>1</v>
      </c>
      <c r="C287" s="7">
        <f t="shared" si="25"/>
        <v>6.4432989690721648E-4</v>
      </c>
      <c r="D287" s="8">
        <f t="shared" si="28"/>
        <v>0.1842783505154634</v>
      </c>
      <c r="E287" s="4">
        <v>10</v>
      </c>
      <c r="F287" s="5">
        <v>916.11</v>
      </c>
      <c r="G287" s="10">
        <f t="shared" si="26"/>
        <v>9161.1</v>
      </c>
      <c r="H287" s="7">
        <f t="shared" si="27"/>
        <v>1.1098685374037914E-3</v>
      </c>
      <c r="I287" s="8">
        <f t="shared" si="29"/>
        <v>0.77494772210982921</v>
      </c>
      <c r="J287" s="3" t="s">
        <v>208</v>
      </c>
    </row>
    <row r="288" spans="1:10" x14ac:dyDescent="0.25">
      <c r="A288" s="3" t="s">
        <v>298</v>
      </c>
      <c r="B288" s="3" t="str">
        <f t="shared" si="24"/>
        <v>9</v>
      </c>
      <c r="C288" s="7">
        <f t="shared" si="25"/>
        <v>6.4432989690721648E-4</v>
      </c>
      <c r="D288" s="8">
        <f t="shared" si="28"/>
        <v>0.18492268041237062</v>
      </c>
      <c r="E288" s="4">
        <v>278</v>
      </c>
      <c r="F288" s="5">
        <v>32.909999999999997</v>
      </c>
      <c r="G288" s="10">
        <f t="shared" si="26"/>
        <v>9148.98</v>
      </c>
      <c r="H288" s="7">
        <f t="shared" si="27"/>
        <v>1.10840019772042E-3</v>
      </c>
      <c r="I288" s="8">
        <f t="shared" si="29"/>
        <v>0.77605612230754961</v>
      </c>
      <c r="J288" s="3" t="s">
        <v>208</v>
      </c>
    </row>
    <row r="289" spans="1:10" x14ac:dyDescent="0.25">
      <c r="A289" s="3" t="s">
        <v>299</v>
      </c>
      <c r="B289" s="3" t="str">
        <f t="shared" si="24"/>
        <v>9</v>
      </c>
      <c r="C289" s="7">
        <f t="shared" si="25"/>
        <v>6.4432989690721648E-4</v>
      </c>
      <c r="D289" s="8">
        <f t="shared" si="28"/>
        <v>0.18556701030927783</v>
      </c>
      <c r="E289" s="4">
        <v>34</v>
      </c>
      <c r="F289" s="5">
        <v>262.11</v>
      </c>
      <c r="G289" s="10">
        <f t="shared" si="26"/>
        <v>8911.74</v>
      </c>
      <c r="H289" s="7">
        <f t="shared" si="27"/>
        <v>1.0796585387696743E-3</v>
      </c>
      <c r="I289" s="8">
        <f t="shared" si="29"/>
        <v>0.77713578084631929</v>
      </c>
      <c r="J289" s="3" t="s">
        <v>208</v>
      </c>
    </row>
    <row r="290" spans="1:10" x14ac:dyDescent="0.25">
      <c r="A290" s="3" t="s">
        <v>300</v>
      </c>
      <c r="B290" s="3" t="str">
        <f t="shared" si="24"/>
        <v>1</v>
      </c>
      <c r="C290" s="7">
        <f t="shared" si="25"/>
        <v>6.4432989690721648E-4</v>
      </c>
      <c r="D290" s="8">
        <f t="shared" si="28"/>
        <v>0.18621134020618504</v>
      </c>
      <c r="E290" s="4">
        <v>21</v>
      </c>
      <c r="F290" s="5">
        <v>419.29</v>
      </c>
      <c r="G290" s="10">
        <f t="shared" si="26"/>
        <v>8805.09</v>
      </c>
      <c r="H290" s="7">
        <f t="shared" si="27"/>
        <v>1.0667378764568393E-3</v>
      </c>
      <c r="I290" s="8">
        <f t="shared" si="29"/>
        <v>0.77820251872277613</v>
      </c>
      <c r="J290" s="3" t="s">
        <v>208</v>
      </c>
    </row>
    <row r="291" spans="1:10" x14ac:dyDescent="0.25">
      <c r="A291" s="3" t="s">
        <v>301</v>
      </c>
      <c r="B291" s="3" t="str">
        <f t="shared" si="24"/>
        <v>2</v>
      </c>
      <c r="C291" s="7">
        <f t="shared" si="25"/>
        <v>6.4432989690721648E-4</v>
      </c>
      <c r="D291" s="8">
        <f t="shared" si="28"/>
        <v>0.18685567010309226</v>
      </c>
      <c r="E291" s="4">
        <v>523</v>
      </c>
      <c r="F291" s="5">
        <v>16.82</v>
      </c>
      <c r="G291" s="10">
        <f t="shared" si="26"/>
        <v>8796.86</v>
      </c>
      <c r="H291" s="7">
        <f t="shared" si="27"/>
        <v>1.0657408108137578E-3</v>
      </c>
      <c r="I291" s="8">
        <f t="shared" si="29"/>
        <v>0.77926825953358991</v>
      </c>
      <c r="J291" s="3" t="s">
        <v>208</v>
      </c>
    </row>
    <row r="292" spans="1:10" x14ac:dyDescent="0.25">
      <c r="A292" s="3" t="s">
        <v>302</v>
      </c>
      <c r="B292" s="3" t="str">
        <f t="shared" si="24"/>
        <v>5</v>
      </c>
      <c r="C292" s="7">
        <f t="shared" si="25"/>
        <v>6.4432989690721648E-4</v>
      </c>
      <c r="D292" s="8">
        <f t="shared" si="28"/>
        <v>0.18749999999999947</v>
      </c>
      <c r="E292" s="4">
        <v>41</v>
      </c>
      <c r="F292" s="5">
        <v>205.31</v>
      </c>
      <c r="G292" s="10">
        <f t="shared" si="26"/>
        <v>8417.7100000000009</v>
      </c>
      <c r="H292" s="7">
        <f t="shared" si="27"/>
        <v>1.019806735652844E-3</v>
      </c>
      <c r="I292" s="8">
        <f t="shared" si="29"/>
        <v>0.78028806626924274</v>
      </c>
      <c r="J292" s="3" t="s">
        <v>208</v>
      </c>
    </row>
    <row r="293" spans="1:10" x14ac:dyDescent="0.25">
      <c r="A293" s="3" t="s">
        <v>303</v>
      </c>
      <c r="B293" s="3" t="str">
        <f t="shared" si="24"/>
        <v>9</v>
      </c>
      <c r="C293" s="7">
        <f t="shared" si="25"/>
        <v>6.4432989690721648E-4</v>
      </c>
      <c r="D293" s="8">
        <f t="shared" si="28"/>
        <v>0.18814432989690669</v>
      </c>
      <c r="E293" s="4">
        <v>146</v>
      </c>
      <c r="F293" s="5">
        <v>57.5</v>
      </c>
      <c r="G293" s="10">
        <f t="shared" si="26"/>
        <v>8395</v>
      </c>
      <c r="H293" s="7">
        <f t="shared" si="27"/>
        <v>1.017055415998606E-3</v>
      </c>
      <c r="I293" s="8">
        <f t="shared" si="29"/>
        <v>0.78130512168524135</v>
      </c>
      <c r="J293" s="3" t="s">
        <v>208</v>
      </c>
    </row>
    <row r="294" spans="1:10" x14ac:dyDescent="0.25">
      <c r="A294" s="3" t="s">
        <v>304</v>
      </c>
      <c r="B294" s="3" t="str">
        <f t="shared" si="24"/>
        <v>9</v>
      </c>
      <c r="C294" s="7">
        <f t="shared" si="25"/>
        <v>6.4432989690721648E-4</v>
      </c>
      <c r="D294" s="8">
        <f t="shared" si="28"/>
        <v>0.1887886597938139</v>
      </c>
      <c r="E294" s="4">
        <v>41</v>
      </c>
      <c r="F294" s="5">
        <v>203.42</v>
      </c>
      <c r="G294" s="10">
        <f t="shared" si="26"/>
        <v>8340.2199999999993</v>
      </c>
      <c r="H294" s="7">
        <f t="shared" si="27"/>
        <v>1.0104188113901004E-3</v>
      </c>
      <c r="I294" s="8">
        <f t="shared" si="29"/>
        <v>0.78231554049663143</v>
      </c>
      <c r="J294" s="3" t="s">
        <v>208</v>
      </c>
    </row>
    <row r="295" spans="1:10" x14ac:dyDescent="0.25">
      <c r="A295" s="3" t="s">
        <v>305</v>
      </c>
      <c r="B295" s="3" t="str">
        <f t="shared" si="24"/>
        <v>6</v>
      </c>
      <c r="C295" s="7">
        <f t="shared" si="25"/>
        <v>6.4432989690721648E-4</v>
      </c>
      <c r="D295" s="8">
        <f t="shared" si="28"/>
        <v>0.18943298969072112</v>
      </c>
      <c r="E295" s="4">
        <v>291</v>
      </c>
      <c r="F295" s="5">
        <v>28.54</v>
      </c>
      <c r="G295" s="10">
        <f t="shared" si="26"/>
        <v>8305.14</v>
      </c>
      <c r="H295" s="7">
        <f t="shared" si="27"/>
        <v>1.0061688645177679E-3</v>
      </c>
      <c r="I295" s="8">
        <f t="shared" si="29"/>
        <v>0.7833217093611492</v>
      </c>
      <c r="J295" s="3" t="s">
        <v>208</v>
      </c>
    </row>
    <row r="296" spans="1:10" x14ac:dyDescent="0.25">
      <c r="A296" s="3" t="s">
        <v>306</v>
      </c>
      <c r="B296" s="3" t="str">
        <f t="shared" si="24"/>
        <v>8</v>
      </c>
      <c r="C296" s="7">
        <f t="shared" si="25"/>
        <v>6.4432989690721648E-4</v>
      </c>
      <c r="D296" s="8">
        <f t="shared" si="28"/>
        <v>0.19007731958762833</v>
      </c>
      <c r="E296" s="4">
        <v>246</v>
      </c>
      <c r="F296" s="5">
        <v>33.380000000000003</v>
      </c>
      <c r="G296" s="10">
        <f t="shared" si="26"/>
        <v>8211.4800000000014</v>
      </c>
      <c r="H296" s="7">
        <f t="shared" si="27"/>
        <v>9.9482194250914051E-4</v>
      </c>
      <c r="I296" s="8">
        <f t="shared" si="29"/>
        <v>0.7843165313036583</v>
      </c>
      <c r="J296" s="3" t="s">
        <v>208</v>
      </c>
    </row>
    <row r="297" spans="1:10" x14ac:dyDescent="0.25">
      <c r="A297" s="3" t="s">
        <v>307</v>
      </c>
      <c r="B297" s="3" t="str">
        <f t="shared" si="24"/>
        <v>9</v>
      </c>
      <c r="C297" s="7">
        <f t="shared" si="25"/>
        <v>6.4432989690721648E-4</v>
      </c>
      <c r="D297" s="8">
        <f t="shared" si="28"/>
        <v>0.19072164948453554</v>
      </c>
      <c r="E297" s="4">
        <v>25</v>
      </c>
      <c r="F297" s="5">
        <v>327.33</v>
      </c>
      <c r="G297" s="10">
        <f t="shared" si="26"/>
        <v>8183.25</v>
      </c>
      <c r="H297" s="7">
        <f t="shared" si="27"/>
        <v>9.914018740882183E-4</v>
      </c>
      <c r="I297" s="8">
        <f t="shared" si="29"/>
        <v>0.7853079331777465</v>
      </c>
      <c r="J297" s="3" t="s">
        <v>208</v>
      </c>
    </row>
    <row r="298" spans="1:10" x14ac:dyDescent="0.25">
      <c r="A298" s="3" t="s">
        <v>308</v>
      </c>
      <c r="B298" s="3" t="str">
        <f t="shared" si="24"/>
        <v>1</v>
      </c>
      <c r="C298" s="7">
        <f t="shared" si="25"/>
        <v>6.4432989690721648E-4</v>
      </c>
      <c r="D298" s="8">
        <f t="shared" si="28"/>
        <v>0.19136597938144276</v>
      </c>
      <c r="E298" s="4">
        <v>25</v>
      </c>
      <c r="F298" s="5">
        <v>324.7</v>
      </c>
      <c r="G298" s="10">
        <f t="shared" si="26"/>
        <v>8117.5</v>
      </c>
      <c r="H298" s="7">
        <f t="shared" si="27"/>
        <v>9.8343625245606719E-4</v>
      </c>
      <c r="I298" s="8">
        <f t="shared" si="29"/>
        <v>0.78629136943020261</v>
      </c>
      <c r="J298" s="3" t="s">
        <v>208</v>
      </c>
    </row>
    <row r="299" spans="1:10" x14ac:dyDescent="0.25">
      <c r="A299" s="3" t="s">
        <v>309</v>
      </c>
      <c r="B299" s="3" t="str">
        <f t="shared" si="24"/>
        <v>2</v>
      </c>
      <c r="C299" s="7">
        <f t="shared" si="25"/>
        <v>6.4432989690721648E-4</v>
      </c>
      <c r="D299" s="8">
        <f t="shared" si="28"/>
        <v>0.19201030927834997</v>
      </c>
      <c r="E299" s="4">
        <v>153</v>
      </c>
      <c r="F299" s="5">
        <v>52.6</v>
      </c>
      <c r="G299" s="10">
        <f t="shared" si="26"/>
        <v>8047.8</v>
      </c>
      <c r="H299" s="7">
        <f t="shared" si="27"/>
        <v>9.7499208777529261E-4</v>
      </c>
      <c r="I299" s="8">
        <f t="shared" si="29"/>
        <v>0.78726636151797791</v>
      </c>
      <c r="J299" s="3" t="s">
        <v>208</v>
      </c>
    </row>
    <row r="300" spans="1:10" x14ac:dyDescent="0.25">
      <c r="A300" s="3" t="s">
        <v>310</v>
      </c>
      <c r="B300" s="3" t="str">
        <f t="shared" si="24"/>
        <v>8</v>
      </c>
      <c r="C300" s="7">
        <f t="shared" si="25"/>
        <v>6.4432989690721648E-4</v>
      </c>
      <c r="D300" s="8">
        <f t="shared" si="28"/>
        <v>0.19265463917525719</v>
      </c>
      <c r="E300" s="4">
        <v>508</v>
      </c>
      <c r="F300" s="5">
        <v>15.83</v>
      </c>
      <c r="G300" s="10">
        <f t="shared" si="26"/>
        <v>8041.64</v>
      </c>
      <c r="H300" s="7">
        <f t="shared" si="27"/>
        <v>9.7424580291971769E-4</v>
      </c>
      <c r="I300" s="8">
        <f t="shared" si="29"/>
        <v>0.78824060732089762</v>
      </c>
      <c r="J300" s="3" t="s">
        <v>208</v>
      </c>
    </row>
    <row r="301" spans="1:10" x14ac:dyDescent="0.25">
      <c r="A301" s="3" t="s">
        <v>311</v>
      </c>
      <c r="B301" s="3" t="str">
        <f t="shared" si="24"/>
        <v>4</v>
      </c>
      <c r="C301" s="7">
        <f t="shared" si="25"/>
        <v>6.4432989690721648E-4</v>
      </c>
      <c r="D301" s="8">
        <f t="shared" si="28"/>
        <v>0.1932989690721644</v>
      </c>
      <c r="E301" s="4">
        <v>21</v>
      </c>
      <c r="F301" s="5">
        <v>382.04</v>
      </c>
      <c r="G301" s="10">
        <f t="shared" si="26"/>
        <v>8022.84</v>
      </c>
      <c r="H301" s="7">
        <f t="shared" si="27"/>
        <v>9.7196818030854742E-4</v>
      </c>
      <c r="I301" s="8">
        <f t="shared" si="29"/>
        <v>0.78921257550120616</v>
      </c>
      <c r="J301" s="3" t="s">
        <v>208</v>
      </c>
    </row>
    <row r="302" spans="1:10" x14ac:dyDescent="0.25">
      <c r="A302" s="3" t="s">
        <v>312</v>
      </c>
      <c r="B302" s="3" t="str">
        <f t="shared" si="24"/>
        <v>8</v>
      </c>
      <c r="C302" s="7">
        <f t="shared" si="25"/>
        <v>6.4432989690721648E-4</v>
      </c>
      <c r="D302" s="8">
        <f t="shared" si="28"/>
        <v>0.19394329896907161</v>
      </c>
      <c r="E302" s="4">
        <v>119</v>
      </c>
      <c r="F302" s="5">
        <v>67.290000000000006</v>
      </c>
      <c r="G302" s="10">
        <f t="shared" si="26"/>
        <v>8007.5100000000011</v>
      </c>
      <c r="H302" s="7">
        <f t="shared" si="27"/>
        <v>9.7011094867933273E-4</v>
      </c>
      <c r="I302" s="8">
        <f t="shared" si="29"/>
        <v>0.79018268644988554</v>
      </c>
      <c r="J302" s="3" t="s">
        <v>208</v>
      </c>
    </row>
    <row r="303" spans="1:10" x14ac:dyDescent="0.25">
      <c r="A303" s="3" t="s">
        <v>313</v>
      </c>
      <c r="B303" s="3" t="str">
        <f t="shared" si="24"/>
        <v>8</v>
      </c>
      <c r="C303" s="7">
        <f t="shared" si="25"/>
        <v>6.4432989690721648E-4</v>
      </c>
      <c r="D303" s="8">
        <f t="shared" si="28"/>
        <v>0.19458762886597883</v>
      </c>
      <c r="E303" s="4">
        <v>235</v>
      </c>
      <c r="F303" s="5">
        <v>33.46</v>
      </c>
      <c r="G303" s="10">
        <f t="shared" si="26"/>
        <v>7863.1</v>
      </c>
      <c r="H303" s="7">
        <f t="shared" si="27"/>
        <v>9.5261565712193431E-4</v>
      </c>
      <c r="I303" s="8">
        <f t="shared" si="29"/>
        <v>0.79113530210700744</v>
      </c>
      <c r="J303" s="3" t="s">
        <v>208</v>
      </c>
    </row>
    <row r="304" spans="1:10" x14ac:dyDescent="0.25">
      <c r="A304" s="3" t="s">
        <v>314</v>
      </c>
      <c r="B304" s="3" t="str">
        <f t="shared" si="24"/>
        <v>5</v>
      </c>
      <c r="C304" s="7">
        <f t="shared" si="25"/>
        <v>6.4432989690721648E-4</v>
      </c>
      <c r="D304" s="8">
        <f t="shared" si="28"/>
        <v>0.19523195876288604</v>
      </c>
      <c r="E304" s="4">
        <v>45</v>
      </c>
      <c r="F304" s="5">
        <v>174.53</v>
      </c>
      <c r="G304" s="10">
        <f t="shared" si="26"/>
        <v>7853.85</v>
      </c>
      <c r="H304" s="7">
        <f t="shared" si="27"/>
        <v>9.5149501833718302E-4</v>
      </c>
      <c r="I304" s="8">
        <f t="shared" si="29"/>
        <v>0.79208679712534458</v>
      </c>
      <c r="J304" s="3" t="s">
        <v>208</v>
      </c>
    </row>
    <row r="305" spans="1:10" x14ac:dyDescent="0.25">
      <c r="A305" s="3" t="s">
        <v>315</v>
      </c>
      <c r="B305" s="3" t="str">
        <f t="shared" si="24"/>
        <v>7</v>
      </c>
      <c r="C305" s="7">
        <f t="shared" si="25"/>
        <v>6.4432989690721648E-4</v>
      </c>
      <c r="D305" s="8">
        <f t="shared" si="28"/>
        <v>0.19587628865979326</v>
      </c>
      <c r="E305" s="4">
        <v>143</v>
      </c>
      <c r="F305" s="5">
        <v>53.96</v>
      </c>
      <c r="G305" s="10">
        <f t="shared" si="26"/>
        <v>7716.28</v>
      </c>
      <c r="H305" s="7">
        <f t="shared" si="27"/>
        <v>9.3482839372980621E-4</v>
      </c>
      <c r="I305" s="8">
        <f t="shared" si="29"/>
        <v>0.7930216255190744</v>
      </c>
      <c r="J305" s="3" t="s">
        <v>208</v>
      </c>
    </row>
    <row r="306" spans="1:10" x14ac:dyDescent="0.25">
      <c r="A306" s="3" t="s">
        <v>316</v>
      </c>
      <c r="B306" s="3" t="str">
        <f t="shared" si="24"/>
        <v>8</v>
      </c>
      <c r="C306" s="7">
        <f t="shared" si="25"/>
        <v>6.4432989690721648E-4</v>
      </c>
      <c r="D306" s="8">
        <f t="shared" si="28"/>
        <v>0.19652061855670047</v>
      </c>
      <c r="E306" s="4">
        <v>895</v>
      </c>
      <c r="F306" s="5">
        <v>8.61</v>
      </c>
      <c r="G306" s="10">
        <f t="shared" si="26"/>
        <v>7705.95</v>
      </c>
      <c r="H306" s="7">
        <f t="shared" si="27"/>
        <v>9.3357691279505155E-4</v>
      </c>
      <c r="I306" s="8">
        <f t="shared" si="29"/>
        <v>0.79395520243186946</v>
      </c>
      <c r="J306" s="3" t="s">
        <v>208</v>
      </c>
    </row>
    <row r="307" spans="1:10" x14ac:dyDescent="0.25">
      <c r="A307" s="3" t="s">
        <v>317</v>
      </c>
      <c r="B307" s="3" t="str">
        <f t="shared" si="24"/>
        <v>6</v>
      </c>
      <c r="C307" s="7">
        <f t="shared" si="25"/>
        <v>6.4432989690721648E-4</v>
      </c>
      <c r="D307" s="8">
        <f t="shared" si="28"/>
        <v>0.19716494845360769</v>
      </c>
      <c r="E307" s="4">
        <v>96</v>
      </c>
      <c r="F307" s="5">
        <v>79.89</v>
      </c>
      <c r="G307" s="10">
        <f t="shared" si="26"/>
        <v>7669.4400000000005</v>
      </c>
      <c r="H307" s="7">
        <f t="shared" si="27"/>
        <v>9.291537212241035E-4</v>
      </c>
      <c r="I307" s="8">
        <f t="shared" si="29"/>
        <v>0.79488435615309361</v>
      </c>
      <c r="J307" s="3" t="s">
        <v>208</v>
      </c>
    </row>
    <row r="308" spans="1:10" x14ac:dyDescent="0.25">
      <c r="A308" s="3" t="s">
        <v>318</v>
      </c>
      <c r="B308" s="3" t="str">
        <f t="shared" si="24"/>
        <v>5</v>
      </c>
      <c r="C308" s="7">
        <f t="shared" si="25"/>
        <v>6.4432989690721648E-4</v>
      </c>
      <c r="D308" s="8">
        <f t="shared" si="28"/>
        <v>0.1978092783505149</v>
      </c>
      <c r="E308" s="4">
        <v>27</v>
      </c>
      <c r="F308" s="5">
        <v>283.63</v>
      </c>
      <c r="G308" s="10">
        <f t="shared" si="26"/>
        <v>7658.01</v>
      </c>
      <c r="H308" s="7">
        <f t="shared" si="27"/>
        <v>9.2776897513656756E-4</v>
      </c>
      <c r="I308" s="8">
        <f t="shared" si="29"/>
        <v>0.79581212512823019</v>
      </c>
      <c r="J308" s="3" t="s">
        <v>208</v>
      </c>
    </row>
    <row r="309" spans="1:10" x14ac:dyDescent="0.25">
      <c r="A309" s="3" t="s">
        <v>319</v>
      </c>
      <c r="B309" s="3" t="str">
        <f t="shared" si="24"/>
        <v>8</v>
      </c>
      <c r="C309" s="7">
        <f t="shared" si="25"/>
        <v>6.4432989690721648E-4</v>
      </c>
      <c r="D309" s="8">
        <f t="shared" si="28"/>
        <v>0.19845360824742211</v>
      </c>
      <c r="E309" s="4">
        <v>148</v>
      </c>
      <c r="F309" s="5">
        <v>51.63</v>
      </c>
      <c r="G309" s="10">
        <f t="shared" si="26"/>
        <v>7641.2400000000007</v>
      </c>
      <c r="H309" s="7">
        <f t="shared" si="27"/>
        <v>9.257372873073482E-4</v>
      </c>
      <c r="I309" s="8">
        <f t="shared" si="29"/>
        <v>0.79673786241553757</v>
      </c>
      <c r="J309" s="3" t="s">
        <v>208</v>
      </c>
    </row>
    <row r="310" spans="1:10" x14ac:dyDescent="0.25">
      <c r="A310" s="3" t="s">
        <v>320</v>
      </c>
      <c r="B310" s="3" t="str">
        <f t="shared" si="24"/>
        <v>7</v>
      </c>
      <c r="C310" s="7">
        <f t="shared" si="25"/>
        <v>6.4432989690721648E-4</v>
      </c>
      <c r="D310" s="8">
        <f t="shared" si="28"/>
        <v>0.19909793814432933</v>
      </c>
      <c r="E310" s="4">
        <v>70</v>
      </c>
      <c r="F310" s="5">
        <v>108.94</v>
      </c>
      <c r="G310" s="10">
        <f t="shared" si="26"/>
        <v>7625.8</v>
      </c>
      <c r="H310" s="7">
        <f t="shared" si="27"/>
        <v>9.2386672916285517E-4</v>
      </c>
      <c r="I310" s="8">
        <f t="shared" si="29"/>
        <v>0.79766172914470046</v>
      </c>
      <c r="J310" s="3" t="s">
        <v>208</v>
      </c>
    </row>
    <row r="311" spans="1:10" x14ac:dyDescent="0.25">
      <c r="A311" s="3" t="s">
        <v>321</v>
      </c>
      <c r="B311" s="3" t="str">
        <f t="shared" si="24"/>
        <v>9</v>
      </c>
      <c r="C311" s="7">
        <f t="shared" si="25"/>
        <v>6.4432989690721648E-4</v>
      </c>
      <c r="D311" s="8">
        <f t="shared" si="28"/>
        <v>0.19974226804123654</v>
      </c>
      <c r="E311" s="4">
        <v>18</v>
      </c>
      <c r="F311" s="5">
        <v>418.86</v>
      </c>
      <c r="G311" s="10">
        <f t="shared" si="26"/>
        <v>7539.4800000000005</v>
      </c>
      <c r="H311" s="7">
        <f t="shared" si="27"/>
        <v>9.1340904917369507E-4</v>
      </c>
      <c r="I311" s="8">
        <f t="shared" si="29"/>
        <v>0.79857513819387416</v>
      </c>
      <c r="J311" s="3" t="s">
        <v>208</v>
      </c>
    </row>
    <row r="312" spans="1:10" x14ac:dyDescent="0.25">
      <c r="A312" s="3" t="s">
        <v>322</v>
      </c>
      <c r="B312" s="3" t="str">
        <f t="shared" si="24"/>
        <v>1</v>
      </c>
      <c r="C312" s="7">
        <f t="shared" si="25"/>
        <v>6.4432989690721648E-4</v>
      </c>
      <c r="D312" s="8">
        <f t="shared" si="28"/>
        <v>0.20038659793814376</v>
      </c>
      <c r="E312" s="4">
        <v>12</v>
      </c>
      <c r="F312" s="5">
        <v>613.39</v>
      </c>
      <c r="G312" s="10">
        <f t="shared" si="26"/>
        <v>7360.68</v>
      </c>
      <c r="H312" s="7">
        <f t="shared" si="27"/>
        <v>8.9174740433979973E-4</v>
      </c>
      <c r="I312" s="8">
        <f t="shared" si="29"/>
        <v>0.79946688559821399</v>
      </c>
      <c r="J312" s="3" t="s">
        <v>208</v>
      </c>
    </row>
    <row r="313" spans="1:10" x14ac:dyDescent="0.25">
      <c r="A313" s="3" t="s">
        <v>323</v>
      </c>
      <c r="B313" s="3" t="str">
        <f t="shared" si="24"/>
        <v>1</v>
      </c>
      <c r="C313" s="7">
        <f t="shared" si="25"/>
        <v>6.4432989690721648E-4</v>
      </c>
      <c r="D313" s="8">
        <f t="shared" si="28"/>
        <v>0.20103092783505097</v>
      </c>
      <c r="E313" s="4">
        <v>22</v>
      </c>
      <c r="F313" s="5">
        <v>332.82</v>
      </c>
      <c r="G313" s="10">
        <f t="shared" si="26"/>
        <v>7322.04</v>
      </c>
      <c r="H313" s="7">
        <f t="shared" si="27"/>
        <v>8.8706616297301165E-4</v>
      </c>
      <c r="I313" s="8">
        <f t="shared" si="29"/>
        <v>0.80035395176118695</v>
      </c>
      <c r="J313" s="3" t="s">
        <v>208</v>
      </c>
    </row>
    <row r="314" spans="1:10" x14ac:dyDescent="0.25">
      <c r="A314" s="3" t="s">
        <v>324</v>
      </c>
      <c r="B314" s="3" t="str">
        <f t="shared" si="24"/>
        <v>7</v>
      </c>
      <c r="C314" s="7">
        <f t="shared" si="25"/>
        <v>6.4432989690721648E-4</v>
      </c>
      <c r="D314" s="8">
        <f t="shared" si="28"/>
        <v>0.20167525773195819</v>
      </c>
      <c r="E314" s="4">
        <v>294</v>
      </c>
      <c r="F314" s="5">
        <v>24.74</v>
      </c>
      <c r="G314" s="10">
        <f t="shared" si="26"/>
        <v>7273.5599999999995</v>
      </c>
      <c r="H314" s="7">
        <f t="shared" si="27"/>
        <v>8.8119280423952593E-4</v>
      </c>
      <c r="I314" s="8">
        <f t="shared" si="29"/>
        <v>0.80123514456542644</v>
      </c>
      <c r="J314" s="3" t="s">
        <v>208</v>
      </c>
    </row>
    <row r="315" spans="1:10" x14ac:dyDescent="0.25">
      <c r="A315" s="3" t="s">
        <v>325</v>
      </c>
      <c r="B315" s="3" t="str">
        <f t="shared" si="24"/>
        <v>3</v>
      </c>
      <c r="C315" s="7">
        <f t="shared" si="25"/>
        <v>6.4432989690721648E-4</v>
      </c>
      <c r="D315" s="8">
        <f t="shared" si="28"/>
        <v>0.2023195876288654</v>
      </c>
      <c r="E315" s="4">
        <v>8</v>
      </c>
      <c r="F315" s="5">
        <v>908.34</v>
      </c>
      <c r="G315" s="10">
        <f t="shared" si="26"/>
        <v>7266.72</v>
      </c>
      <c r="H315" s="7">
        <f t="shared" si="27"/>
        <v>8.8036413728950443E-4</v>
      </c>
      <c r="I315" s="8">
        <f t="shared" si="29"/>
        <v>0.80211550870271597</v>
      </c>
      <c r="J315" s="3" t="s">
        <v>208</v>
      </c>
    </row>
    <row r="316" spans="1:10" x14ac:dyDescent="0.25">
      <c r="A316" s="3" t="s">
        <v>326</v>
      </c>
      <c r="B316" s="3" t="str">
        <f t="shared" si="24"/>
        <v>9</v>
      </c>
      <c r="C316" s="7">
        <f t="shared" si="25"/>
        <v>6.4432989690721648E-4</v>
      </c>
      <c r="D316" s="8">
        <f t="shared" si="28"/>
        <v>0.20296391752577261</v>
      </c>
      <c r="E316" s="4">
        <v>24</v>
      </c>
      <c r="F316" s="5">
        <v>302.45</v>
      </c>
      <c r="G316" s="10">
        <f t="shared" si="26"/>
        <v>7258.7999999999993</v>
      </c>
      <c r="H316" s="7">
        <f t="shared" si="27"/>
        <v>8.7940462818947946E-4</v>
      </c>
      <c r="I316" s="8">
        <f t="shared" si="29"/>
        <v>0.80299491333090545</v>
      </c>
      <c r="J316" s="3" t="s">
        <v>208</v>
      </c>
    </row>
    <row r="317" spans="1:10" x14ac:dyDescent="0.25">
      <c r="A317" s="3" t="s">
        <v>327</v>
      </c>
      <c r="B317" s="3" t="str">
        <f t="shared" si="24"/>
        <v>9</v>
      </c>
      <c r="C317" s="7">
        <f t="shared" si="25"/>
        <v>6.4432989690721648E-4</v>
      </c>
      <c r="D317" s="8">
        <f t="shared" si="28"/>
        <v>0.20360824742267983</v>
      </c>
      <c r="E317" s="4">
        <v>71</v>
      </c>
      <c r="F317" s="5">
        <v>100.97</v>
      </c>
      <c r="G317" s="10">
        <f t="shared" si="26"/>
        <v>7168.87</v>
      </c>
      <c r="H317" s="7">
        <f t="shared" si="27"/>
        <v>8.6850959619891917E-4</v>
      </c>
      <c r="I317" s="8">
        <f t="shared" si="29"/>
        <v>0.80386342292710433</v>
      </c>
      <c r="J317" s="3" t="s">
        <v>208</v>
      </c>
    </row>
    <row r="318" spans="1:10" x14ac:dyDescent="0.25">
      <c r="A318" s="3" t="s">
        <v>328</v>
      </c>
      <c r="B318" s="3" t="str">
        <f t="shared" si="24"/>
        <v>1</v>
      </c>
      <c r="C318" s="7">
        <f t="shared" si="25"/>
        <v>6.4432989690721648E-4</v>
      </c>
      <c r="D318" s="8">
        <f t="shared" si="28"/>
        <v>0.20425257731958704</v>
      </c>
      <c r="E318" s="4">
        <v>11</v>
      </c>
      <c r="F318" s="5">
        <v>644.41</v>
      </c>
      <c r="G318" s="10">
        <f t="shared" si="26"/>
        <v>7088.5099999999993</v>
      </c>
      <c r="H318" s="7">
        <f t="shared" si="27"/>
        <v>8.5877397103755544E-4</v>
      </c>
      <c r="I318" s="8">
        <f t="shared" si="29"/>
        <v>0.80472219689814184</v>
      </c>
      <c r="J318" s="3" t="s">
        <v>208</v>
      </c>
    </row>
    <row r="319" spans="1:10" x14ac:dyDescent="0.25">
      <c r="A319" s="3" t="s">
        <v>329</v>
      </c>
      <c r="B319" s="3" t="str">
        <f t="shared" si="24"/>
        <v>1</v>
      </c>
      <c r="C319" s="7">
        <f t="shared" si="25"/>
        <v>6.4432989690721648E-4</v>
      </c>
      <c r="D319" s="8">
        <f t="shared" si="28"/>
        <v>0.20489690721649426</v>
      </c>
      <c r="E319" s="4">
        <v>28</v>
      </c>
      <c r="F319" s="5">
        <v>252.39</v>
      </c>
      <c r="G319" s="10">
        <f t="shared" si="26"/>
        <v>7066.92</v>
      </c>
      <c r="H319" s="7">
        <f t="shared" si="27"/>
        <v>8.5615833953887649E-4</v>
      </c>
      <c r="I319" s="8">
        <f t="shared" si="29"/>
        <v>0.80557835523768073</v>
      </c>
      <c r="J319" s="3" t="s">
        <v>208</v>
      </c>
    </row>
    <row r="320" spans="1:10" x14ac:dyDescent="0.25">
      <c r="A320" s="3" t="s">
        <v>330</v>
      </c>
      <c r="B320" s="3" t="str">
        <f t="shared" si="24"/>
        <v>1</v>
      </c>
      <c r="C320" s="7">
        <f t="shared" si="25"/>
        <v>6.4432989690721648E-4</v>
      </c>
      <c r="D320" s="8">
        <f t="shared" si="28"/>
        <v>0.20554123711340147</v>
      </c>
      <c r="E320" s="4">
        <v>10</v>
      </c>
      <c r="F320" s="5">
        <v>699</v>
      </c>
      <c r="G320" s="10">
        <f t="shared" si="26"/>
        <v>6990</v>
      </c>
      <c r="H320" s="7">
        <f t="shared" si="27"/>
        <v>8.4683947085530142E-4</v>
      </c>
      <c r="I320" s="8">
        <f t="shared" si="29"/>
        <v>0.80642519470853602</v>
      </c>
      <c r="J320" s="3" t="s">
        <v>208</v>
      </c>
    </row>
    <row r="321" spans="1:10" x14ac:dyDescent="0.25">
      <c r="A321" s="3" t="s">
        <v>331</v>
      </c>
      <c r="B321" s="3" t="str">
        <f t="shared" si="24"/>
        <v>4</v>
      </c>
      <c r="C321" s="7">
        <f t="shared" si="25"/>
        <v>6.4432989690721648E-4</v>
      </c>
      <c r="D321" s="8">
        <f t="shared" si="28"/>
        <v>0.20618556701030868</v>
      </c>
      <c r="E321" s="4">
        <v>19</v>
      </c>
      <c r="F321" s="5">
        <v>366.07</v>
      </c>
      <c r="G321" s="10">
        <f t="shared" si="26"/>
        <v>6955.33</v>
      </c>
      <c r="H321" s="7">
        <f t="shared" si="27"/>
        <v>8.4263919553991473E-4</v>
      </c>
      <c r="I321" s="8">
        <f t="shared" si="29"/>
        <v>0.80726783390407597</v>
      </c>
      <c r="J321" s="3" t="s">
        <v>208</v>
      </c>
    </row>
    <row r="322" spans="1:10" x14ac:dyDescent="0.25">
      <c r="A322" s="3" t="s">
        <v>332</v>
      </c>
      <c r="B322" s="3" t="str">
        <f t="shared" ref="B322:B385" si="30">RIGHT(A322,1)</f>
        <v>2</v>
      </c>
      <c r="C322" s="7">
        <f t="shared" ref="C322:C385" si="31">1/COUNTA(A$2:A$1553)</f>
        <v>6.4432989690721648E-4</v>
      </c>
      <c r="D322" s="8">
        <f t="shared" si="28"/>
        <v>0.2068298969072159</v>
      </c>
      <c r="E322" s="4">
        <v>786</v>
      </c>
      <c r="F322" s="5">
        <v>8.7899999999999991</v>
      </c>
      <c r="G322" s="10">
        <f t="shared" ref="G322:G385" si="32">E322*F322</f>
        <v>6908.94</v>
      </c>
      <c r="H322" s="7">
        <f t="shared" ref="H322:H385" si="33">G322/SUM(G$2:G$1553)</f>
        <v>8.3701904059671332E-4</v>
      </c>
      <c r="I322" s="8">
        <f t="shared" si="29"/>
        <v>0.80810485294467271</v>
      </c>
      <c r="J322" s="3" t="s">
        <v>208</v>
      </c>
    </row>
    <row r="323" spans="1:10" x14ac:dyDescent="0.25">
      <c r="A323" s="3" t="s">
        <v>333</v>
      </c>
      <c r="B323" s="3" t="str">
        <f t="shared" si="30"/>
        <v>6</v>
      </c>
      <c r="C323" s="7">
        <f t="shared" si="31"/>
        <v>6.4432989690721648E-4</v>
      </c>
      <c r="D323" s="8">
        <f t="shared" ref="D323:D386" si="34">D322+C323</f>
        <v>0.20747422680412311</v>
      </c>
      <c r="E323" s="4">
        <v>107</v>
      </c>
      <c r="F323" s="5">
        <v>62.54</v>
      </c>
      <c r="G323" s="10">
        <f t="shared" si="32"/>
        <v>6691.78</v>
      </c>
      <c r="H323" s="7">
        <f t="shared" si="33"/>
        <v>8.1071007643491967E-4</v>
      </c>
      <c r="I323" s="8">
        <f t="shared" ref="I323:I386" si="35">I322+H323</f>
        <v>0.80891556302110768</v>
      </c>
      <c r="J323" s="3" t="s">
        <v>208</v>
      </c>
    </row>
    <row r="324" spans="1:10" x14ac:dyDescent="0.25">
      <c r="A324" s="3" t="s">
        <v>334</v>
      </c>
      <c r="B324" s="3" t="str">
        <f t="shared" si="30"/>
        <v>8</v>
      </c>
      <c r="C324" s="7">
        <f t="shared" si="31"/>
        <v>6.4432989690721648E-4</v>
      </c>
      <c r="D324" s="8">
        <f t="shared" si="34"/>
        <v>0.20811855670103033</v>
      </c>
      <c r="E324" s="4">
        <v>196</v>
      </c>
      <c r="F324" s="5">
        <v>34.049999999999997</v>
      </c>
      <c r="G324" s="10">
        <f t="shared" si="32"/>
        <v>6673.7999999999993</v>
      </c>
      <c r="H324" s="7">
        <f t="shared" si="33"/>
        <v>8.0853179693764091E-4</v>
      </c>
      <c r="I324" s="8">
        <f t="shared" si="35"/>
        <v>0.8097240948180453</v>
      </c>
      <c r="J324" s="3" t="s">
        <v>208</v>
      </c>
    </row>
    <row r="325" spans="1:10" x14ac:dyDescent="0.25">
      <c r="A325" s="3" t="s">
        <v>335</v>
      </c>
      <c r="B325" s="3" t="str">
        <f t="shared" si="30"/>
        <v>1</v>
      </c>
      <c r="C325" s="7">
        <f t="shared" si="31"/>
        <v>6.4432989690721648E-4</v>
      </c>
      <c r="D325" s="8">
        <f t="shared" si="34"/>
        <v>0.20876288659793754</v>
      </c>
      <c r="E325" s="4">
        <v>8</v>
      </c>
      <c r="F325" s="5">
        <v>817.32</v>
      </c>
      <c r="G325" s="10">
        <f t="shared" si="32"/>
        <v>6538.56</v>
      </c>
      <c r="H325" s="7">
        <f t="shared" si="33"/>
        <v>7.9214745215388268E-4</v>
      </c>
      <c r="I325" s="8">
        <f t="shared" si="35"/>
        <v>0.81051624227019914</v>
      </c>
      <c r="J325" s="3" t="s">
        <v>208</v>
      </c>
    </row>
    <row r="326" spans="1:10" x14ac:dyDescent="0.25">
      <c r="A326" s="3" t="s">
        <v>336</v>
      </c>
      <c r="B326" s="3" t="str">
        <f t="shared" si="30"/>
        <v>9</v>
      </c>
      <c r="C326" s="7">
        <f t="shared" si="31"/>
        <v>6.4432989690721648E-4</v>
      </c>
      <c r="D326" s="8">
        <f t="shared" si="34"/>
        <v>0.20940721649484476</v>
      </c>
      <c r="E326" s="4">
        <v>34</v>
      </c>
      <c r="F326" s="5">
        <v>188.02</v>
      </c>
      <c r="G326" s="10">
        <f t="shared" si="32"/>
        <v>6392.68</v>
      </c>
      <c r="H326" s="7">
        <f t="shared" si="33"/>
        <v>7.7447406989231311E-4</v>
      </c>
      <c r="I326" s="8">
        <f t="shared" si="35"/>
        <v>0.81129071634009142</v>
      </c>
      <c r="J326" s="3" t="s">
        <v>208</v>
      </c>
    </row>
    <row r="327" spans="1:10" x14ac:dyDescent="0.25">
      <c r="A327" s="3" t="s">
        <v>337</v>
      </c>
      <c r="B327" s="3" t="str">
        <f t="shared" si="30"/>
        <v>4</v>
      </c>
      <c r="C327" s="7">
        <f t="shared" si="31"/>
        <v>6.4432989690721648E-4</v>
      </c>
      <c r="D327" s="8">
        <f t="shared" si="34"/>
        <v>0.21005154639175197</v>
      </c>
      <c r="E327" s="4">
        <v>30</v>
      </c>
      <c r="F327" s="5">
        <v>211.32</v>
      </c>
      <c r="G327" s="10">
        <f t="shared" si="32"/>
        <v>6339.5999999999995</v>
      </c>
      <c r="H327" s="7">
        <f t="shared" si="33"/>
        <v>7.6804342051992394E-4</v>
      </c>
      <c r="I327" s="8">
        <f t="shared" si="35"/>
        <v>0.81205875976061137</v>
      </c>
      <c r="J327" s="3" t="s">
        <v>208</v>
      </c>
    </row>
    <row r="328" spans="1:10" x14ac:dyDescent="0.25">
      <c r="A328" s="3" t="s">
        <v>338</v>
      </c>
      <c r="B328" s="3" t="str">
        <f t="shared" si="30"/>
        <v>1</v>
      </c>
      <c r="C328" s="7">
        <f t="shared" si="31"/>
        <v>6.4432989690721648E-4</v>
      </c>
      <c r="D328" s="8">
        <f t="shared" si="34"/>
        <v>0.21069587628865918</v>
      </c>
      <c r="E328" s="4">
        <v>6</v>
      </c>
      <c r="F328" s="5">
        <v>1054.95</v>
      </c>
      <c r="G328" s="10">
        <f t="shared" si="32"/>
        <v>6329.7000000000007</v>
      </c>
      <c r="H328" s="7">
        <f t="shared" si="33"/>
        <v>7.66844034144893E-4</v>
      </c>
      <c r="I328" s="8">
        <f t="shared" si="35"/>
        <v>0.81282560379475621</v>
      </c>
      <c r="J328" s="3" t="s">
        <v>208</v>
      </c>
    </row>
    <row r="329" spans="1:10" x14ac:dyDescent="0.25">
      <c r="A329" s="3" t="s">
        <v>339</v>
      </c>
      <c r="B329" s="3" t="str">
        <f t="shared" si="30"/>
        <v>7</v>
      </c>
      <c r="C329" s="7">
        <f t="shared" si="31"/>
        <v>6.4432989690721648E-4</v>
      </c>
      <c r="D329" s="8">
        <f t="shared" si="34"/>
        <v>0.2113402061855664</v>
      </c>
      <c r="E329" s="4">
        <v>155</v>
      </c>
      <c r="F329" s="5">
        <v>40.799999999999997</v>
      </c>
      <c r="G329" s="10">
        <f t="shared" si="32"/>
        <v>6324</v>
      </c>
      <c r="H329" s="7">
        <f t="shared" si="33"/>
        <v>7.6615347835320838E-4</v>
      </c>
      <c r="I329" s="8">
        <f t="shared" si="35"/>
        <v>0.81359175727310939</v>
      </c>
      <c r="J329" s="3" t="s">
        <v>208</v>
      </c>
    </row>
    <row r="330" spans="1:10" x14ac:dyDescent="0.25">
      <c r="A330" s="3" t="s">
        <v>340</v>
      </c>
      <c r="B330" s="3" t="str">
        <f t="shared" si="30"/>
        <v>1</v>
      </c>
      <c r="C330" s="7">
        <f t="shared" si="31"/>
        <v>6.4432989690721648E-4</v>
      </c>
      <c r="D330" s="8">
        <f t="shared" si="34"/>
        <v>0.21198453608247361</v>
      </c>
      <c r="E330" s="4">
        <v>13</v>
      </c>
      <c r="F330" s="5">
        <v>482.89</v>
      </c>
      <c r="G330" s="10">
        <f t="shared" si="32"/>
        <v>6277.57</v>
      </c>
      <c r="H330" s="7">
        <f t="shared" si="33"/>
        <v>7.6052847740445126E-4</v>
      </c>
      <c r="I330" s="8">
        <f t="shared" si="35"/>
        <v>0.81435228575051388</v>
      </c>
      <c r="J330" s="3" t="s">
        <v>208</v>
      </c>
    </row>
    <row r="331" spans="1:10" x14ac:dyDescent="0.25">
      <c r="A331" s="3" t="s">
        <v>341</v>
      </c>
      <c r="B331" s="3" t="str">
        <f t="shared" si="30"/>
        <v>7</v>
      </c>
      <c r="C331" s="7">
        <f t="shared" si="31"/>
        <v>6.4432989690721648E-4</v>
      </c>
      <c r="D331" s="8">
        <f t="shared" si="34"/>
        <v>0.21262886597938083</v>
      </c>
      <c r="E331" s="4">
        <v>106</v>
      </c>
      <c r="F331" s="5">
        <v>58.9</v>
      </c>
      <c r="G331" s="10">
        <f t="shared" si="32"/>
        <v>6243.4</v>
      </c>
      <c r="H331" s="7">
        <f t="shared" si="33"/>
        <v>7.5638877715851049E-4</v>
      </c>
      <c r="I331" s="8">
        <f t="shared" si="35"/>
        <v>0.81510867452767244</v>
      </c>
      <c r="J331" s="3" t="s">
        <v>208</v>
      </c>
    </row>
    <row r="332" spans="1:10" x14ac:dyDescent="0.25">
      <c r="A332" s="3" t="s">
        <v>342</v>
      </c>
      <c r="B332" s="3" t="str">
        <f t="shared" si="30"/>
        <v>9</v>
      </c>
      <c r="C332" s="7">
        <f t="shared" si="31"/>
        <v>6.4432989690721648E-4</v>
      </c>
      <c r="D332" s="8">
        <f t="shared" si="34"/>
        <v>0.21327319587628804</v>
      </c>
      <c r="E332" s="4">
        <v>34</v>
      </c>
      <c r="F332" s="5">
        <v>182.1</v>
      </c>
      <c r="G332" s="10">
        <f t="shared" si="32"/>
        <v>6191.4</v>
      </c>
      <c r="H332" s="7">
        <f t="shared" si="33"/>
        <v>7.500889699361249E-4</v>
      </c>
      <c r="I332" s="8">
        <f t="shared" si="35"/>
        <v>0.81585876349760855</v>
      </c>
      <c r="J332" s="3" t="s">
        <v>208</v>
      </c>
    </row>
    <row r="333" spans="1:10" x14ac:dyDescent="0.25">
      <c r="A333" s="3" t="s">
        <v>343</v>
      </c>
      <c r="B333" s="3" t="str">
        <f t="shared" si="30"/>
        <v>5</v>
      </c>
      <c r="C333" s="7">
        <f t="shared" si="31"/>
        <v>6.4432989690721648E-4</v>
      </c>
      <c r="D333" s="8">
        <f t="shared" si="34"/>
        <v>0.21391752577319526</v>
      </c>
      <c r="E333" s="4">
        <v>38</v>
      </c>
      <c r="F333" s="5">
        <v>159.38999999999999</v>
      </c>
      <c r="G333" s="10">
        <f t="shared" si="32"/>
        <v>6056.82</v>
      </c>
      <c r="H333" s="7">
        <f t="shared" si="33"/>
        <v>7.3378458424403533E-4</v>
      </c>
      <c r="I333" s="8">
        <f t="shared" si="35"/>
        <v>0.81659254808185255</v>
      </c>
      <c r="J333" s="3" t="s">
        <v>208</v>
      </c>
    </row>
    <row r="334" spans="1:10" x14ac:dyDescent="0.25">
      <c r="A334" s="3" t="s">
        <v>344</v>
      </c>
      <c r="B334" s="3" t="str">
        <f t="shared" si="30"/>
        <v>9</v>
      </c>
      <c r="C334" s="7">
        <f t="shared" si="31"/>
        <v>6.4432989690721648E-4</v>
      </c>
      <c r="D334" s="8">
        <f t="shared" si="34"/>
        <v>0.21456185567010247</v>
      </c>
      <c r="E334" s="4">
        <v>16</v>
      </c>
      <c r="F334" s="5">
        <v>378.21</v>
      </c>
      <c r="G334" s="10">
        <f t="shared" si="32"/>
        <v>6051.36</v>
      </c>
      <c r="H334" s="7">
        <f t="shared" si="33"/>
        <v>7.3312310448568477E-4</v>
      </c>
      <c r="I334" s="8">
        <f t="shared" si="35"/>
        <v>0.81732567118633825</v>
      </c>
      <c r="J334" s="3" t="s">
        <v>208</v>
      </c>
    </row>
    <row r="335" spans="1:10" x14ac:dyDescent="0.25">
      <c r="A335" s="3" t="s">
        <v>345</v>
      </c>
      <c r="B335" s="3" t="str">
        <f t="shared" si="30"/>
        <v>3</v>
      </c>
      <c r="C335" s="7">
        <f t="shared" si="31"/>
        <v>6.4432989690721648E-4</v>
      </c>
      <c r="D335" s="8">
        <f t="shared" si="34"/>
        <v>0.21520618556700968</v>
      </c>
      <c r="E335" s="4">
        <v>5</v>
      </c>
      <c r="F335" s="5">
        <v>1205.1400000000001</v>
      </c>
      <c r="G335" s="10">
        <f t="shared" si="32"/>
        <v>6025.7000000000007</v>
      </c>
      <c r="H335" s="7">
        <f t="shared" si="33"/>
        <v>7.3001439192171543E-4</v>
      </c>
      <c r="I335" s="8">
        <f t="shared" si="35"/>
        <v>0.81805568557825992</v>
      </c>
      <c r="J335" s="3" t="s">
        <v>208</v>
      </c>
    </row>
    <row r="336" spans="1:10" x14ac:dyDescent="0.25">
      <c r="A336" s="3" t="s">
        <v>346</v>
      </c>
      <c r="B336" s="3" t="str">
        <f t="shared" si="30"/>
        <v>6</v>
      </c>
      <c r="C336" s="7">
        <f t="shared" si="31"/>
        <v>6.4432989690721648E-4</v>
      </c>
      <c r="D336" s="8">
        <f t="shared" si="34"/>
        <v>0.2158505154639169</v>
      </c>
      <c r="E336" s="4">
        <v>327</v>
      </c>
      <c r="F336" s="5">
        <v>18.399999999999999</v>
      </c>
      <c r="G336" s="10">
        <f t="shared" si="32"/>
        <v>6016.7999999999993</v>
      </c>
      <c r="H336" s="7">
        <f t="shared" si="33"/>
        <v>7.289361556855761E-4</v>
      </c>
      <c r="I336" s="8">
        <f t="shared" si="35"/>
        <v>0.81878462173394551</v>
      </c>
      <c r="J336" s="3" t="s">
        <v>208</v>
      </c>
    </row>
    <row r="337" spans="1:10" x14ac:dyDescent="0.25">
      <c r="A337" s="3" t="s">
        <v>347</v>
      </c>
      <c r="B337" s="3" t="str">
        <f t="shared" si="30"/>
        <v>7</v>
      </c>
      <c r="C337" s="7">
        <f t="shared" si="31"/>
        <v>6.4432989690721648E-4</v>
      </c>
      <c r="D337" s="8">
        <f t="shared" si="34"/>
        <v>0.21649484536082411</v>
      </c>
      <c r="E337" s="4">
        <v>46</v>
      </c>
      <c r="F337" s="5">
        <v>130.72</v>
      </c>
      <c r="G337" s="10">
        <f t="shared" si="32"/>
        <v>6013.12</v>
      </c>
      <c r="H337" s="7">
        <f t="shared" si="33"/>
        <v>7.2849032317445349E-4</v>
      </c>
      <c r="I337" s="8">
        <f t="shared" si="35"/>
        <v>0.81951311205711996</v>
      </c>
      <c r="J337" s="3" t="s">
        <v>208</v>
      </c>
    </row>
    <row r="338" spans="1:10" x14ac:dyDescent="0.25">
      <c r="A338" s="3" t="s">
        <v>348</v>
      </c>
      <c r="B338" s="3" t="str">
        <f t="shared" si="30"/>
        <v>1</v>
      </c>
      <c r="C338" s="7">
        <f t="shared" si="31"/>
        <v>6.4432989690721648E-4</v>
      </c>
      <c r="D338" s="8">
        <f t="shared" si="34"/>
        <v>0.21713917525773133</v>
      </c>
      <c r="E338" s="4">
        <v>10</v>
      </c>
      <c r="F338" s="5">
        <v>599.46</v>
      </c>
      <c r="G338" s="10">
        <f t="shared" si="32"/>
        <v>5994.6</v>
      </c>
      <c r="H338" s="7">
        <f t="shared" si="33"/>
        <v>7.262466226021731E-4</v>
      </c>
      <c r="I338" s="8">
        <f t="shared" si="35"/>
        <v>0.82023935867972209</v>
      </c>
      <c r="J338" s="3" t="s">
        <v>208</v>
      </c>
    </row>
    <row r="339" spans="1:10" x14ac:dyDescent="0.25">
      <c r="A339" s="3" t="s">
        <v>349</v>
      </c>
      <c r="B339" s="3" t="str">
        <f t="shared" si="30"/>
        <v>1</v>
      </c>
      <c r="C339" s="7">
        <f t="shared" si="31"/>
        <v>6.4432989690721648E-4</v>
      </c>
      <c r="D339" s="8">
        <f t="shared" si="34"/>
        <v>0.21778350515463854</v>
      </c>
      <c r="E339" s="4">
        <v>14</v>
      </c>
      <c r="F339" s="5">
        <v>428.12</v>
      </c>
      <c r="G339" s="10">
        <f t="shared" si="32"/>
        <v>5993.68</v>
      </c>
      <c r="H339" s="7">
        <f t="shared" si="33"/>
        <v>7.2613516447439248E-4</v>
      </c>
      <c r="I339" s="8">
        <f t="shared" si="35"/>
        <v>0.82096549384419648</v>
      </c>
      <c r="J339" s="3" t="s">
        <v>208</v>
      </c>
    </row>
    <row r="340" spans="1:10" x14ac:dyDescent="0.25">
      <c r="A340" s="3" t="s">
        <v>350</v>
      </c>
      <c r="B340" s="3" t="str">
        <f t="shared" si="30"/>
        <v>4</v>
      </c>
      <c r="C340" s="7">
        <f t="shared" si="31"/>
        <v>6.4432989690721648E-4</v>
      </c>
      <c r="D340" s="8">
        <f t="shared" si="34"/>
        <v>0.21842783505154575</v>
      </c>
      <c r="E340" s="4">
        <v>30</v>
      </c>
      <c r="F340" s="5">
        <v>199.64</v>
      </c>
      <c r="G340" s="10">
        <f t="shared" si="32"/>
        <v>5989.2</v>
      </c>
      <c r="H340" s="7">
        <f t="shared" si="33"/>
        <v>7.2559241185215606E-4</v>
      </c>
      <c r="I340" s="8">
        <f t="shared" si="35"/>
        <v>0.82169108625604859</v>
      </c>
      <c r="J340" s="3" t="s">
        <v>208</v>
      </c>
    </row>
    <row r="341" spans="1:10" x14ac:dyDescent="0.25">
      <c r="A341" s="3" t="s">
        <v>351</v>
      </c>
      <c r="B341" s="3" t="str">
        <f t="shared" si="30"/>
        <v>4</v>
      </c>
      <c r="C341" s="7">
        <f t="shared" si="31"/>
        <v>6.4432989690721648E-4</v>
      </c>
      <c r="D341" s="8">
        <f t="shared" si="34"/>
        <v>0.21907216494845297</v>
      </c>
      <c r="E341" s="4">
        <v>86</v>
      </c>
      <c r="F341" s="5">
        <v>69.59</v>
      </c>
      <c r="G341" s="10">
        <f t="shared" si="32"/>
        <v>5984.7400000000007</v>
      </c>
      <c r="H341" s="7">
        <f t="shared" si="33"/>
        <v>7.2505208223269777E-4</v>
      </c>
      <c r="I341" s="8">
        <f t="shared" si="35"/>
        <v>0.82241613833828131</v>
      </c>
      <c r="J341" s="3" t="s">
        <v>208</v>
      </c>
    </row>
    <row r="342" spans="1:10" x14ac:dyDescent="0.25">
      <c r="A342" s="3" t="s">
        <v>352</v>
      </c>
      <c r="B342" s="3" t="str">
        <f t="shared" si="30"/>
        <v>4</v>
      </c>
      <c r="C342" s="7">
        <f t="shared" si="31"/>
        <v>6.4432989690721648E-4</v>
      </c>
      <c r="D342" s="8">
        <f t="shared" si="34"/>
        <v>0.21971649484536018</v>
      </c>
      <c r="E342" s="4">
        <v>20</v>
      </c>
      <c r="F342" s="5">
        <v>295.95999999999998</v>
      </c>
      <c r="G342" s="10">
        <f t="shared" si="32"/>
        <v>5919.2</v>
      </c>
      <c r="H342" s="7">
        <f t="shared" si="33"/>
        <v>7.1711190212971391E-4</v>
      </c>
      <c r="I342" s="8">
        <f t="shared" si="35"/>
        <v>0.82313325024041106</v>
      </c>
      <c r="J342" s="3" t="s">
        <v>208</v>
      </c>
    </row>
    <row r="343" spans="1:10" x14ac:dyDescent="0.25">
      <c r="A343" s="3" t="s">
        <v>353</v>
      </c>
      <c r="B343" s="3" t="str">
        <f t="shared" si="30"/>
        <v>3</v>
      </c>
      <c r="C343" s="7">
        <f t="shared" si="31"/>
        <v>6.4432989690721648E-4</v>
      </c>
      <c r="D343" s="8">
        <f t="shared" si="34"/>
        <v>0.2203608247422674</v>
      </c>
      <c r="E343" s="4">
        <v>7</v>
      </c>
      <c r="F343" s="5">
        <v>815.85</v>
      </c>
      <c r="G343" s="10">
        <f t="shared" si="32"/>
        <v>5710.95</v>
      </c>
      <c r="H343" s="7">
        <f t="shared" si="33"/>
        <v>6.9188238570544827E-4</v>
      </c>
      <c r="I343" s="8">
        <f t="shared" si="35"/>
        <v>0.82382513262611656</v>
      </c>
      <c r="J343" s="3" t="s">
        <v>208</v>
      </c>
    </row>
    <row r="344" spans="1:10" x14ac:dyDescent="0.25">
      <c r="A344" s="3" t="s">
        <v>354</v>
      </c>
      <c r="B344" s="3" t="str">
        <f t="shared" si="30"/>
        <v>7</v>
      </c>
      <c r="C344" s="7">
        <f t="shared" si="31"/>
        <v>6.4432989690721648E-4</v>
      </c>
      <c r="D344" s="8">
        <f t="shared" si="34"/>
        <v>0.22100515463917461</v>
      </c>
      <c r="E344" s="4">
        <v>39</v>
      </c>
      <c r="F344" s="5">
        <v>145.49</v>
      </c>
      <c r="G344" s="10">
        <f t="shared" si="32"/>
        <v>5674.1100000000006</v>
      </c>
      <c r="H344" s="7">
        <f t="shared" si="33"/>
        <v>6.8741921458866594E-4</v>
      </c>
      <c r="I344" s="8">
        <f t="shared" si="35"/>
        <v>0.82451255184070527</v>
      </c>
      <c r="J344" s="3" t="s">
        <v>208</v>
      </c>
    </row>
    <row r="345" spans="1:10" x14ac:dyDescent="0.25">
      <c r="A345" s="3" t="s">
        <v>355</v>
      </c>
      <c r="B345" s="3" t="str">
        <f t="shared" si="30"/>
        <v>4</v>
      </c>
      <c r="C345" s="7">
        <f t="shared" si="31"/>
        <v>6.4432989690721648E-4</v>
      </c>
      <c r="D345" s="8">
        <f t="shared" si="34"/>
        <v>0.22164948453608183</v>
      </c>
      <c r="E345" s="4">
        <v>19</v>
      </c>
      <c r="F345" s="5">
        <v>297.44</v>
      </c>
      <c r="G345" s="10">
        <f t="shared" si="32"/>
        <v>5651.36</v>
      </c>
      <c r="H345" s="7">
        <f t="shared" si="33"/>
        <v>6.8466304892887209E-4</v>
      </c>
      <c r="I345" s="8">
        <f t="shared" si="35"/>
        <v>0.82519721488963416</v>
      </c>
      <c r="J345" s="3" t="s">
        <v>208</v>
      </c>
    </row>
    <row r="346" spans="1:10" x14ac:dyDescent="0.25">
      <c r="A346" s="3" t="s">
        <v>356</v>
      </c>
      <c r="B346" s="3" t="str">
        <f t="shared" si="30"/>
        <v>2</v>
      </c>
      <c r="C346" s="7">
        <f t="shared" si="31"/>
        <v>6.4432989690721648E-4</v>
      </c>
      <c r="D346" s="8">
        <f t="shared" si="34"/>
        <v>0.22229381443298904</v>
      </c>
      <c r="E346" s="4">
        <v>106</v>
      </c>
      <c r="F346" s="5">
        <v>52.21</v>
      </c>
      <c r="G346" s="10">
        <f t="shared" si="32"/>
        <v>5534.26</v>
      </c>
      <c r="H346" s="7">
        <f t="shared" si="33"/>
        <v>6.7047636766461526E-4</v>
      </c>
      <c r="I346" s="8">
        <f t="shared" si="35"/>
        <v>0.82586769125729875</v>
      </c>
      <c r="J346" s="3" t="s">
        <v>208</v>
      </c>
    </row>
    <row r="347" spans="1:10" x14ac:dyDescent="0.25">
      <c r="A347" s="3" t="s">
        <v>357</v>
      </c>
      <c r="B347" s="3" t="str">
        <f t="shared" si="30"/>
        <v>7</v>
      </c>
      <c r="C347" s="7">
        <f t="shared" si="31"/>
        <v>6.4432989690721648E-4</v>
      </c>
      <c r="D347" s="8">
        <f t="shared" si="34"/>
        <v>0.22293814432989625</v>
      </c>
      <c r="E347" s="4">
        <v>57</v>
      </c>
      <c r="F347" s="5">
        <v>97.02</v>
      </c>
      <c r="G347" s="10">
        <f t="shared" si="32"/>
        <v>5530.1399999999994</v>
      </c>
      <c r="H347" s="7">
        <f t="shared" si="33"/>
        <v>6.6997722909238003E-4</v>
      </c>
      <c r="I347" s="8">
        <f t="shared" si="35"/>
        <v>0.8265376684863911</v>
      </c>
      <c r="J347" s="3" t="s">
        <v>208</v>
      </c>
    </row>
    <row r="348" spans="1:10" x14ac:dyDescent="0.25">
      <c r="A348" s="3" t="s">
        <v>358</v>
      </c>
      <c r="B348" s="3" t="str">
        <f t="shared" si="30"/>
        <v>4</v>
      </c>
      <c r="C348" s="7">
        <f t="shared" si="31"/>
        <v>6.4432989690721648E-4</v>
      </c>
      <c r="D348" s="8">
        <f t="shared" si="34"/>
        <v>0.22358247422680347</v>
      </c>
      <c r="E348" s="4">
        <v>29</v>
      </c>
      <c r="F348" s="5">
        <v>189.25</v>
      </c>
      <c r="G348" s="10">
        <f t="shared" si="32"/>
        <v>5488.25</v>
      </c>
      <c r="H348" s="7">
        <f t="shared" si="33"/>
        <v>6.6490224977419285E-4</v>
      </c>
      <c r="I348" s="8">
        <f t="shared" si="35"/>
        <v>0.82720257073616532</v>
      </c>
      <c r="J348" s="3" t="s">
        <v>208</v>
      </c>
    </row>
    <row r="349" spans="1:10" x14ac:dyDescent="0.25">
      <c r="A349" s="3" t="s">
        <v>359</v>
      </c>
      <c r="B349" s="3" t="str">
        <f t="shared" si="30"/>
        <v>2</v>
      </c>
      <c r="C349" s="7">
        <f t="shared" si="31"/>
        <v>6.4432989690721648E-4</v>
      </c>
      <c r="D349" s="8">
        <f t="shared" si="34"/>
        <v>0.22422680412371068</v>
      </c>
      <c r="E349" s="4">
        <v>255</v>
      </c>
      <c r="F349" s="5">
        <v>21.19</v>
      </c>
      <c r="G349" s="10">
        <f t="shared" si="32"/>
        <v>5403.4500000000007</v>
      </c>
      <c r="H349" s="7">
        <f t="shared" si="33"/>
        <v>6.5462871799614863E-4</v>
      </c>
      <c r="I349" s="8">
        <f t="shared" si="35"/>
        <v>0.82785719945416147</v>
      </c>
      <c r="J349" s="3" t="s">
        <v>208</v>
      </c>
    </row>
    <row r="350" spans="1:10" x14ac:dyDescent="0.25">
      <c r="A350" s="3" t="s">
        <v>360</v>
      </c>
      <c r="B350" s="3" t="str">
        <f t="shared" si="30"/>
        <v>9</v>
      </c>
      <c r="C350" s="7">
        <f t="shared" si="31"/>
        <v>6.4432989690721648E-4</v>
      </c>
      <c r="D350" s="8">
        <f t="shared" si="34"/>
        <v>0.2248711340206179</v>
      </c>
      <c r="E350" s="4">
        <v>24</v>
      </c>
      <c r="F350" s="5">
        <v>224.94</v>
      </c>
      <c r="G350" s="10">
        <f t="shared" si="32"/>
        <v>5398.5599999999995</v>
      </c>
      <c r="H350" s="7">
        <f t="shared" si="33"/>
        <v>6.5403629381696651E-4</v>
      </c>
      <c r="I350" s="8">
        <f t="shared" si="35"/>
        <v>0.82851123574797847</v>
      </c>
      <c r="J350" s="3" t="s">
        <v>208</v>
      </c>
    </row>
    <row r="351" spans="1:10" x14ac:dyDescent="0.25">
      <c r="A351" s="3" t="s">
        <v>361</v>
      </c>
      <c r="B351" s="3" t="str">
        <f t="shared" si="30"/>
        <v>8</v>
      </c>
      <c r="C351" s="7">
        <f t="shared" si="31"/>
        <v>6.4432989690721648E-4</v>
      </c>
      <c r="D351" s="8">
        <f t="shared" si="34"/>
        <v>0.22551546391752511</v>
      </c>
      <c r="E351" s="4">
        <v>81</v>
      </c>
      <c r="F351" s="5">
        <v>66.53</v>
      </c>
      <c r="G351" s="10">
        <f t="shared" si="32"/>
        <v>5388.93</v>
      </c>
      <c r="H351" s="7">
        <f t="shared" si="33"/>
        <v>6.5286961797943633E-4</v>
      </c>
      <c r="I351" s="8">
        <f t="shared" si="35"/>
        <v>0.82916410536595786</v>
      </c>
      <c r="J351" s="3" t="s">
        <v>208</v>
      </c>
    </row>
    <row r="352" spans="1:10" x14ac:dyDescent="0.25">
      <c r="A352" s="3" t="s">
        <v>362</v>
      </c>
      <c r="B352" s="3" t="str">
        <f t="shared" si="30"/>
        <v>4</v>
      </c>
      <c r="C352" s="7">
        <f t="shared" si="31"/>
        <v>6.4432989690721648E-4</v>
      </c>
      <c r="D352" s="8">
        <f t="shared" si="34"/>
        <v>0.22615979381443232</v>
      </c>
      <c r="E352" s="4">
        <v>12</v>
      </c>
      <c r="F352" s="5">
        <v>446.59</v>
      </c>
      <c r="G352" s="10">
        <f t="shared" si="32"/>
        <v>5359.08</v>
      </c>
      <c r="H352" s="7">
        <f t="shared" si="33"/>
        <v>6.4925328633350912E-4</v>
      </c>
      <c r="I352" s="8">
        <f t="shared" si="35"/>
        <v>0.82981335865229133</v>
      </c>
      <c r="J352" s="3" t="s">
        <v>208</v>
      </c>
    </row>
    <row r="353" spans="1:10" x14ac:dyDescent="0.25">
      <c r="A353" s="3" t="s">
        <v>363</v>
      </c>
      <c r="B353" s="3" t="str">
        <f t="shared" si="30"/>
        <v>4</v>
      </c>
      <c r="C353" s="7">
        <f t="shared" si="31"/>
        <v>6.4432989690721648E-4</v>
      </c>
      <c r="D353" s="8">
        <f t="shared" si="34"/>
        <v>0.22680412371133954</v>
      </c>
      <c r="E353" s="4">
        <v>12</v>
      </c>
      <c r="F353" s="5">
        <v>430.75</v>
      </c>
      <c r="G353" s="10">
        <f t="shared" si="32"/>
        <v>5169</v>
      </c>
      <c r="H353" s="7">
        <f t="shared" si="33"/>
        <v>6.2622506793291179E-4</v>
      </c>
      <c r="I353" s="8">
        <f t="shared" si="35"/>
        <v>0.83043958372022419</v>
      </c>
      <c r="J353" s="3" t="s">
        <v>208</v>
      </c>
    </row>
    <row r="354" spans="1:10" x14ac:dyDescent="0.25">
      <c r="A354" s="3" t="s">
        <v>364</v>
      </c>
      <c r="B354" s="3" t="str">
        <f t="shared" si="30"/>
        <v>8</v>
      </c>
      <c r="C354" s="7">
        <f t="shared" si="31"/>
        <v>6.4432989690721648E-4</v>
      </c>
      <c r="D354" s="8">
        <f t="shared" si="34"/>
        <v>0.22744845360824675</v>
      </c>
      <c r="E354" s="4">
        <v>333</v>
      </c>
      <c r="F354" s="5">
        <v>15.14</v>
      </c>
      <c r="G354" s="10">
        <f t="shared" si="32"/>
        <v>5041.62</v>
      </c>
      <c r="H354" s="7">
        <f t="shared" si="33"/>
        <v>6.107929632408447E-4</v>
      </c>
      <c r="I354" s="8">
        <f t="shared" si="35"/>
        <v>0.83105037668346504</v>
      </c>
      <c r="J354" s="3" t="s">
        <v>208</v>
      </c>
    </row>
    <row r="355" spans="1:10" x14ac:dyDescent="0.25">
      <c r="A355" s="3" t="s">
        <v>365</v>
      </c>
      <c r="B355" s="3" t="str">
        <f t="shared" si="30"/>
        <v>4</v>
      </c>
      <c r="C355" s="7">
        <f t="shared" si="31"/>
        <v>6.4432989690721648E-4</v>
      </c>
      <c r="D355" s="8">
        <f t="shared" si="34"/>
        <v>0.22809278350515397</v>
      </c>
      <c r="E355" s="4">
        <v>193</v>
      </c>
      <c r="F355" s="5">
        <v>25.98</v>
      </c>
      <c r="G355" s="10">
        <f t="shared" si="32"/>
        <v>5014.1400000000003</v>
      </c>
      <c r="H355" s="7">
        <f t="shared" si="33"/>
        <v>6.074637574240918E-4</v>
      </c>
      <c r="I355" s="8">
        <f t="shared" si="35"/>
        <v>0.83165784044088908</v>
      </c>
      <c r="J355" s="3" t="s">
        <v>208</v>
      </c>
    </row>
    <row r="356" spans="1:10" x14ac:dyDescent="0.25">
      <c r="A356" s="3" t="s">
        <v>366</v>
      </c>
      <c r="B356" s="3" t="str">
        <f t="shared" si="30"/>
        <v>9</v>
      </c>
      <c r="C356" s="7">
        <f t="shared" si="31"/>
        <v>6.4432989690721648E-4</v>
      </c>
      <c r="D356" s="8">
        <f t="shared" si="34"/>
        <v>0.22873711340206118</v>
      </c>
      <c r="E356" s="4">
        <v>18</v>
      </c>
      <c r="F356" s="5">
        <v>276.99</v>
      </c>
      <c r="G356" s="10">
        <f t="shared" si="32"/>
        <v>4985.82</v>
      </c>
      <c r="H356" s="7">
        <f t="shared" si="33"/>
        <v>6.0403278549066937E-4</v>
      </c>
      <c r="I356" s="8">
        <f t="shared" si="35"/>
        <v>0.83226187322637979</v>
      </c>
      <c r="J356" s="3" t="s">
        <v>208</v>
      </c>
    </row>
    <row r="357" spans="1:10" x14ac:dyDescent="0.25">
      <c r="A357" s="3" t="s">
        <v>367</v>
      </c>
      <c r="B357" s="3" t="str">
        <f t="shared" si="30"/>
        <v>1</v>
      </c>
      <c r="C357" s="7">
        <f t="shared" si="31"/>
        <v>6.4432989690721648E-4</v>
      </c>
      <c r="D357" s="8">
        <f t="shared" si="34"/>
        <v>0.2293814432989684</v>
      </c>
      <c r="E357" s="4">
        <v>15</v>
      </c>
      <c r="F357" s="5">
        <v>327.10000000000002</v>
      </c>
      <c r="G357" s="10">
        <f t="shared" si="32"/>
        <v>4906.5</v>
      </c>
      <c r="H357" s="7">
        <f t="shared" si="33"/>
        <v>5.944231564737534E-4</v>
      </c>
      <c r="I357" s="8">
        <f t="shared" si="35"/>
        <v>0.83285629638285352</v>
      </c>
      <c r="J357" s="3" t="s">
        <v>208</v>
      </c>
    </row>
    <row r="358" spans="1:10" x14ac:dyDescent="0.25">
      <c r="A358" s="3" t="s">
        <v>368</v>
      </c>
      <c r="B358" s="3" t="str">
        <f t="shared" si="30"/>
        <v>8</v>
      </c>
      <c r="C358" s="7">
        <f t="shared" si="31"/>
        <v>6.4432989690721648E-4</v>
      </c>
      <c r="D358" s="8">
        <f t="shared" si="34"/>
        <v>0.23002577319587561</v>
      </c>
      <c r="E358" s="4">
        <v>115</v>
      </c>
      <c r="F358" s="5">
        <v>42.45</v>
      </c>
      <c r="G358" s="10">
        <f t="shared" si="32"/>
        <v>4881.75</v>
      </c>
      <c r="H358" s="7">
        <f t="shared" si="33"/>
        <v>5.9142469053617567E-4</v>
      </c>
      <c r="I358" s="8">
        <f t="shared" si="35"/>
        <v>0.83344772107338971</v>
      </c>
      <c r="J358" s="3" t="s">
        <v>208</v>
      </c>
    </row>
    <row r="359" spans="1:10" x14ac:dyDescent="0.25">
      <c r="A359" s="3" t="s">
        <v>369</v>
      </c>
      <c r="B359" s="3" t="str">
        <f t="shared" si="30"/>
        <v>1</v>
      </c>
      <c r="C359" s="7">
        <f t="shared" si="31"/>
        <v>6.4432989690721648E-4</v>
      </c>
      <c r="D359" s="8">
        <f t="shared" si="34"/>
        <v>0.23067010309278282</v>
      </c>
      <c r="E359" s="4">
        <v>10</v>
      </c>
      <c r="F359" s="5">
        <v>486.34</v>
      </c>
      <c r="G359" s="10">
        <f t="shared" si="32"/>
        <v>4863.3999999999996</v>
      </c>
      <c r="H359" s="7">
        <f t="shared" si="33"/>
        <v>5.8920158548750681E-4</v>
      </c>
      <c r="I359" s="8">
        <f t="shared" si="35"/>
        <v>0.83403692265887719</v>
      </c>
      <c r="J359" s="3" t="s">
        <v>208</v>
      </c>
    </row>
    <row r="360" spans="1:10" x14ac:dyDescent="0.25">
      <c r="A360" s="3" t="s">
        <v>370</v>
      </c>
      <c r="B360" s="3" t="str">
        <f t="shared" si="30"/>
        <v>7</v>
      </c>
      <c r="C360" s="7">
        <f t="shared" si="31"/>
        <v>6.4432989690721648E-4</v>
      </c>
      <c r="D360" s="8">
        <f t="shared" si="34"/>
        <v>0.23131443298969004</v>
      </c>
      <c r="E360" s="4">
        <v>37</v>
      </c>
      <c r="F360" s="5">
        <v>130.15</v>
      </c>
      <c r="G360" s="10">
        <f t="shared" si="32"/>
        <v>4815.55</v>
      </c>
      <c r="H360" s="7">
        <f t="shared" si="33"/>
        <v>5.8340455134152315E-4</v>
      </c>
      <c r="I360" s="8">
        <f t="shared" si="35"/>
        <v>0.83462032721021873</v>
      </c>
      <c r="J360" s="3" t="s">
        <v>208</v>
      </c>
    </row>
    <row r="361" spans="1:10" x14ac:dyDescent="0.25">
      <c r="A361" s="3" t="s">
        <v>371</v>
      </c>
      <c r="B361" s="3" t="str">
        <f t="shared" si="30"/>
        <v>5</v>
      </c>
      <c r="C361" s="7">
        <f t="shared" si="31"/>
        <v>6.4432989690721648E-4</v>
      </c>
      <c r="D361" s="8">
        <f t="shared" si="34"/>
        <v>0.23195876288659725</v>
      </c>
      <c r="E361" s="4">
        <v>34</v>
      </c>
      <c r="F361" s="5">
        <v>141.13999999999999</v>
      </c>
      <c r="G361" s="10">
        <f t="shared" si="32"/>
        <v>4798.7599999999993</v>
      </c>
      <c r="H361" s="7">
        <f t="shared" si="33"/>
        <v>5.8137044050952588E-4</v>
      </c>
      <c r="I361" s="8">
        <f t="shared" si="35"/>
        <v>0.83520169765072827</v>
      </c>
      <c r="J361" s="3" t="s">
        <v>208</v>
      </c>
    </row>
    <row r="362" spans="1:10" x14ac:dyDescent="0.25">
      <c r="A362" s="3" t="s">
        <v>372</v>
      </c>
      <c r="B362" s="3" t="str">
        <f t="shared" si="30"/>
        <v>7</v>
      </c>
      <c r="C362" s="7">
        <f t="shared" si="31"/>
        <v>6.4432989690721648E-4</v>
      </c>
      <c r="D362" s="8">
        <f t="shared" si="34"/>
        <v>0.23260309278350447</v>
      </c>
      <c r="E362" s="4">
        <v>173</v>
      </c>
      <c r="F362" s="5">
        <v>27.64</v>
      </c>
      <c r="G362" s="10">
        <f t="shared" si="32"/>
        <v>4781.72</v>
      </c>
      <c r="H362" s="7">
        <f t="shared" si="33"/>
        <v>5.7930604214280576E-4</v>
      </c>
      <c r="I362" s="8">
        <f t="shared" si="35"/>
        <v>0.83578100369287112</v>
      </c>
      <c r="J362" s="3" t="s">
        <v>208</v>
      </c>
    </row>
    <row r="363" spans="1:10" x14ac:dyDescent="0.25">
      <c r="A363" s="3" t="s">
        <v>373</v>
      </c>
      <c r="B363" s="3" t="str">
        <f t="shared" si="30"/>
        <v>8</v>
      </c>
      <c r="C363" s="7">
        <f t="shared" si="31"/>
        <v>6.4432989690721648E-4</v>
      </c>
      <c r="D363" s="8">
        <f t="shared" si="34"/>
        <v>0.23324742268041168</v>
      </c>
      <c r="E363" s="4">
        <v>202</v>
      </c>
      <c r="F363" s="5">
        <v>23.38</v>
      </c>
      <c r="G363" s="10">
        <f t="shared" si="32"/>
        <v>4722.76</v>
      </c>
      <c r="H363" s="7">
        <f t="shared" si="33"/>
        <v>5.7216302995373154E-4</v>
      </c>
      <c r="I363" s="8">
        <f t="shared" si="35"/>
        <v>0.83635316672282489</v>
      </c>
      <c r="J363" s="3" t="s">
        <v>208</v>
      </c>
    </row>
    <row r="364" spans="1:10" x14ac:dyDescent="0.25">
      <c r="A364" s="3" t="s">
        <v>374</v>
      </c>
      <c r="B364" s="3" t="str">
        <f t="shared" si="30"/>
        <v>7</v>
      </c>
      <c r="C364" s="7">
        <f t="shared" si="31"/>
        <v>6.4432989690721648E-4</v>
      </c>
      <c r="D364" s="8">
        <f t="shared" si="34"/>
        <v>0.2338917525773189</v>
      </c>
      <c r="E364" s="4">
        <v>27</v>
      </c>
      <c r="F364" s="5">
        <v>173.08</v>
      </c>
      <c r="G364" s="10">
        <f t="shared" si="32"/>
        <v>4673.1600000000008</v>
      </c>
      <c r="H364" s="7">
        <f t="shared" si="33"/>
        <v>5.6615398306468685E-4</v>
      </c>
      <c r="I364" s="8">
        <f t="shared" si="35"/>
        <v>0.83691932070588959</v>
      </c>
      <c r="J364" s="3" t="s">
        <v>208</v>
      </c>
    </row>
    <row r="365" spans="1:10" x14ac:dyDescent="0.25">
      <c r="A365" s="3" t="s">
        <v>375</v>
      </c>
      <c r="B365" s="3" t="str">
        <f t="shared" si="30"/>
        <v>8</v>
      </c>
      <c r="C365" s="7">
        <f t="shared" si="31"/>
        <v>6.4432989690721648E-4</v>
      </c>
      <c r="D365" s="8">
        <f t="shared" si="34"/>
        <v>0.23453608247422611</v>
      </c>
      <c r="E365" s="4">
        <v>120</v>
      </c>
      <c r="F365" s="5">
        <v>38.85</v>
      </c>
      <c r="G365" s="10">
        <f t="shared" si="32"/>
        <v>4662</v>
      </c>
      <c r="H365" s="7">
        <f t="shared" si="33"/>
        <v>5.6480194751465167E-4</v>
      </c>
      <c r="I365" s="8">
        <f t="shared" si="35"/>
        <v>0.83748412265340422</v>
      </c>
      <c r="J365" s="3" t="s">
        <v>208</v>
      </c>
    </row>
    <row r="366" spans="1:10" x14ac:dyDescent="0.25">
      <c r="A366" s="3" t="s">
        <v>376</v>
      </c>
      <c r="B366" s="3" t="str">
        <f t="shared" si="30"/>
        <v>1</v>
      </c>
      <c r="C366" s="7">
        <f t="shared" si="31"/>
        <v>6.4432989690721648E-4</v>
      </c>
      <c r="D366" s="8">
        <f t="shared" si="34"/>
        <v>0.23518041237113332</v>
      </c>
      <c r="E366" s="4">
        <v>6</v>
      </c>
      <c r="F366" s="5">
        <v>775.87</v>
      </c>
      <c r="G366" s="10">
        <f t="shared" si="32"/>
        <v>4655.22</v>
      </c>
      <c r="H366" s="7">
        <f t="shared" si="33"/>
        <v>5.6398054957296369E-4</v>
      </c>
      <c r="I366" s="8">
        <f t="shared" si="35"/>
        <v>0.83804810320297718</v>
      </c>
      <c r="J366" s="3" t="s">
        <v>208</v>
      </c>
    </row>
    <row r="367" spans="1:10" x14ac:dyDescent="0.25">
      <c r="A367" s="3" t="s">
        <v>377</v>
      </c>
      <c r="B367" s="3" t="str">
        <f t="shared" si="30"/>
        <v>5</v>
      </c>
      <c r="C367" s="7">
        <f t="shared" si="31"/>
        <v>6.4432989690721648E-4</v>
      </c>
      <c r="D367" s="8">
        <f t="shared" si="34"/>
        <v>0.23582474226804054</v>
      </c>
      <c r="E367" s="4">
        <v>54</v>
      </c>
      <c r="F367" s="5">
        <v>85.7</v>
      </c>
      <c r="G367" s="10">
        <f t="shared" si="32"/>
        <v>4627.8</v>
      </c>
      <c r="H367" s="7">
        <f t="shared" si="33"/>
        <v>5.606586127645442E-4</v>
      </c>
      <c r="I367" s="8">
        <f t="shared" si="35"/>
        <v>0.83860876181574173</v>
      </c>
      <c r="J367" s="3" t="s">
        <v>208</v>
      </c>
    </row>
    <row r="368" spans="1:10" x14ac:dyDescent="0.25">
      <c r="A368" s="3" t="s">
        <v>378</v>
      </c>
      <c r="B368" s="3" t="str">
        <f t="shared" si="30"/>
        <v>4</v>
      </c>
      <c r="C368" s="7">
        <f t="shared" si="31"/>
        <v>6.4432989690721648E-4</v>
      </c>
      <c r="D368" s="8">
        <f t="shared" si="34"/>
        <v>0.23646907216494775</v>
      </c>
      <c r="E368" s="4">
        <v>18</v>
      </c>
      <c r="F368" s="5">
        <v>256.97000000000003</v>
      </c>
      <c r="G368" s="10">
        <f t="shared" si="32"/>
        <v>4625.4600000000009</v>
      </c>
      <c r="H368" s="7">
        <f t="shared" si="33"/>
        <v>5.6037512143953692E-4</v>
      </c>
      <c r="I368" s="8">
        <f t="shared" si="35"/>
        <v>0.83916913693718131</v>
      </c>
      <c r="J368" s="3" t="s">
        <v>208</v>
      </c>
    </row>
    <row r="369" spans="1:10" x14ac:dyDescent="0.25">
      <c r="A369" s="3" t="s">
        <v>379</v>
      </c>
      <c r="B369" s="3" t="str">
        <f t="shared" si="30"/>
        <v>8</v>
      </c>
      <c r="C369" s="7">
        <f t="shared" si="31"/>
        <v>6.4432989690721648E-4</v>
      </c>
      <c r="D369" s="8">
        <f t="shared" si="34"/>
        <v>0.23711340206185497</v>
      </c>
      <c r="E369" s="4">
        <v>133</v>
      </c>
      <c r="F369" s="5">
        <v>33.700000000000003</v>
      </c>
      <c r="G369" s="10">
        <f t="shared" si="32"/>
        <v>4482.1000000000004</v>
      </c>
      <c r="H369" s="7">
        <f t="shared" si="33"/>
        <v>5.4300703752797528E-4</v>
      </c>
      <c r="I369" s="8">
        <f t="shared" si="35"/>
        <v>0.83971214397470928</v>
      </c>
      <c r="J369" s="3" t="s">
        <v>208</v>
      </c>
    </row>
    <row r="370" spans="1:10" x14ac:dyDescent="0.25">
      <c r="A370" s="3" t="s">
        <v>380</v>
      </c>
      <c r="B370" s="3" t="str">
        <f t="shared" si="30"/>
        <v>2</v>
      </c>
      <c r="C370" s="7">
        <f t="shared" si="31"/>
        <v>6.4432989690721648E-4</v>
      </c>
      <c r="D370" s="8">
        <f t="shared" si="34"/>
        <v>0.23775773195876218</v>
      </c>
      <c r="E370" s="4">
        <v>48</v>
      </c>
      <c r="F370" s="5">
        <v>93.37</v>
      </c>
      <c r="G370" s="10">
        <f t="shared" si="32"/>
        <v>4481.76</v>
      </c>
      <c r="H370" s="7">
        <f t="shared" si="33"/>
        <v>5.4296584648075188E-4</v>
      </c>
      <c r="I370" s="8">
        <f t="shared" si="35"/>
        <v>0.84025510982119</v>
      </c>
      <c r="J370" s="3" t="s">
        <v>208</v>
      </c>
    </row>
    <row r="371" spans="1:10" x14ac:dyDescent="0.25">
      <c r="A371" s="3" t="s">
        <v>381</v>
      </c>
      <c r="B371" s="3" t="str">
        <f t="shared" si="30"/>
        <v>2</v>
      </c>
      <c r="C371" s="7">
        <f t="shared" si="31"/>
        <v>6.4432989690721648E-4</v>
      </c>
      <c r="D371" s="8">
        <f t="shared" si="34"/>
        <v>0.23840206185566939</v>
      </c>
      <c r="E371" s="4">
        <v>137</v>
      </c>
      <c r="F371" s="5">
        <v>32.51</v>
      </c>
      <c r="G371" s="10">
        <f t="shared" si="32"/>
        <v>4453.87</v>
      </c>
      <c r="H371" s="7">
        <f t="shared" si="33"/>
        <v>5.3958696910705317E-4</v>
      </c>
      <c r="I371" s="8">
        <f t="shared" si="35"/>
        <v>0.84079469679029706</v>
      </c>
      <c r="J371" s="3" t="s">
        <v>208</v>
      </c>
    </row>
    <row r="372" spans="1:10" x14ac:dyDescent="0.25">
      <c r="A372" s="3" t="s">
        <v>382</v>
      </c>
      <c r="B372" s="3" t="str">
        <f t="shared" si="30"/>
        <v>8</v>
      </c>
      <c r="C372" s="7">
        <f t="shared" si="31"/>
        <v>6.4432989690721648E-4</v>
      </c>
      <c r="D372" s="8">
        <f t="shared" si="34"/>
        <v>0.23904639175257661</v>
      </c>
      <c r="E372" s="4">
        <v>153</v>
      </c>
      <c r="F372" s="5">
        <v>29.02</v>
      </c>
      <c r="G372" s="10">
        <f t="shared" si="32"/>
        <v>4440.0599999999995</v>
      </c>
      <c r="H372" s="7">
        <f t="shared" si="33"/>
        <v>5.3791388568895414E-4</v>
      </c>
      <c r="I372" s="8">
        <f t="shared" si="35"/>
        <v>0.84133261067598597</v>
      </c>
      <c r="J372" s="3" t="s">
        <v>208</v>
      </c>
    </row>
    <row r="373" spans="1:10" x14ac:dyDescent="0.25">
      <c r="A373" s="3" t="s">
        <v>383</v>
      </c>
      <c r="B373" s="3" t="str">
        <f t="shared" si="30"/>
        <v>3</v>
      </c>
      <c r="C373" s="7">
        <f t="shared" si="31"/>
        <v>6.4432989690721648E-4</v>
      </c>
      <c r="D373" s="8">
        <f t="shared" si="34"/>
        <v>0.23969072164948382</v>
      </c>
      <c r="E373" s="4">
        <v>4</v>
      </c>
      <c r="F373" s="5">
        <v>1107.77</v>
      </c>
      <c r="G373" s="10">
        <f t="shared" si="32"/>
        <v>4431.08</v>
      </c>
      <c r="H373" s="7">
        <f t="shared" si="33"/>
        <v>5.3682595744170372E-4</v>
      </c>
      <c r="I373" s="8">
        <f t="shared" si="35"/>
        <v>0.84186943663342773</v>
      </c>
      <c r="J373" s="3" t="s">
        <v>208</v>
      </c>
    </row>
    <row r="374" spans="1:10" x14ac:dyDescent="0.25">
      <c r="A374" s="3" t="s">
        <v>384</v>
      </c>
      <c r="B374" s="3" t="str">
        <f t="shared" si="30"/>
        <v>7</v>
      </c>
      <c r="C374" s="7">
        <f t="shared" si="31"/>
        <v>6.4432989690721648E-4</v>
      </c>
      <c r="D374" s="8">
        <f t="shared" si="34"/>
        <v>0.24033505154639104</v>
      </c>
      <c r="E374" s="4">
        <v>195</v>
      </c>
      <c r="F374" s="5">
        <v>22.57</v>
      </c>
      <c r="G374" s="10">
        <f t="shared" si="32"/>
        <v>4401.1499999999996</v>
      </c>
      <c r="H374" s="7">
        <f t="shared" si="33"/>
        <v>5.3319993378466519E-4</v>
      </c>
      <c r="I374" s="8">
        <f t="shared" si="35"/>
        <v>0.84240263656721237</v>
      </c>
      <c r="J374" s="3" t="s">
        <v>208</v>
      </c>
    </row>
    <row r="375" spans="1:10" x14ac:dyDescent="0.25">
      <c r="A375" s="3" t="s">
        <v>385</v>
      </c>
      <c r="B375" s="3" t="str">
        <f t="shared" si="30"/>
        <v>1</v>
      </c>
      <c r="C375" s="7">
        <f t="shared" si="31"/>
        <v>6.4432989690721648E-4</v>
      </c>
      <c r="D375" s="8">
        <f t="shared" si="34"/>
        <v>0.24097938144329825</v>
      </c>
      <c r="E375" s="4">
        <v>5</v>
      </c>
      <c r="F375" s="5">
        <v>871.94</v>
      </c>
      <c r="G375" s="10">
        <f t="shared" si="32"/>
        <v>4359.7000000000007</v>
      </c>
      <c r="H375" s="7">
        <f t="shared" si="33"/>
        <v>5.2817826052759063E-4</v>
      </c>
      <c r="I375" s="8">
        <f t="shared" si="35"/>
        <v>0.84293081482774002</v>
      </c>
      <c r="J375" s="3" t="s">
        <v>208</v>
      </c>
    </row>
    <row r="376" spans="1:10" x14ac:dyDescent="0.25">
      <c r="A376" s="3" t="s">
        <v>386</v>
      </c>
      <c r="B376" s="3" t="str">
        <f t="shared" si="30"/>
        <v>1</v>
      </c>
      <c r="C376" s="7">
        <f t="shared" si="31"/>
        <v>6.4432989690721648E-4</v>
      </c>
      <c r="D376" s="8">
        <f t="shared" si="34"/>
        <v>0.24162371134020547</v>
      </c>
      <c r="E376" s="4">
        <v>6</v>
      </c>
      <c r="F376" s="5">
        <v>720.32</v>
      </c>
      <c r="G376" s="10">
        <f t="shared" si="32"/>
        <v>4321.92</v>
      </c>
      <c r="H376" s="7">
        <f t="shared" si="33"/>
        <v>5.2360120828024955E-4</v>
      </c>
      <c r="I376" s="8">
        <f t="shared" si="35"/>
        <v>0.84345441603602023</v>
      </c>
      <c r="J376" s="3" t="s">
        <v>208</v>
      </c>
    </row>
    <row r="377" spans="1:10" x14ac:dyDescent="0.25">
      <c r="A377" s="3" t="s">
        <v>387</v>
      </c>
      <c r="B377" s="3" t="str">
        <f t="shared" si="30"/>
        <v>1</v>
      </c>
      <c r="C377" s="7">
        <f t="shared" si="31"/>
        <v>6.4432989690721648E-4</v>
      </c>
      <c r="D377" s="8">
        <f t="shared" si="34"/>
        <v>0.24226804123711268</v>
      </c>
      <c r="E377" s="4">
        <v>4</v>
      </c>
      <c r="F377" s="5">
        <v>1076.68</v>
      </c>
      <c r="G377" s="10">
        <f t="shared" si="32"/>
        <v>4306.72</v>
      </c>
      <c r="H377" s="7">
        <f t="shared" si="33"/>
        <v>5.2175972616909068E-4</v>
      </c>
      <c r="I377" s="8">
        <f t="shared" si="35"/>
        <v>0.84397617576218931</v>
      </c>
      <c r="J377" s="3" t="s">
        <v>208</v>
      </c>
    </row>
    <row r="378" spans="1:10" x14ac:dyDescent="0.25">
      <c r="A378" s="3" t="s">
        <v>388</v>
      </c>
      <c r="B378" s="3" t="str">
        <f t="shared" si="30"/>
        <v>7</v>
      </c>
      <c r="C378" s="7">
        <f t="shared" si="31"/>
        <v>6.4432989690721648E-4</v>
      </c>
      <c r="D378" s="8">
        <f t="shared" si="34"/>
        <v>0.24291237113401989</v>
      </c>
      <c r="E378" s="4">
        <v>90</v>
      </c>
      <c r="F378" s="5">
        <v>47.62</v>
      </c>
      <c r="G378" s="10">
        <f t="shared" si="32"/>
        <v>4285.8</v>
      </c>
      <c r="H378" s="7">
        <f t="shared" si="33"/>
        <v>5.192252652634694E-4</v>
      </c>
      <c r="I378" s="8">
        <f t="shared" si="35"/>
        <v>0.8444954010274528</v>
      </c>
      <c r="J378" s="3" t="s">
        <v>208</v>
      </c>
    </row>
    <row r="379" spans="1:10" x14ac:dyDescent="0.25">
      <c r="A379" s="3" t="s">
        <v>389</v>
      </c>
      <c r="B379" s="3" t="str">
        <f t="shared" si="30"/>
        <v>5</v>
      </c>
      <c r="C379" s="7">
        <f t="shared" si="31"/>
        <v>6.4432989690721648E-4</v>
      </c>
      <c r="D379" s="8">
        <f t="shared" si="34"/>
        <v>0.24355670103092711</v>
      </c>
      <c r="E379" s="4">
        <v>79</v>
      </c>
      <c r="F379" s="5">
        <v>53.84</v>
      </c>
      <c r="G379" s="10">
        <f t="shared" si="32"/>
        <v>4253.3600000000006</v>
      </c>
      <c r="H379" s="7">
        <f t="shared" si="33"/>
        <v>5.1529515475781196E-4</v>
      </c>
      <c r="I379" s="8">
        <f t="shared" si="35"/>
        <v>0.84501069618221059</v>
      </c>
      <c r="J379" s="3" t="s">
        <v>208</v>
      </c>
    </row>
    <row r="380" spans="1:10" x14ac:dyDescent="0.25">
      <c r="A380" s="3" t="s">
        <v>390</v>
      </c>
      <c r="B380" s="3" t="str">
        <f t="shared" si="30"/>
        <v>3</v>
      </c>
      <c r="C380" s="7">
        <f t="shared" si="31"/>
        <v>6.4432989690721648E-4</v>
      </c>
      <c r="D380" s="8">
        <f t="shared" si="34"/>
        <v>0.24420103092783432</v>
      </c>
      <c r="E380" s="4">
        <v>4</v>
      </c>
      <c r="F380" s="5">
        <v>1060.5899999999999</v>
      </c>
      <c r="G380" s="10">
        <f t="shared" si="32"/>
        <v>4242.3599999999997</v>
      </c>
      <c r="H380" s="7">
        <f t="shared" si="33"/>
        <v>5.1396250322999952E-4</v>
      </c>
      <c r="I380" s="8">
        <f t="shared" si="35"/>
        <v>0.84552465868544058</v>
      </c>
      <c r="J380" s="3" t="s">
        <v>208</v>
      </c>
    </row>
    <row r="381" spans="1:10" x14ac:dyDescent="0.25">
      <c r="A381" s="3" t="s">
        <v>391</v>
      </c>
      <c r="B381" s="3" t="str">
        <f t="shared" si="30"/>
        <v>1</v>
      </c>
      <c r="C381" s="7">
        <f t="shared" si="31"/>
        <v>6.4432989690721648E-4</v>
      </c>
      <c r="D381" s="8">
        <f t="shared" si="34"/>
        <v>0.24484536082474154</v>
      </c>
      <c r="E381" s="4">
        <v>4</v>
      </c>
      <c r="F381" s="5">
        <v>1059.6400000000001</v>
      </c>
      <c r="G381" s="10">
        <f t="shared" si="32"/>
        <v>4238.5600000000004</v>
      </c>
      <c r="H381" s="7">
        <f t="shared" si="33"/>
        <v>5.1350213270220989E-4</v>
      </c>
      <c r="I381" s="8">
        <f t="shared" si="35"/>
        <v>0.84603816081814276</v>
      </c>
      <c r="J381" s="3" t="s">
        <v>208</v>
      </c>
    </row>
    <row r="382" spans="1:10" x14ac:dyDescent="0.25">
      <c r="A382" s="3" t="s">
        <v>392</v>
      </c>
      <c r="B382" s="3" t="str">
        <f t="shared" si="30"/>
        <v>4</v>
      </c>
      <c r="C382" s="7">
        <f t="shared" si="31"/>
        <v>6.4432989690721648E-4</v>
      </c>
      <c r="D382" s="8">
        <f t="shared" si="34"/>
        <v>0.24548969072164875</v>
      </c>
      <c r="E382" s="4">
        <v>9</v>
      </c>
      <c r="F382" s="5">
        <v>464.44</v>
      </c>
      <c r="G382" s="10">
        <f t="shared" si="32"/>
        <v>4179.96</v>
      </c>
      <c r="H382" s="7">
        <f t="shared" si="33"/>
        <v>5.0640273456313675E-4</v>
      </c>
      <c r="I382" s="8">
        <f t="shared" si="35"/>
        <v>0.84654456355270591</v>
      </c>
      <c r="J382" s="3" t="s">
        <v>208</v>
      </c>
    </row>
    <row r="383" spans="1:10" x14ac:dyDescent="0.25">
      <c r="A383" s="3" t="s">
        <v>393</v>
      </c>
      <c r="B383" s="3" t="str">
        <f t="shared" si="30"/>
        <v>6</v>
      </c>
      <c r="C383" s="7">
        <f t="shared" si="31"/>
        <v>6.4432989690721648E-4</v>
      </c>
      <c r="D383" s="8">
        <f t="shared" si="34"/>
        <v>0.24613402061855597</v>
      </c>
      <c r="E383" s="4">
        <v>46</v>
      </c>
      <c r="F383" s="5">
        <v>90.58</v>
      </c>
      <c r="G383" s="10">
        <f t="shared" si="32"/>
        <v>4166.68</v>
      </c>
      <c r="H383" s="7">
        <f t="shared" si="33"/>
        <v>5.0479386071865056E-4</v>
      </c>
      <c r="I383" s="8">
        <f t="shared" si="35"/>
        <v>0.84704935741342458</v>
      </c>
      <c r="J383" s="3" t="s">
        <v>208</v>
      </c>
    </row>
    <row r="384" spans="1:10" x14ac:dyDescent="0.25">
      <c r="A384" s="3" t="s">
        <v>394</v>
      </c>
      <c r="B384" s="3" t="str">
        <f t="shared" si="30"/>
        <v>3</v>
      </c>
      <c r="C384" s="7">
        <f t="shared" si="31"/>
        <v>6.4432989690721648E-4</v>
      </c>
      <c r="D384" s="8">
        <f t="shared" si="34"/>
        <v>0.24677835051546318</v>
      </c>
      <c r="E384" s="4">
        <v>27</v>
      </c>
      <c r="F384" s="5">
        <v>153.13999999999999</v>
      </c>
      <c r="G384" s="10">
        <f t="shared" si="32"/>
        <v>4134.78</v>
      </c>
      <c r="H384" s="7">
        <f t="shared" si="33"/>
        <v>5.0092917128799475E-4</v>
      </c>
      <c r="I384" s="8">
        <f t="shared" si="35"/>
        <v>0.84755028658471254</v>
      </c>
      <c r="J384" s="3" t="s">
        <v>208</v>
      </c>
    </row>
    <row r="385" spans="1:10" x14ac:dyDescent="0.25">
      <c r="A385" s="3" t="s">
        <v>395</v>
      </c>
      <c r="B385" s="3" t="str">
        <f t="shared" si="30"/>
        <v>3</v>
      </c>
      <c r="C385" s="7">
        <f t="shared" si="31"/>
        <v>6.4432989690721648E-4</v>
      </c>
      <c r="D385" s="8">
        <f t="shared" si="34"/>
        <v>0.24742268041237039</v>
      </c>
      <c r="E385" s="4">
        <v>13</v>
      </c>
      <c r="F385" s="5">
        <v>317.76</v>
      </c>
      <c r="G385" s="10">
        <f t="shared" si="32"/>
        <v>4130.88</v>
      </c>
      <c r="H385" s="7">
        <f t="shared" si="33"/>
        <v>5.0045668574631589E-4</v>
      </c>
      <c r="I385" s="8">
        <f t="shared" si="35"/>
        <v>0.84805074327045882</v>
      </c>
      <c r="J385" s="3" t="s">
        <v>208</v>
      </c>
    </row>
    <row r="386" spans="1:10" x14ac:dyDescent="0.25">
      <c r="A386" s="3" t="s">
        <v>396</v>
      </c>
      <c r="B386" s="3" t="str">
        <f t="shared" ref="B386:B449" si="36">RIGHT(A386,1)</f>
        <v>8</v>
      </c>
      <c r="C386" s="7">
        <f t="shared" ref="C386:C449" si="37">1/COUNTA(A$2:A$1553)</f>
        <v>6.4432989690721648E-4</v>
      </c>
      <c r="D386" s="8">
        <f t="shared" si="34"/>
        <v>0.24806701030927761</v>
      </c>
      <c r="E386" s="4">
        <v>77</v>
      </c>
      <c r="F386" s="5">
        <v>53.54</v>
      </c>
      <c r="G386" s="10">
        <f t="shared" ref="G386:G449" si="38">E386*F386</f>
        <v>4122.58</v>
      </c>
      <c r="H386" s="7">
        <f t="shared" ref="H386:H449" si="39">G386/SUM(G$2:G$1553)</f>
        <v>4.9945113959351192E-4</v>
      </c>
      <c r="I386" s="8">
        <f t="shared" si="35"/>
        <v>0.84855019441005231</v>
      </c>
      <c r="J386" s="3" t="s">
        <v>208</v>
      </c>
    </row>
    <row r="387" spans="1:10" x14ac:dyDescent="0.25">
      <c r="A387" s="3" t="s">
        <v>397</v>
      </c>
      <c r="B387" s="3" t="str">
        <f t="shared" si="36"/>
        <v>8</v>
      </c>
      <c r="C387" s="7">
        <f t="shared" si="37"/>
        <v>6.4432989690721648E-4</v>
      </c>
      <c r="D387" s="8">
        <f t="shared" ref="D387:D450" si="40">D386+C387</f>
        <v>0.24871134020618482</v>
      </c>
      <c r="E387" s="4">
        <v>643</v>
      </c>
      <c r="F387" s="5">
        <v>6.41</v>
      </c>
      <c r="G387" s="10">
        <f t="shared" si="38"/>
        <v>4121.63</v>
      </c>
      <c r="H387" s="7">
        <f t="shared" si="39"/>
        <v>4.9933604696156459E-4</v>
      </c>
      <c r="I387" s="8">
        <f t="shared" ref="I387:I450" si="41">I386+H387</f>
        <v>0.84904953045701392</v>
      </c>
      <c r="J387" s="3" t="s">
        <v>208</v>
      </c>
    </row>
    <row r="388" spans="1:10" x14ac:dyDescent="0.25">
      <c r="A388" s="3" t="s">
        <v>398</v>
      </c>
      <c r="B388" s="3" t="str">
        <f t="shared" si="36"/>
        <v>1</v>
      </c>
      <c r="C388" s="7">
        <f t="shared" si="37"/>
        <v>6.4432989690721648E-4</v>
      </c>
      <c r="D388" s="8">
        <f t="shared" si="40"/>
        <v>0.24935567010309204</v>
      </c>
      <c r="E388" s="4">
        <v>4</v>
      </c>
      <c r="F388" s="5">
        <v>1018.22</v>
      </c>
      <c r="G388" s="10">
        <f t="shared" si="38"/>
        <v>4072.88</v>
      </c>
      <c r="H388" s="7">
        <f t="shared" si="39"/>
        <v>4.93429977690578E-4</v>
      </c>
      <c r="I388" s="8">
        <f t="shared" si="41"/>
        <v>0.84954296043470445</v>
      </c>
      <c r="J388" s="3" t="s">
        <v>208</v>
      </c>
    </row>
    <row r="389" spans="1:10" x14ac:dyDescent="0.25">
      <c r="A389" s="3" t="s">
        <v>399</v>
      </c>
      <c r="B389" s="3" t="str">
        <f t="shared" si="36"/>
        <v>7</v>
      </c>
      <c r="C389" s="7">
        <f t="shared" si="37"/>
        <v>6.4432989690721648E-4</v>
      </c>
      <c r="D389" s="8">
        <f t="shared" si="40"/>
        <v>0.24999999999999925</v>
      </c>
      <c r="E389" s="4">
        <v>21</v>
      </c>
      <c r="F389" s="5">
        <v>193.5</v>
      </c>
      <c r="G389" s="10">
        <f t="shared" si="38"/>
        <v>4063.5</v>
      </c>
      <c r="H389" s="7">
        <f t="shared" si="39"/>
        <v>4.9229358938777078E-4</v>
      </c>
      <c r="I389" s="8">
        <f t="shared" si="41"/>
        <v>0.85003525402409219</v>
      </c>
      <c r="J389" s="3" t="s">
        <v>208</v>
      </c>
    </row>
    <row r="390" spans="1:10" x14ac:dyDescent="0.25">
      <c r="A390" s="3" t="s">
        <v>400</v>
      </c>
      <c r="B390" s="3" t="str">
        <f t="shared" si="36"/>
        <v>9</v>
      </c>
      <c r="C390" s="7">
        <f t="shared" si="37"/>
        <v>6.4432989690721648E-4</v>
      </c>
      <c r="D390" s="8">
        <f t="shared" si="40"/>
        <v>0.25064432989690649</v>
      </c>
      <c r="E390" s="4">
        <v>53</v>
      </c>
      <c r="F390" s="5">
        <v>76.52</v>
      </c>
      <c r="G390" s="10">
        <f t="shared" si="38"/>
        <v>4055.56</v>
      </c>
      <c r="H390" s="7">
        <f t="shared" si="39"/>
        <v>4.9133165728496801E-4</v>
      </c>
      <c r="I390" s="8">
        <f t="shared" si="41"/>
        <v>0.85052658568137718</v>
      </c>
      <c r="J390" s="3" t="s">
        <v>208</v>
      </c>
    </row>
    <row r="391" spans="1:10" x14ac:dyDescent="0.25">
      <c r="A391" s="3" t="s">
        <v>401</v>
      </c>
      <c r="B391" s="3" t="str">
        <f t="shared" si="36"/>
        <v>5</v>
      </c>
      <c r="C391" s="7">
        <f t="shared" si="37"/>
        <v>6.4432989690721648E-4</v>
      </c>
      <c r="D391" s="8">
        <f t="shared" si="40"/>
        <v>0.25128865979381371</v>
      </c>
      <c r="E391" s="4">
        <v>611</v>
      </c>
      <c r="F391" s="5">
        <v>6.61</v>
      </c>
      <c r="G391" s="10">
        <f t="shared" si="38"/>
        <v>4038.71</v>
      </c>
      <c r="H391" s="7">
        <f t="shared" si="39"/>
        <v>4.8929027744463722E-4</v>
      </c>
      <c r="I391" s="8">
        <f t="shared" si="41"/>
        <v>0.85101587595882178</v>
      </c>
      <c r="J391" s="3" t="s">
        <v>208</v>
      </c>
    </row>
    <row r="392" spans="1:10" x14ac:dyDescent="0.25">
      <c r="A392" s="3" t="s">
        <v>402</v>
      </c>
      <c r="B392" s="3" t="str">
        <f t="shared" si="36"/>
        <v>8</v>
      </c>
      <c r="C392" s="7">
        <f t="shared" si="37"/>
        <v>6.4432989690721648E-4</v>
      </c>
      <c r="D392" s="8">
        <f t="shared" si="40"/>
        <v>0.25193298969072092</v>
      </c>
      <c r="E392" s="4">
        <v>93</v>
      </c>
      <c r="F392" s="5">
        <v>43.18</v>
      </c>
      <c r="G392" s="10">
        <f t="shared" si="38"/>
        <v>4015.74</v>
      </c>
      <c r="H392" s="7">
        <f t="shared" si="39"/>
        <v>4.8650745875428728E-4</v>
      </c>
      <c r="I392" s="8">
        <f t="shared" si="41"/>
        <v>0.85150238341757611</v>
      </c>
      <c r="J392" s="3" t="s">
        <v>208</v>
      </c>
    </row>
    <row r="393" spans="1:10" x14ac:dyDescent="0.25">
      <c r="A393" s="3" t="s">
        <v>403</v>
      </c>
      <c r="B393" s="3" t="str">
        <f t="shared" si="36"/>
        <v>1</v>
      </c>
      <c r="C393" s="7">
        <f t="shared" si="37"/>
        <v>6.4432989690721648E-4</v>
      </c>
      <c r="D393" s="8">
        <f t="shared" si="40"/>
        <v>0.25257731958762814</v>
      </c>
      <c r="E393" s="4">
        <v>9</v>
      </c>
      <c r="F393" s="5">
        <v>444.92</v>
      </c>
      <c r="G393" s="10">
        <f t="shared" si="38"/>
        <v>4004.28</v>
      </c>
      <c r="H393" s="7">
        <f t="shared" si="39"/>
        <v>4.8511907816258464E-4</v>
      </c>
      <c r="I393" s="8">
        <f t="shared" si="41"/>
        <v>0.85198750249573874</v>
      </c>
      <c r="J393" s="3" t="s">
        <v>208</v>
      </c>
    </row>
    <row r="394" spans="1:10" x14ac:dyDescent="0.25">
      <c r="A394" s="3" t="s">
        <v>404</v>
      </c>
      <c r="B394" s="3" t="str">
        <f t="shared" si="36"/>
        <v>5</v>
      </c>
      <c r="C394" s="7">
        <f t="shared" si="37"/>
        <v>6.4432989690721648E-4</v>
      </c>
      <c r="D394" s="8">
        <f t="shared" si="40"/>
        <v>0.25322164948453535</v>
      </c>
      <c r="E394" s="4">
        <v>84</v>
      </c>
      <c r="F394" s="5">
        <v>47.3</v>
      </c>
      <c r="G394" s="10">
        <f t="shared" si="38"/>
        <v>3973.2</v>
      </c>
      <c r="H394" s="7">
        <f t="shared" si="39"/>
        <v>4.8135373184582023E-4</v>
      </c>
      <c r="I394" s="8">
        <f t="shared" si="41"/>
        <v>0.8524688562275845</v>
      </c>
      <c r="J394" s="3" t="s">
        <v>208</v>
      </c>
    </row>
    <row r="395" spans="1:10" x14ac:dyDescent="0.25">
      <c r="A395" s="3" t="s">
        <v>405</v>
      </c>
      <c r="B395" s="3" t="str">
        <f t="shared" si="36"/>
        <v>5</v>
      </c>
      <c r="C395" s="7">
        <f t="shared" si="37"/>
        <v>6.4432989690721648E-4</v>
      </c>
      <c r="D395" s="8">
        <f t="shared" si="40"/>
        <v>0.25386597938144256</v>
      </c>
      <c r="E395" s="4">
        <v>71</v>
      </c>
      <c r="F395" s="5">
        <v>55.9</v>
      </c>
      <c r="G395" s="10">
        <f t="shared" si="38"/>
        <v>3968.9</v>
      </c>
      <c r="H395" s="7">
        <f t="shared" si="39"/>
        <v>4.8083278624858452E-4</v>
      </c>
      <c r="I395" s="8">
        <f t="shared" si="41"/>
        <v>0.85294968901383306</v>
      </c>
      <c r="J395" s="3" t="s">
        <v>208</v>
      </c>
    </row>
    <row r="396" spans="1:10" x14ac:dyDescent="0.25">
      <c r="A396" s="3" t="s">
        <v>406</v>
      </c>
      <c r="B396" s="3" t="str">
        <f t="shared" si="36"/>
        <v>4</v>
      </c>
      <c r="C396" s="7">
        <f t="shared" si="37"/>
        <v>6.4432989690721648E-4</v>
      </c>
      <c r="D396" s="8">
        <f t="shared" si="40"/>
        <v>0.25451030927834978</v>
      </c>
      <c r="E396" s="4">
        <v>14</v>
      </c>
      <c r="F396" s="5">
        <v>283.08</v>
      </c>
      <c r="G396" s="10">
        <f t="shared" si="38"/>
        <v>3963.12</v>
      </c>
      <c r="H396" s="7">
        <f t="shared" si="39"/>
        <v>4.8013253844578858E-4</v>
      </c>
      <c r="I396" s="8">
        <f t="shared" si="41"/>
        <v>0.85342982155227887</v>
      </c>
      <c r="J396" s="3" t="s">
        <v>208</v>
      </c>
    </row>
    <row r="397" spans="1:10" x14ac:dyDescent="0.25">
      <c r="A397" s="3" t="s">
        <v>407</v>
      </c>
      <c r="B397" s="3" t="str">
        <f t="shared" si="36"/>
        <v>3</v>
      </c>
      <c r="C397" s="7">
        <f t="shared" si="37"/>
        <v>6.4432989690721648E-4</v>
      </c>
      <c r="D397" s="8">
        <f t="shared" si="40"/>
        <v>0.25515463917525699</v>
      </c>
      <c r="E397" s="4">
        <v>4</v>
      </c>
      <c r="F397" s="5">
        <v>988.46</v>
      </c>
      <c r="G397" s="10">
        <f t="shared" si="38"/>
        <v>3953.84</v>
      </c>
      <c r="H397" s="7">
        <f t="shared" si="39"/>
        <v>4.7900826515687053E-4</v>
      </c>
      <c r="I397" s="8">
        <f t="shared" si="41"/>
        <v>0.85390882981743577</v>
      </c>
      <c r="J397" s="3" t="s">
        <v>208</v>
      </c>
    </row>
    <row r="398" spans="1:10" x14ac:dyDescent="0.25">
      <c r="A398" s="3" t="s">
        <v>408</v>
      </c>
      <c r="B398" s="3" t="str">
        <f t="shared" si="36"/>
        <v>8</v>
      </c>
      <c r="C398" s="7">
        <f t="shared" si="37"/>
        <v>6.4432989690721648E-4</v>
      </c>
      <c r="D398" s="8">
        <f t="shared" si="40"/>
        <v>0.25579896907216421</v>
      </c>
      <c r="E398" s="4">
        <v>64</v>
      </c>
      <c r="F398" s="5">
        <v>60.57</v>
      </c>
      <c r="G398" s="10">
        <f t="shared" si="38"/>
        <v>3876.48</v>
      </c>
      <c r="H398" s="7">
        <f t="shared" si="39"/>
        <v>4.6963609041218295E-4</v>
      </c>
      <c r="I398" s="8">
        <f t="shared" si="41"/>
        <v>0.85437846590784794</v>
      </c>
      <c r="J398" s="3" t="s">
        <v>208</v>
      </c>
    </row>
    <row r="399" spans="1:10" x14ac:dyDescent="0.25">
      <c r="A399" s="3" t="s">
        <v>409</v>
      </c>
      <c r="B399" s="3" t="str">
        <f t="shared" si="36"/>
        <v>4</v>
      </c>
      <c r="C399" s="7">
        <f t="shared" si="37"/>
        <v>6.4432989690721648E-4</v>
      </c>
      <c r="D399" s="8">
        <f t="shared" si="40"/>
        <v>0.25644329896907142</v>
      </c>
      <c r="E399" s="4">
        <v>13</v>
      </c>
      <c r="F399" s="5">
        <v>297.17</v>
      </c>
      <c r="G399" s="10">
        <f t="shared" si="38"/>
        <v>3863.21</v>
      </c>
      <c r="H399" s="7">
        <f t="shared" si="39"/>
        <v>4.6802842806908571E-4</v>
      </c>
      <c r="I399" s="8">
        <f t="shared" si="41"/>
        <v>0.85484649433591697</v>
      </c>
      <c r="J399" s="3" t="s">
        <v>208</v>
      </c>
    </row>
    <row r="400" spans="1:10" x14ac:dyDescent="0.25">
      <c r="A400" s="3" t="s">
        <v>410</v>
      </c>
      <c r="B400" s="3" t="str">
        <f t="shared" si="36"/>
        <v>4</v>
      </c>
      <c r="C400" s="7">
        <f t="shared" si="37"/>
        <v>6.4432989690721648E-4</v>
      </c>
      <c r="D400" s="8">
        <f t="shared" si="40"/>
        <v>0.25708762886597863</v>
      </c>
      <c r="E400" s="4">
        <v>8</v>
      </c>
      <c r="F400" s="5">
        <v>482.84</v>
      </c>
      <c r="G400" s="10">
        <f t="shared" si="38"/>
        <v>3862.72</v>
      </c>
      <c r="H400" s="7">
        <f t="shared" si="39"/>
        <v>4.6796906450102859E-4</v>
      </c>
      <c r="I400" s="8">
        <f t="shared" si="41"/>
        <v>0.85531446340041806</v>
      </c>
      <c r="J400" s="3" t="s">
        <v>208</v>
      </c>
    </row>
    <row r="401" spans="1:10" x14ac:dyDescent="0.25">
      <c r="A401" s="3" t="s">
        <v>411</v>
      </c>
      <c r="B401" s="3" t="str">
        <f t="shared" si="36"/>
        <v>5</v>
      </c>
      <c r="C401" s="7">
        <f t="shared" si="37"/>
        <v>6.4432989690721648E-4</v>
      </c>
      <c r="D401" s="8">
        <f t="shared" si="40"/>
        <v>0.25773195876288585</v>
      </c>
      <c r="E401" s="4">
        <v>19</v>
      </c>
      <c r="F401" s="5">
        <v>203.15</v>
      </c>
      <c r="G401" s="10">
        <f t="shared" si="38"/>
        <v>3859.85</v>
      </c>
      <c r="H401" s="7">
        <f t="shared" si="39"/>
        <v>4.6762136360240848E-4</v>
      </c>
      <c r="I401" s="8">
        <f t="shared" si="41"/>
        <v>0.85578208476402051</v>
      </c>
      <c r="J401" s="3" t="s">
        <v>208</v>
      </c>
    </row>
    <row r="402" spans="1:10" x14ac:dyDescent="0.25">
      <c r="A402" s="3" t="s">
        <v>412</v>
      </c>
      <c r="B402" s="3" t="str">
        <f t="shared" si="36"/>
        <v>9</v>
      </c>
      <c r="C402" s="7">
        <f t="shared" si="37"/>
        <v>6.4432989690721648E-4</v>
      </c>
      <c r="D402" s="8">
        <f t="shared" si="40"/>
        <v>0.25837628865979306</v>
      </c>
      <c r="E402" s="4">
        <v>14</v>
      </c>
      <c r="F402" s="5">
        <v>274.95</v>
      </c>
      <c r="G402" s="10">
        <f t="shared" si="38"/>
        <v>3849.2999999999997</v>
      </c>
      <c r="H402" s="7">
        <f t="shared" si="39"/>
        <v>4.6634322963709751E-4</v>
      </c>
      <c r="I402" s="8">
        <f t="shared" si="41"/>
        <v>0.85624842799365763</v>
      </c>
      <c r="J402" s="3" t="s">
        <v>208</v>
      </c>
    </row>
    <row r="403" spans="1:10" x14ac:dyDescent="0.25">
      <c r="A403" s="3" t="s">
        <v>413</v>
      </c>
      <c r="B403" s="3" t="str">
        <f t="shared" si="36"/>
        <v>2</v>
      </c>
      <c r="C403" s="7">
        <f t="shared" si="37"/>
        <v>6.4432989690721648E-4</v>
      </c>
      <c r="D403" s="8">
        <f t="shared" si="40"/>
        <v>0.25902061855670028</v>
      </c>
      <c r="E403" s="4">
        <v>468</v>
      </c>
      <c r="F403" s="5">
        <v>8.2100000000000009</v>
      </c>
      <c r="G403" s="10">
        <f t="shared" si="38"/>
        <v>3842.28</v>
      </c>
      <c r="H403" s="7">
        <f t="shared" si="39"/>
        <v>4.6549275566207552E-4</v>
      </c>
      <c r="I403" s="8">
        <f t="shared" si="41"/>
        <v>0.85671392074931974</v>
      </c>
      <c r="J403" s="3" t="s">
        <v>208</v>
      </c>
    </row>
    <row r="404" spans="1:10" x14ac:dyDescent="0.25">
      <c r="A404" s="3" t="s">
        <v>414</v>
      </c>
      <c r="B404" s="3" t="str">
        <f t="shared" si="36"/>
        <v>6</v>
      </c>
      <c r="C404" s="7">
        <f t="shared" si="37"/>
        <v>6.4432989690721648E-4</v>
      </c>
      <c r="D404" s="8">
        <f t="shared" si="40"/>
        <v>0.25966494845360749</v>
      </c>
      <c r="E404" s="4">
        <v>187</v>
      </c>
      <c r="F404" s="5">
        <v>20.54</v>
      </c>
      <c r="G404" s="10">
        <f t="shared" si="38"/>
        <v>3840.98</v>
      </c>
      <c r="H404" s="7">
        <f t="shared" si="39"/>
        <v>4.6533526048151585E-4</v>
      </c>
      <c r="I404" s="8">
        <f t="shared" si="41"/>
        <v>0.85717925600980127</v>
      </c>
      <c r="J404" s="3" t="s">
        <v>208</v>
      </c>
    </row>
    <row r="405" spans="1:10" x14ac:dyDescent="0.25">
      <c r="A405" s="3" t="s">
        <v>415</v>
      </c>
      <c r="B405" s="3" t="str">
        <f t="shared" si="36"/>
        <v>3</v>
      </c>
      <c r="C405" s="7">
        <f t="shared" si="37"/>
        <v>6.4432989690721648E-4</v>
      </c>
      <c r="D405" s="8">
        <f t="shared" si="40"/>
        <v>0.26030927835051471</v>
      </c>
      <c r="E405" s="4">
        <v>6</v>
      </c>
      <c r="F405" s="5">
        <v>640.04999999999995</v>
      </c>
      <c r="G405" s="10">
        <f t="shared" si="38"/>
        <v>3840.2999999999997</v>
      </c>
      <c r="H405" s="7">
        <f t="shared" si="39"/>
        <v>4.6525287838706923E-4</v>
      </c>
      <c r="I405" s="8">
        <f t="shared" si="41"/>
        <v>0.85764450888818833</v>
      </c>
      <c r="J405" s="3" t="s">
        <v>208</v>
      </c>
    </row>
    <row r="406" spans="1:10" x14ac:dyDescent="0.25">
      <c r="A406" s="3" t="s">
        <v>416</v>
      </c>
      <c r="B406" s="3" t="str">
        <f t="shared" si="36"/>
        <v>2</v>
      </c>
      <c r="C406" s="7">
        <f t="shared" si="37"/>
        <v>6.4432989690721648E-4</v>
      </c>
      <c r="D406" s="8">
        <f t="shared" si="40"/>
        <v>0.26095360824742192</v>
      </c>
      <c r="E406" s="4">
        <v>135</v>
      </c>
      <c r="F406" s="5">
        <v>28.44</v>
      </c>
      <c r="G406" s="10">
        <f t="shared" si="38"/>
        <v>3839.4</v>
      </c>
      <c r="H406" s="7">
        <f t="shared" si="39"/>
        <v>4.6514384326206646E-4</v>
      </c>
      <c r="I406" s="8">
        <f t="shared" si="41"/>
        <v>0.85810965273145035</v>
      </c>
      <c r="J406" s="3" t="s">
        <v>208</v>
      </c>
    </row>
    <row r="407" spans="1:10" x14ac:dyDescent="0.25">
      <c r="A407" s="3" t="s">
        <v>417</v>
      </c>
      <c r="B407" s="3" t="str">
        <f t="shared" si="36"/>
        <v>1</v>
      </c>
      <c r="C407" s="7">
        <f t="shared" si="37"/>
        <v>6.4432989690721648E-4</v>
      </c>
      <c r="D407" s="8">
        <f t="shared" si="40"/>
        <v>0.26159793814432913</v>
      </c>
      <c r="E407" s="4">
        <v>5</v>
      </c>
      <c r="F407" s="5">
        <v>757.24</v>
      </c>
      <c r="G407" s="10">
        <f t="shared" si="38"/>
        <v>3786.2</v>
      </c>
      <c r="H407" s="7">
        <f t="shared" si="39"/>
        <v>4.5869865587301031E-4</v>
      </c>
      <c r="I407" s="8">
        <f t="shared" si="41"/>
        <v>0.85856835138732335</v>
      </c>
      <c r="J407" s="3" t="s">
        <v>208</v>
      </c>
    </row>
    <row r="408" spans="1:10" x14ac:dyDescent="0.25">
      <c r="A408" s="3" t="s">
        <v>418</v>
      </c>
      <c r="B408" s="3" t="str">
        <f t="shared" si="36"/>
        <v>8</v>
      </c>
      <c r="C408" s="7">
        <f t="shared" si="37"/>
        <v>6.4432989690721648E-4</v>
      </c>
      <c r="D408" s="8">
        <f t="shared" si="40"/>
        <v>0.26224226804123635</v>
      </c>
      <c r="E408" s="4">
        <v>77</v>
      </c>
      <c r="F408" s="5">
        <v>49.06</v>
      </c>
      <c r="G408" s="10">
        <f t="shared" si="38"/>
        <v>3777.6200000000003</v>
      </c>
      <c r="H408" s="7">
        <f t="shared" si="39"/>
        <v>4.5765918768131674E-4</v>
      </c>
      <c r="I408" s="8">
        <f t="shared" si="41"/>
        <v>0.85902601057500472</v>
      </c>
      <c r="J408" s="3" t="s">
        <v>208</v>
      </c>
    </row>
    <row r="409" spans="1:10" x14ac:dyDescent="0.25">
      <c r="A409" s="3" t="s">
        <v>419</v>
      </c>
      <c r="B409" s="3" t="str">
        <f t="shared" si="36"/>
        <v>3</v>
      </c>
      <c r="C409" s="7">
        <f t="shared" si="37"/>
        <v>6.4432989690721648E-4</v>
      </c>
      <c r="D409" s="8">
        <f t="shared" si="40"/>
        <v>0.26288659793814356</v>
      </c>
      <c r="E409" s="4">
        <v>9</v>
      </c>
      <c r="F409" s="5">
        <v>413.54</v>
      </c>
      <c r="G409" s="10">
        <f t="shared" si="38"/>
        <v>3721.86</v>
      </c>
      <c r="H409" s="7">
        <f t="shared" si="39"/>
        <v>4.5090385593669706E-4</v>
      </c>
      <c r="I409" s="8">
        <f t="shared" si="41"/>
        <v>0.85947691443094143</v>
      </c>
      <c r="J409" s="3" t="s">
        <v>208</v>
      </c>
    </row>
    <row r="410" spans="1:10" x14ac:dyDescent="0.25">
      <c r="A410" s="3" t="s">
        <v>420</v>
      </c>
      <c r="B410" s="3" t="str">
        <f t="shared" si="36"/>
        <v>1</v>
      </c>
      <c r="C410" s="7">
        <f t="shared" si="37"/>
        <v>6.4432989690721648E-4</v>
      </c>
      <c r="D410" s="8">
        <f t="shared" si="40"/>
        <v>0.26353092783505078</v>
      </c>
      <c r="E410" s="4">
        <v>5</v>
      </c>
      <c r="F410" s="5">
        <v>741.38</v>
      </c>
      <c r="G410" s="10">
        <f t="shared" si="38"/>
        <v>3706.9</v>
      </c>
      <c r="H410" s="7">
        <f t="shared" si="39"/>
        <v>4.4909144985887225E-4</v>
      </c>
      <c r="I410" s="8">
        <f t="shared" si="41"/>
        <v>0.85992600588080026</v>
      </c>
      <c r="J410" s="3" t="s">
        <v>208</v>
      </c>
    </row>
    <row r="411" spans="1:10" x14ac:dyDescent="0.25">
      <c r="A411" s="3" t="s">
        <v>421</v>
      </c>
      <c r="B411" s="3" t="str">
        <f t="shared" si="36"/>
        <v>1</v>
      </c>
      <c r="C411" s="7">
        <f t="shared" si="37"/>
        <v>6.4432989690721648E-4</v>
      </c>
      <c r="D411" s="8">
        <f t="shared" si="40"/>
        <v>0.26417525773195799</v>
      </c>
      <c r="E411" s="4">
        <v>5</v>
      </c>
      <c r="F411" s="5">
        <v>740.79</v>
      </c>
      <c r="G411" s="10">
        <f t="shared" si="38"/>
        <v>3703.95</v>
      </c>
      <c r="H411" s="7">
        <f t="shared" si="39"/>
        <v>4.4873405694914072E-4</v>
      </c>
      <c r="I411" s="8">
        <f t="shared" si="41"/>
        <v>0.86037473993774938</v>
      </c>
      <c r="J411" s="3" t="s">
        <v>208</v>
      </c>
    </row>
    <row r="412" spans="1:10" x14ac:dyDescent="0.25">
      <c r="A412" s="3" t="s">
        <v>422</v>
      </c>
      <c r="B412" s="3" t="str">
        <f t="shared" si="36"/>
        <v>5</v>
      </c>
      <c r="C412" s="7">
        <f t="shared" si="37"/>
        <v>6.4432989690721648E-4</v>
      </c>
      <c r="D412" s="8">
        <f t="shared" si="40"/>
        <v>0.26481958762886521</v>
      </c>
      <c r="E412" s="4">
        <v>33</v>
      </c>
      <c r="F412" s="5">
        <v>111.99</v>
      </c>
      <c r="G412" s="10">
        <f t="shared" si="38"/>
        <v>3695.6699999999996</v>
      </c>
      <c r="H412" s="7">
        <f t="shared" si="39"/>
        <v>4.4773093379911466E-4</v>
      </c>
      <c r="I412" s="8">
        <f t="shared" si="41"/>
        <v>0.86082247087154851</v>
      </c>
      <c r="J412" s="3" t="s">
        <v>208</v>
      </c>
    </row>
    <row r="413" spans="1:10" x14ac:dyDescent="0.25">
      <c r="A413" s="3" t="s">
        <v>423</v>
      </c>
      <c r="B413" s="3" t="str">
        <f t="shared" si="36"/>
        <v>2</v>
      </c>
      <c r="C413" s="7">
        <f t="shared" si="37"/>
        <v>6.4432989690721648E-4</v>
      </c>
      <c r="D413" s="8">
        <f t="shared" si="40"/>
        <v>0.26546391752577242</v>
      </c>
      <c r="E413" s="4">
        <v>107</v>
      </c>
      <c r="F413" s="5">
        <v>34.49</v>
      </c>
      <c r="G413" s="10">
        <f t="shared" si="38"/>
        <v>3690.4300000000003</v>
      </c>
      <c r="H413" s="7">
        <f t="shared" si="39"/>
        <v>4.4709610707132052E-4</v>
      </c>
      <c r="I413" s="8">
        <f t="shared" si="41"/>
        <v>0.86126956697861978</v>
      </c>
      <c r="J413" s="3" t="s">
        <v>208</v>
      </c>
    </row>
    <row r="414" spans="1:10" x14ac:dyDescent="0.25">
      <c r="A414" s="3" t="s">
        <v>424</v>
      </c>
      <c r="B414" s="3" t="str">
        <f t="shared" si="36"/>
        <v>1</v>
      </c>
      <c r="C414" s="7">
        <f t="shared" si="37"/>
        <v>6.4432989690721648E-4</v>
      </c>
      <c r="D414" s="8">
        <f t="shared" si="40"/>
        <v>0.26610824742267963</v>
      </c>
      <c r="E414" s="4">
        <v>13</v>
      </c>
      <c r="F414" s="5">
        <v>283.48</v>
      </c>
      <c r="G414" s="10">
        <f t="shared" si="38"/>
        <v>3685.2400000000002</v>
      </c>
      <c r="H414" s="7">
        <f t="shared" si="39"/>
        <v>4.4646733785047083E-4</v>
      </c>
      <c r="I414" s="8">
        <f t="shared" si="41"/>
        <v>0.86171603431647026</v>
      </c>
      <c r="J414" s="3" t="s">
        <v>208</v>
      </c>
    </row>
    <row r="415" spans="1:10" x14ac:dyDescent="0.25">
      <c r="A415" s="3" t="s">
        <v>425</v>
      </c>
      <c r="B415" s="3" t="str">
        <f t="shared" si="36"/>
        <v>3</v>
      </c>
      <c r="C415" s="7">
        <f t="shared" si="37"/>
        <v>6.4432989690721648E-4</v>
      </c>
      <c r="D415" s="8">
        <f t="shared" si="40"/>
        <v>0.26675257731958685</v>
      </c>
      <c r="E415" s="4">
        <v>5</v>
      </c>
      <c r="F415" s="5">
        <v>735.61</v>
      </c>
      <c r="G415" s="10">
        <f t="shared" si="38"/>
        <v>3678.05</v>
      </c>
      <c r="H415" s="7">
        <f t="shared" si="39"/>
        <v>4.4559626835183715E-4</v>
      </c>
      <c r="I415" s="8">
        <f t="shared" si="41"/>
        <v>0.86216163058482209</v>
      </c>
      <c r="J415" s="3" t="s">
        <v>208</v>
      </c>
    </row>
    <row r="416" spans="1:10" x14ac:dyDescent="0.25">
      <c r="A416" s="3" t="s">
        <v>426</v>
      </c>
      <c r="B416" s="3" t="str">
        <f t="shared" si="36"/>
        <v>3</v>
      </c>
      <c r="C416" s="7">
        <f t="shared" si="37"/>
        <v>6.4432989690721648E-4</v>
      </c>
      <c r="D416" s="8">
        <f t="shared" si="40"/>
        <v>0.26739690721649406</v>
      </c>
      <c r="E416" s="4">
        <v>12</v>
      </c>
      <c r="F416" s="5">
        <v>305.77999999999997</v>
      </c>
      <c r="G416" s="10">
        <f t="shared" si="38"/>
        <v>3669.3599999999997</v>
      </c>
      <c r="H416" s="7">
        <f t="shared" si="39"/>
        <v>4.4454347364486534E-4</v>
      </c>
      <c r="I416" s="8">
        <f t="shared" si="41"/>
        <v>0.86260617405846696</v>
      </c>
      <c r="J416" s="3" t="s">
        <v>208</v>
      </c>
    </row>
    <row r="417" spans="1:10" x14ac:dyDescent="0.25">
      <c r="A417" s="3" t="s">
        <v>427</v>
      </c>
      <c r="B417" s="3" t="str">
        <f t="shared" si="36"/>
        <v>3</v>
      </c>
      <c r="C417" s="7">
        <f t="shared" si="37"/>
        <v>6.4432989690721648E-4</v>
      </c>
      <c r="D417" s="8">
        <f t="shared" si="40"/>
        <v>0.26804123711340128</v>
      </c>
      <c r="E417" s="4">
        <v>4</v>
      </c>
      <c r="F417" s="5">
        <v>915.13</v>
      </c>
      <c r="G417" s="10">
        <f t="shared" si="38"/>
        <v>3660.52</v>
      </c>
      <c r="H417" s="7">
        <f t="shared" si="39"/>
        <v>4.434725064170598E-4</v>
      </c>
      <c r="I417" s="8">
        <f t="shared" si="41"/>
        <v>0.86304964656488403</v>
      </c>
      <c r="J417" s="3" t="s">
        <v>208</v>
      </c>
    </row>
    <row r="418" spans="1:10" x14ac:dyDescent="0.25">
      <c r="A418" s="3" t="s">
        <v>428</v>
      </c>
      <c r="B418" s="3" t="str">
        <f t="shared" si="36"/>
        <v>1</v>
      </c>
      <c r="C418" s="7">
        <f t="shared" si="37"/>
        <v>6.4432989690721648E-4</v>
      </c>
      <c r="D418" s="8">
        <f t="shared" si="40"/>
        <v>0.26868556701030849</v>
      </c>
      <c r="E418" s="4">
        <v>7</v>
      </c>
      <c r="F418" s="5">
        <v>522.35</v>
      </c>
      <c r="G418" s="10">
        <f t="shared" si="38"/>
        <v>3656.4500000000003</v>
      </c>
      <c r="H418" s="7">
        <f t="shared" si="39"/>
        <v>4.4297942535176924E-4</v>
      </c>
      <c r="I418" s="8">
        <f t="shared" si="41"/>
        <v>0.8634926259902358</v>
      </c>
      <c r="J418" s="3" t="s">
        <v>208</v>
      </c>
    </row>
    <row r="419" spans="1:10" x14ac:dyDescent="0.25">
      <c r="A419" s="3" t="s">
        <v>429</v>
      </c>
      <c r="B419" s="3" t="str">
        <f t="shared" si="36"/>
        <v>8</v>
      </c>
      <c r="C419" s="7">
        <f t="shared" si="37"/>
        <v>6.4432989690721648E-4</v>
      </c>
      <c r="D419" s="8">
        <f t="shared" si="40"/>
        <v>0.2693298969072157</v>
      </c>
      <c r="E419" s="4">
        <v>82</v>
      </c>
      <c r="F419" s="5">
        <v>44.58</v>
      </c>
      <c r="G419" s="10">
        <f t="shared" si="38"/>
        <v>3655.56</v>
      </c>
      <c r="H419" s="7">
        <f t="shared" si="39"/>
        <v>4.4287160172815532E-4</v>
      </c>
      <c r="I419" s="8">
        <f t="shared" si="41"/>
        <v>0.86393549759196397</v>
      </c>
      <c r="J419" s="3" t="s">
        <v>208</v>
      </c>
    </row>
    <row r="420" spans="1:10" x14ac:dyDescent="0.25">
      <c r="A420" s="3" t="s">
        <v>430</v>
      </c>
      <c r="B420" s="3" t="str">
        <f t="shared" si="36"/>
        <v>7</v>
      </c>
      <c r="C420" s="7">
        <f t="shared" si="37"/>
        <v>6.4432989690721648E-4</v>
      </c>
      <c r="D420" s="8">
        <f t="shared" si="40"/>
        <v>0.26997422680412292</v>
      </c>
      <c r="E420" s="4">
        <v>69</v>
      </c>
      <c r="F420" s="5">
        <v>52.97</v>
      </c>
      <c r="G420" s="10">
        <f t="shared" si="38"/>
        <v>3654.93</v>
      </c>
      <c r="H420" s="7">
        <f t="shared" si="39"/>
        <v>4.4279527714065331E-4</v>
      </c>
      <c r="I420" s="8">
        <f t="shared" si="41"/>
        <v>0.86437829286910461</v>
      </c>
      <c r="J420" s="3" t="s">
        <v>208</v>
      </c>
    </row>
    <row r="421" spans="1:10" x14ac:dyDescent="0.25">
      <c r="A421" s="3" t="s">
        <v>431</v>
      </c>
      <c r="B421" s="3" t="str">
        <f t="shared" si="36"/>
        <v>2</v>
      </c>
      <c r="C421" s="7">
        <f t="shared" si="37"/>
        <v>6.4432989690721648E-4</v>
      </c>
      <c r="D421" s="8">
        <f t="shared" si="40"/>
        <v>0.27061855670103013</v>
      </c>
      <c r="E421" s="4">
        <v>168</v>
      </c>
      <c r="F421" s="5">
        <v>21.71</v>
      </c>
      <c r="G421" s="10">
        <f t="shared" si="38"/>
        <v>3647.28</v>
      </c>
      <c r="H421" s="7">
        <f t="shared" si="39"/>
        <v>4.4186847857812932E-4</v>
      </c>
      <c r="I421" s="8">
        <f t="shared" si="41"/>
        <v>0.86482016134768269</v>
      </c>
      <c r="J421" s="3" t="s">
        <v>208</v>
      </c>
    </row>
    <row r="422" spans="1:10" x14ac:dyDescent="0.25">
      <c r="A422" s="3" t="s">
        <v>432</v>
      </c>
      <c r="B422" s="3" t="str">
        <f t="shared" si="36"/>
        <v>4</v>
      </c>
      <c r="C422" s="7">
        <f t="shared" si="37"/>
        <v>6.4432989690721648E-4</v>
      </c>
      <c r="D422" s="8">
        <f t="shared" si="40"/>
        <v>0.27126288659793735</v>
      </c>
      <c r="E422" s="4">
        <v>282</v>
      </c>
      <c r="F422" s="5">
        <v>12.92</v>
      </c>
      <c r="G422" s="10">
        <f t="shared" si="38"/>
        <v>3643.44</v>
      </c>
      <c r="H422" s="7">
        <f t="shared" si="39"/>
        <v>4.4140326204478392E-4</v>
      </c>
      <c r="I422" s="8">
        <f t="shared" si="41"/>
        <v>0.86526156460972747</v>
      </c>
      <c r="J422" s="3" t="s">
        <v>208</v>
      </c>
    </row>
    <row r="423" spans="1:10" x14ac:dyDescent="0.25">
      <c r="A423" s="3" t="s">
        <v>433</v>
      </c>
      <c r="B423" s="3" t="str">
        <f t="shared" si="36"/>
        <v>1</v>
      </c>
      <c r="C423" s="7">
        <f t="shared" si="37"/>
        <v>6.4432989690721648E-4</v>
      </c>
      <c r="D423" s="8">
        <f t="shared" si="40"/>
        <v>0.27190721649484456</v>
      </c>
      <c r="E423" s="4">
        <v>8</v>
      </c>
      <c r="F423" s="5">
        <v>455.23</v>
      </c>
      <c r="G423" s="10">
        <f t="shared" si="38"/>
        <v>3641.84</v>
      </c>
      <c r="H423" s="7">
        <f t="shared" si="39"/>
        <v>4.4120942182255667E-4</v>
      </c>
      <c r="I423" s="8">
        <f t="shared" si="41"/>
        <v>0.86570277403155005</v>
      </c>
      <c r="J423" s="3" t="s">
        <v>208</v>
      </c>
    </row>
    <row r="424" spans="1:10" x14ac:dyDescent="0.25">
      <c r="A424" s="3" t="s">
        <v>434</v>
      </c>
      <c r="B424" s="3" t="str">
        <f t="shared" si="36"/>
        <v>3</v>
      </c>
      <c r="C424" s="7">
        <f t="shared" si="37"/>
        <v>6.4432989690721648E-4</v>
      </c>
      <c r="D424" s="8">
        <f t="shared" si="40"/>
        <v>0.27255154639175178</v>
      </c>
      <c r="E424" s="4">
        <v>3</v>
      </c>
      <c r="F424" s="5">
        <v>1212.75</v>
      </c>
      <c r="G424" s="10">
        <f t="shared" si="38"/>
        <v>3638.25</v>
      </c>
      <c r="H424" s="7">
        <f t="shared" si="39"/>
        <v>4.4077449282393428E-4</v>
      </c>
      <c r="I424" s="8">
        <f t="shared" si="41"/>
        <v>0.86614354852437403</v>
      </c>
      <c r="J424" s="3" t="s">
        <v>208</v>
      </c>
    </row>
    <row r="425" spans="1:10" x14ac:dyDescent="0.25">
      <c r="A425" s="3" t="s">
        <v>435</v>
      </c>
      <c r="B425" s="3" t="str">
        <f t="shared" si="36"/>
        <v>1</v>
      </c>
      <c r="C425" s="7">
        <f t="shared" si="37"/>
        <v>6.4432989690721648E-4</v>
      </c>
      <c r="D425" s="8">
        <f t="shared" si="40"/>
        <v>0.27319587628865899</v>
      </c>
      <c r="E425" s="4">
        <v>5</v>
      </c>
      <c r="F425" s="5">
        <v>723.15</v>
      </c>
      <c r="G425" s="10">
        <f t="shared" si="38"/>
        <v>3615.75</v>
      </c>
      <c r="H425" s="7">
        <f t="shared" si="39"/>
        <v>4.3804861469886355E-4</v>
      </c>
      <c r="I425" s="8">
        <f t="shared" si="41"/>
        <v>0.8665815971390729</v>
      </c>
      <c r="J425" s="3" t="s">
        <v>208</v>
      </c>
    </row>
    <row r="426" spans="1:10" x14ac:dyDescent="0.25">
      <c r="A426" s="3" t="s">
        <v>436</v>
      </c>
      <c r="B426" s="3" t="str">
        <f t="shared" si="36"/>
        <v>5</v>
      </c>
      <c r="C426" s="7">
        <f t="shared" si="37"/>
        <v>6.4432989690721648E-4</v>
      </c>
      <c r="D426" s="8">
        <f t="shared" si="40"/>
        <v>0.2738402061855662</v>
      </c>
      <c r="E426" s="4">
        <v>257</v>
      </c>
      <c r="F426" s="5">
        <v>13.87</v>
      </c>
      <c r="G426" s="10">
        <f t="shared" si="38"/>
        <v>3564.5899999999997</v>
      </c>
      <c r="H426" s="7">
        <f t="shared" si="39"/>
        <v>4.3185057359314716E-4</v>
      </c>
      <c r="I426" s="8">
        <f t="shared" si="41"/>
        <v>0.86701344771266609</v>
      </c>
      <c r="J426" s="3" t="s">
        <v>208</v>
      </c>
    </row>
    <row r="427" spans="1:10" x14ac:dyDescent="0.25">
      <c r="A427" s="3" t="s">
        <v>437</v>
      </c>
      <c r="B427" s="3" t="str">
        <f t="shared" si="36"/>
        <v>1</v>
      </c>
      <c r="C427" s="7">
        <f t="shared" si="37"/>
        <v>6.4432989690721648E-4</v>
      </c>
      <c r="D427" s="8">
        <f t="shared" si="40"/>
        <v>0.27448453608247342</v>
      </c>
      <c r="E427" s="4">
        <v>4</v>
      </c>
      <c r="F427" s="5">
        <v>890.04</v>
      </c>
      <c r="G427" s="10">
        <f t="shared" si="38"/>
        <v>3560.16</v>
      </c>
      <c r="H427" s="7">
        <f t="shared" si="39"/>
        <v>4.3131387847785546E-4</v>
      </c>
      <c r="I427" s="8">
        <f t="shared" si="41"/>
        <v>0.86744476159114392</v>
      </c>
      <c r="J427" s="3" t="s">
        <v>208</v>
      </c>
    </row>
    <row r="428" spans="1:10" x14ac:dyDescent="0.25">
      <c r="A428" s="3" t="s">
        <v>438</v>
      </c>
      <c r="B428" s="3" t="str">
        <f t="shared" si="36"/>
        <v>3</v>
      </c>
      <c r="C428" s="7">
        <f t="shared" si="37"/>
        <v>6.4432989690721648E-4</v>
      </c>
      <c r="D428" s="8">
        <f t="shared" si="40"/>
        <v>0.27512886597938063</v>
      </c>
      <c r="E428" s="4">
        <v>5</v>
      </c>
      <c r="F428" s="5">
        <v>710.68</v>
      </c>
      <c r="G428" s="10">
        <f t="shared" si="38"/>
        <v>3553.3999999999996</v>
      </c>
      <c r="H428" s="7">
        <f t="shared" si="39"/>
        <v>4.3049490353894534E-4</v>
      </c>
      <c r="I428" s="8">
        <f t="shared" si="41"/>
        <v>0.86787525649468289</v>
      </c>
      <c r="J428" s="3" t="s">
        <v>208</v>
      </c>
    </row>
    <row r="429" spans="1:10" x14ac:dyDescent="0.25">
      <c r="A429" s="3" t="s">
        <v>439</v>
      </c>
      <c r="B429" s="3" t="str">
        <f t="shared" si="36"/>
        <v>4</v>
      </c>
      <c r="C429" s="7">
        <f t="shared" si="37"/>
        <v>6.4432989690721648E-4</v>
      </c>
      <c r="D429" s="8">
        <f t="shared" si="40"/>
        <v>0.27577319587628785</v>
      </c>
      <c r="E429" s="4">
        <v>11</v>
      </c>
      <c r="F429" s="5">
        <v>320.66000000000003</v>
      </c>
      <c r="G429" s="10">
        <f t="shared" si="38"/>
        <v>3527.26</v>
      </c>
      <c r="H429" s="7">
        <f t="shared" si="39"/>
        <v>4.2732803890830771E-4</v>
      </c>
      <c r="I429" s="8">
        <f t="shared" si="41"/>
        <v>0.86830258453359122</v>
      </c>
      <c r="J429" s="3" t="s">
        <v>208</v>
      </c>
    </row>
    <row r="430" spans="1:10" x14ac:dyDescent="0.25">
      <c r="A430" s="3" t="s">
        <v>440</v>
      </c>
      <c r="B430" s="3" t="str">
        <f t="shared" si="36"/>
        <v>6</v>
      </c>
      <c r="C430" s="7">
        <f t="shared" si="37"/>
        <v>6.4432989690721648E-4</v>
      </c>
      <c r="D430" s="8">
        <f t="shared" si="40"/>
        <v>0.27641752577319506</v>
      </c>
      <c r="E430" s="4">
        <v>42</v>
      </c>
      <c r="F430" s="5">
        <v>83.92</v>
      </c>
      <c r="G430" s="10">
        <f t="shared" si="38"/>
        <v>3524.64</v>
      </c>
      <c r="H430" s="7">
        <f t="shared" si="39"/>
        <v>4.2701062554441051E-4</v>
      </c>
      <c r="I430" s="8">
        <f t="shared" si="41"/>
        <v>0.86872959515913561</v>
      </c>
      <c r="J430" s="3" t="s">
        <v>208</v>
      </c>
    </row>
    <row r="431" spans="1:10" x14ac:dyDescent="0.25">
      <c r="A431" s="3" t="s">
        <v>441</v>
      </c>
      <c r="B431" s="3" t="str">
        <f t="shared" si="36"/>
        <v>8</v>
      </c>
      <c r="C431" s="7">
        <f t="shared" si="37"/>
        <v>6.4432989690721648E-4</v>
      </c>
      <c r="D431" s="8">
        <f t="shared" si="40"/>
        <v>0.27706185567010227</v>
      </c>
      <c r="E431" s="4">
        <v>53</v>
      </c>
      <c r="F431" s="5">
        <v>66.45</v>
      </c>
      <c r="G431" s="10">
        <f t="shared" si="38"/>
        <v>3521.8500000000004</v>
      </c>
      <c r="H431" s="7">
        <f t="shared" si="39"/>
        <v>4.2667261665690182E-4</v>
      </c>
      <c r="I431" s="8">
        <f t="shared" si="41"/>
        <v>0.86915626777579247</v>
      </c>
      <c r="J431" s="3" t="s">
        <v>208</v>
      </c>
    </row>
    <row r="432" spans="1:10" x14ac:dyDescent="0.25">
      <c r="A432" s="3" t="s">
        <v>442</v>
      </c>
      <c r="B432" s="3" t="str">
        <f t="shared" si="36"/>
        <v>7</v>
      </c>
      <c r="C432" s="7">
        <f t="shared" si="37"/>
        <v>6.4432989690721648E-4</v>
      </c>
      <c r="D432" s="8">
        <f t="shared" si="40"/>
        <v>0.27770618556700949</v>
      </c>
      <c r="E432" s="4">
        <v>33</v>
      </c>
      <c r="F432" s="5">
        <v>106.11</v>
      </c>
      <c r="G432" s="10">
        <f t="shared" si="38"/>
        <v>3501.63</v>
      </c>
      <c r="H432" s="7">
        <f t="shared" si="39"/>
        <v>4.2422296084850491E-4</v>
      </c>
      <c r="I432" s="8">
        <f t="shared" si="41"/>
        <v>0.86958049073664101</v>
      </c>
      <c r="J432" s="3" t="s">
        <v>208</v>
      </c>
    </row>
    <row r="433" spans="1:10" x14ac:dyDescent="0.25">
      <c r="A433" s="3" t="s">
        <v>443</v>
      </c>
      <c r="B433" s="3" t="str">
        <f t="shared" si="36"/>
        <v>3</v>
      </c>
      <c r="C433" s="7">
        <f t="shared" si="37"/>
        <v>6.4432989690721648E-4</v>
      </c>
      <c r="D433" s="8">
        <f t="shared" si="40"/>
        <v>0.2783505154639167</v>
      </c>
      <c r="E433" s="4">
        <v>4</v>
      </c>
      <c r="F433" s="5">
        <v>869.09</v>
      </c>
      <c r="G433" s="10">
        <f t="shared" si="38"/>
        <v>3476.36</v>
      </c>
      <c r="H433" s="7">
        <f t="shared" si="39"/>
        <v>4.2116149683870324E-4</v>
      </c>
      <c r="I433" s="8">
        <f t="shared" si="41"/>
        <v>0.87000165223347969</v>
      </c>
      <c r="J433" s="3" t="s">
        <v>208</v>
      </c>
    </row>
    <row r="434" spans="1:10" x14ac:dyDescent="0.25">
      <c r="A434" s="3" t="s">
        <v>444</v>
      </c>
      <c r="B434" s="3" t="str">
        <f t="shared" si="36"/>
        <v>7</v>
      </c>
      <c r="C434" s="7">
        <f t="shared" si="37"/>
        <v>6.4432989690721648E-4</v>
      </c>
      <c r="D434" s="8">
        <f t="shared" si="40"/>
        <v>0.27899484536082392</v>
      </c>
      <c r="E434" s="4">
        <v>22</v>
      </c>
      <c r="F434" s="5">
        <v>157.02000000000001</v>
      </c>
      <c r="G434" s="10">
        <f t="shared" si="38"/>
        <v>3454.44</v>
      </c>
      <c r="H434" s="7">
        <f t="shared" si="39"/>
        <v>4.185058857941899E-4</v>
      </c>
      <c r="I434" s="8">
        <f t="shared" si="41"/>
        <v>0.87042015811927387</v>
      </c>
      <c r="J434" s="3" t="s">
        <v>208</v>
      </c>
    </row>
    <row r="435" spans="1:10" x14ac:dyDescent="0.25">
      <c r="A435" s="3" t="s">
        <v>445</v>
      </c>
      <c r="B435" s="3" t="str">
        <f t="shared" si="36"/>
        <v>1</v>
      </c>
      <c r="C435" s="7">
        <f t="shared" si="37"/>
        <v>6.4432989690721648E-4</v>
      </c>
      <c r="D435" s="8">
        <f t="shared" si="40"/>
        <v>0.27963917525773113</v>
      </c>
      <c r="E435" s="4">
        <v>5</v>
      </c>
      <c r="F435" s="5">
        <v>689.7</v>
      </c>
      <c r="G435" s="10">
        <f t="shared" si="38"/>
        <v>3448.5</v>
      </c>
      <c r="H435" s="7">
        <f t="shared" si="39"/>
        <v>4.1778625396917123E-4</v>
      </c>
      <c r="I435" s="8">
        <f t="shared" si="41"/>
        <v>0.87083794437324302</v>
      </c>
      <c r="J435" s="3" t="s">
        <v>208</v>
      </c>
    </row>
    <row r="436" spans="1:10" x14ac:dyDescent="0.25">
      <c r="A436" s="3" t="s">
        <v>446</v>
      </c>
      <c r="B436" s="3" t="str">
        <f t="shared" si="36"/>
        <v>3</v>
      </c>
      <c r="C436" s="7">
        <f t="shared" si="37"/>
        <v>6.4432989690721648E-4</v>
      </c>
      <c r="D436" s="8">
        <f t="shared" si="40"/>
        <v>0.28028350515463835</v>
      </c>
      <c r="E436" s="4">
        <v>10</v>
      </c>
      <c r="F436" s="5">
        <v>344.36</v>
      </c>
      <c r="G436" s="10">
        <f t="shared" si="38"/>
        <v>3443.6000000000004</v>
      </c>
      <c r="H436" s="7">
        <f t="shared" si="39"/>
        <v>4.1719261828860032E-4</v>
      </c>
      <c r="I436" s="8">
        <f t="shared" si="41"/>
        <v>0.87125513699153168</v>
      </c>
      <c r="J436" s="3" t="s">
        <v>208</v>
      </c>
    </row>
    <row r="437" spans="1:10" x14ac:dyDescent="0.25">
      <c r="A437" s="3" t="s">
        <v>447</v>
      </c>
      <c r="B437" s="3" t="str">
        <f t="shared" si="36"/>
        <v>5</v>
      </c>
      <c r="C437" s="7">
        <f t="shared" si="37"/>
        <v>6.4432989690721648E-4</v>
      </c>
      <c r="D437" s="8">
        <f t="shared" si="40"/>
        <v>0.28092783505154556</v>
      </c>
      <c r="E437" s="4">
        <v>16</v>
      </c>
      <c r="F437" s="5">
        <v>214.99</v>
      </c>
      <c r="G437" s="10">
        <f t="shared" si="38"/>
        <v>3439.84</v>
      </c>
      <c r="H437" s="7">
        <f t="shared" si="39"/>
        <v>4.1673709376636629E-4</v>
      </c>
      <c r="I437" s="8">
        <f t="shared" si="41"/>
        <v>0.871671874085298</v>
      </c>
      <c r="J437" s="3" t="s">
        <v>208</v>
      </c>
    </row>
    <row r="438" spans="1:10" x14ac:dyDescent="0.25">
      <c r="A438" s="3" t="s">
        <v>448</v>
      </c>
      <c r="B438" s="3" t="str">
        <f t="shared" si="36"/>
        <v>6</v>
      </c>
      <c r="C438" s="7">
        <f t="shared" si="37"/>
        <v>6.4432989690721648E-4</v>
      </c>
      <c r="D438" s="8">
        <f t="shared" si="40"/>
        <v>0.28157216494845277</v>
      </c>
      <c r="E438" s="4">
        <v>46</v>
      </c>
      <c r="F438" s="5">
        <v>74.69</v>
      </c>
      <c r="G438" s="10">
        <f t="shared" si="38"/>
        <v>3435.74</v>
      </c>
      <c r="H438" s="7">
        <f t="shared" si="39"/>
        <v>4.1624037819690892E-4</v>
      </c>
      <c r="I438" s="8">
        <f t="shared" si="41"/>
        <v>0.87208811446349488</v>
      </c>
      <c r="J438" s="3" t="s">
        <v>208</v>
      </c>
    </row>
    <row r="439" spans="1:10" x14ac:dyDescent="0.25">
      <c r="A439" s="3" t="s">
        <v>449</v>
      </c>
      <c r="B439" s="3" t="str">
        <f t="shared" si="36"/>
        <v>5</v>
      </c>
      <c r="C439" s="7">
        <f t="shared" si="37"/>
        <v>6.4432989690721648E-4</v>
      </c>
      <c r="D439" s="8">
        <f t="shared" si="40"/>
        <v>0.28221649484535999</v>
      </c>
      <c r="E439" s="4">
        <v>21</v>
      </c>
      <c r="F439" s="5">
        <v>163.38999999999999</v>
      </c>
      <c r="G439" s="10">
        <f t="shared" si="38"/>
        <v>3431.1899999999996</v>
      </c>
      <c r="H439" s="7">
        <f t="shared" si="39"/>
        <v>4.1568914506495013E-4</v>
      </c>
      <c r="I439" s="8">
        <f t="shared" si="41"/>
        <v>0.87250380360855984</v>
      </c>
      <c r="J439" s="3" t="s">
        <v>208</v>
      </c>
    </row>
    <row r="440" spans="1:10" x14ac:dyDescent="0.25">
      <c r="A440" s="3" t="s">
        <v>450</v>
      </c>
      <c r="B440" s="3" t="str">
        <f t="shared" si="36"/>
        <v>1</v>
      </c>
      <c r="C440" s="7">
        <f t="shared" si="37"/>
        <v>6.4432989690721648E-4</v>
      </c>
      <c r="D440" s="8">
        <f t="shared" si="40"/>
        <v>0.2828608247422672</v>
      </c>
      <c r="E440" s="4">
        <v>13</v>
      </c>
      <c r="F440" s="5">
        <v>263.41000000000003</v>
      </c>
      <c r="G440" s="10">
        <f t="shared" si="38"/>
        <v>3424.3300000000004</v>
      </c>
      <c r="H440" s="7">
        <f t="shared" si="39"/>
        <v>4.1485805511215089E-4</v>
      </c>
      <c r="I440" s="8">
        <f t="shared" si="41"/>
        <v>0.87291866166367194</v>
      </c>
      <c r="J440" s="3" t="s">
        <v>208</v>
      </c>
    </row>
    <row r="441" spans="1:10" x14ac:dyDescent="0.25">
      <c r="A441" s="3" t="s">
        <v>451</v>
      </c>
      <c r="B441" s="3" t="str">
        <f t="shared" si="36"/>
        <v>4</v>
      </c>
      <c r="C441" s="7">
        <f t="shared" si="37"/>
        <v>6.4432989690721648E-4</v>
      </c>
      <c r="D441" s="8">
        <f t="shared" si="40"/>
        <v>0.28350515463917442</v>
      </c>
      <c r="E441" s="4">
        <v>18</v>
      </c>
      <c r="F441" s="5">
        <v>188.95</v>
      </c>
      <c r="G441" s="10">
        <f t="shared" si="38"/>
        <v>3401.1</v>
      </c>
      <c r="H441" s="7">
        <f t="shared" si="39"/>
        <v>4.1204373738568893E-4</v>
      </c>
      <c r="I441" s="8">
        <f t="shared" si="41"/>
        <v>0.87333070540105762</v>
      </c>
      <c r="J441" s="3" t="s">
        <v>208</v>
      </c>
    </row>
    <row r="442" spans="1:10" x14ac:dyDescent="0.25">
      <c r="A442" s="3" t="s">
        <v>452</v>
      </c>
      <c r="B442" s="3" t="str">
        <f t="shared" si="36"/>
        <v>8</v>
      </c>
      <c r="C442" s="7">
        <f t="shared" si="37"/>
        <v>6.4432989690721648E-4</v>
      </c>
      <c r="D442" s="8">
        <f t="shared" si="40"/>
        <v>0.28414948453608163</v>
      </c>
      <c r="E442" s="4">
        <v>79</v>
      </c>
      <c r="F442" s="5">
        <v>43.04</v>
      </c>
      <c r="G442" s="10">
        <f t="shared" si="38"/>
        <v>3400.16</v>
      </c>
      <c r="H442" s="7">
        <f t="shared" si="39"/>
        <v>4.1192985625513039E-4</v>
      </c>
      <c r="I442" s="8">
        <f t="shared" si="41"/>
        <v>0.87374263525731277</v>
      </c>
      <c r="J442" s="3" t="s">
        <v>208</v>
      </c>
    </row>
    <row r="443" spans="1:10" x14ac:dyDescent="0.25">
      <c r="A443" s="3" t="s">
        <v>453</v>
      </c>
      <c r="B443" s="3" t="str">
        <f t="shared" si="36"/>
        <v>3</v>
      </c>
      <c r="C443" s="7">
        <f t="shared" si="37"/>
        <v>6.4432989690721648E-4</v>
      </c>
      <c r="D443" s="8">
        <f t="shared" si="40"/>
        <v>0.28479381443298885</v>
      </c>
      <c r="E443" s="4">
        <v>6</v>
      </c>
      <c r="F443" s="5">
        <v>565.36</v>
      </c>
      <c r="G443" s="10">
        <f t="shared" si="38"/>
        <v>3392.16</v>
      </c>
      <c r="H443" s="7">
        <f t="shared" si="39"/>
        <v>4.1096065514399416E-4</v>
      </c>
      <c r="I443" s="8">
        <f t="shared" si="41"/>
        <v>0.87415359591245678</v>
      </c>
      <c r="J443" s="3" t="s">
        <v>208</v>
      </c>
    </row>
    <row r="444" spans="1:10" x14ac:dyDescent="0.25">
      <c r="A444" s="3" t="s">
        <v>454</v>
      </c>
      <c r="B444" s="3" t="str">
        <f t="shared" si="36"/>
        <v>7</v>
      </c>
      <c r="C444" s="7">
        <f t="shared" si="37"/>
        <v>6.4432989690721648E-4</v>
      </c>
      <c r="D444" s="8">
        <f t="shared" si="40"/>
        <v>0.28543814432989606</v>
      </c>
      <c r="E444" s="4">
        <v>15</v>
      </c>
      <c r="F444" s="5">
        <v>223.63</v>
      </c>
      <c r="G444" s="10">
        <f t="shared" si="38"/>
        <v>3354.45</v>
      </c>
      <c r="H444" s="7">
        <f t="shared" si="39"/>
        <v>4.0639208340637566E-4</v>
      </c>
      <c r="I444" s="8">
        <f t="shared" si="41"/>
        <v>0.87455998799586321</v>
      </c>
      <c r="J444" s="3" t="s">
        <v>208</v>
      </c>
    </row>
    <row r="445" spans="1:10" x14ac:dyDescent="0.25">
      <c r="A445" s="3" t="s">
        <v>455</v>
      </c>
      <c r="B445" s="3" t="str">
        <f t="shared" si="36"/>
        <v>5</v>
      </c>
      <c r="C445" s="7">
        <f t="shared" si="37"/>
        <v>6.4432989690721648E-4</v>
      </c>
      <c r="D445" s="8">
        <f t="shared" si="40"/>
        <v>0.28608247422680327</v>
      </c>
      <c r="E445" s="4">
        <v>45</v>
      </c>
      <c r="F445" s="5">
        <v>74.52</v>
      </c>
      <c r="G445" s="10">
        <f t="shared" si="38"/>
        <v>3353.3999999999996</v>
      </c>
      <c r="H445" s="7">
        <f t="shared" si="39"/>
        <v>4.06264875760539E-4</v>
      </c>
      <c r="I445" s="8">
        <f t="shared" si="41"/>
        <v>0.87496625287162377</v>
      </c>
      <c r="J445" s="3" t="s">
        <v>208</v>
      </c>
    </row>
    <row r="446" spans="1:10" x14ac:dyDescent="0.25">
      <c r="A446" s="3" t="s">
        <v>456</v>
      </c>
      <c r="B446" s="3" t="str">
        <f t="shared" si="36"/>
        <v>9</v>
      </c>
      <c r="C446" s="7">
        <f t="shared" si="37"/>
        <v>6.4432989690721648E-4</v>
      </c>
      <c r="D446" s="8">
        <f t="shared" si="40"/>
        <v>0.28672680412371049</v>
      </c>
      <c r="E446" s="4">
        <v>37</v>
      </c>
      <c r="F446" s="5">
        <v>89.92</v>
      </c>
      <c r="G446" s="10">
        <f t="shared" si="38"/>
        <v>3327.04</v>
      </c>
      <c r="H446" s="7">
        <f t="shared" si="39"/>
        <v>4.0307135809934506E-4</v>
      </c>
      <c r="I446" s="8">
        <f t="shared" si="41"/>
        <v>0.87536932422972313</v>
      </c>
      <c r="J446" s="3" t="s">
        <v>208</v>
      </c>
    </row>
    <row r="447" spans="1:10" x14ac:dyDescent="0.25">
      <c r="A447" s="3" t="s">
        <v>457</v>
      </c>
      <c r="B447" s="3" t="str">
        <f t="shared" si="36"/>
        <v>7</v>
      </c>
      <c r="C447" s="7">
        <f t="shared" si="37"/>
        <v>6.4432989690721648E-4</v>
      </c>
      <c r="D447" s="8">
        <f t="shared" si="40"/>
        <v>0.2873711340206177</v>
      </c>
      <c r="E447" s="4">
        <v>27</v>
      </c>
      <c r="F447" s="5">
        <v>123.22</v>
      </c>
      <c r="G447" s="10">
        <f t="shared" si="38"/>
        <v>3326.94</v>
      </c>
      <c r="H447" s="7">
        <f t="shared" si="39"/>
        <v>4.0305924308545589E-4</v>
      </c>
      <c r="I447" s="8">
        <f t="shared" si="41"/>
        <v>0.87577238347280861</v>
      </c>
      <c r="J447" s="3" t="s">
        <v>208</v>
      </c>
    </row>
    <row r="448" spans="1:10" x14ac:dyDescent="0.25">
      <c r="A448" s="3" t="s">
        <v>458</v>
      </c>
      <c r="B448" s="3" t="str">
        <f t="shared" si="36"/>
        <v>7</v>
      </c>
      <c r="C448" s="7">
        <f t="shared" si="37"/>
        <v>6.4432989690721648E-4</v>
      </c>
      <c r="D448" s="8">
        <f t="shared" si="40"/>
        <v>0.28801546391752492</v>
      </c>
      <c r="E448" s="4">
        <v>16</v>
      </c>
      <c r="F448" s="5">
        <v>207.66</v>
      </c>
      <c r="G448" s="10">
        <f t="shared" si="38"/>
        <v>3322.56</v>
      </c>
      <c r="H448" s="7">
        <f t="shared" si="39"/>
        <v>4.0252860547710875E-4</v>
      </c>
      <c r="I448" s="8">
        <f t="shared" si="41"/>
        <v>0.87617491207828568</v>
      </c>
      <c r="J448" s="3" t="s">
        <v>208</v>
      </c>
    </row>
    <row r="449" spans="1:10" x14ac:dyDescent="0.25">
      <c r="A449" s="3" t="s">
        <v>459</v>
      </c>
      <c r="B449" s="3" t="str">
        <f t="shared" si="36"/>
        <v>9</v>
      </c>
      <c r="C449" s="7">
        <f t="shared" si="37"/>
        <v>6.4432989690721648E-4</v>
      </c>
      <c r="D449" s="8">
        <f t="shared" si="40"/>
        <v>0.28865979381443213</v>
      </c>
      <c r="E449" s="4">
        <v>11</v>
      </c>
      <c r="F449" s="5">
        <v>301.13</v>
      </c>
      <c r="G449" s="10">
        <f t="shared" si="38"/>
        <v>3312.43</v>
      </c>
      <c r="H449" s="7">
        <f t="shared" si="39"/>
        <v>4.0130135457013249E-4</v>
      </c>
      <c r="I449" s="8">
        <f t="shared" si="41"/>
        <v>0.87657621343285586</v>
      </c>
      <c r="J449" s="3" t="s">
        <v>208</v>
      </c>
    </row>
    <row r="450" spans="1:10" x14ac:dyDescent="0.25">
      <c r="A450" s="3" t="s">
        <v>460</v>
      </c>
      <c r="B450" s="3" t="str">
        <f t="shared" ref="B450:B513" si="42">RIGHT(A450,1)</f>
        <v>1</v>
      </c>
      <c r="C450" s="7">
        <f t="shared" ref="C450:C513" si="43">1/COUNTA(A$2:A$1553)</f>
        <v>6.4432989690721648E-4</v>
      </c>
      <c r="D450" s="8">
        <f t="shared" si="40"/>
        <v>0.28930412371133934</v>
      </c>
      <c r="E450" s="4">
        <v>3</v>
      </c>
      <c r="F450" s="5">
        <v>1099.71</v>
      </c>
      <c r="G450" s="10">
        <f t="shared" ref="G450:G513" si="44">E450*F450</f>
        <v>3299.13</v>
      </c>
      <c r="H450" s="7">
        <f t="shared" ref="H450:H513" si="45">G450/SUM(G$2:G$1553)</f>
        <v>3.9969005772286849E-4</v>
      </c>
      <c r="I450" s="8">
        <f t="shared" si="41"/>
        <v>0.87697590349057875</v>
      </c>
      <c r="J450" s="3" t="s">
        <v>208</v>
      </c>
    </row>
    <row r="451" spans="1:10" x14ac:dyDescent="0.25">
      <c r="A451" s="3" t="s">
        <v>461</v>
      </c>
      <c r="B451" s="3" t="str">
        <f t="shared" si="42"/>
        <v>3</v>
      </c>
      <c r="C451" s="7">
        <f t="shared" si="43"/>
        <v>6.4432989690721648E-4</v>
      </c>
      <c r="D451" s="8">
        <f t="shared" ref="D451:D514" si="46">D450+C451</f>
        <v>0.28994845360824656</v>
      </c>
      <c r="E451" s="4">
        <v>3</v>
      </c>
      <c r="F451" s="5">
        <v>1094.74</v>
      </c>
      <c r="G451" s="10">
        <f t="shared" si="44"/>
        <v>3284.2200000000003</v>
      </c>
      <c r="H451" s="7">
        <f t="shared" si="45"/>
        <v>3.978837091519883E-4</v>
      </c>
      <c r="I451" s="8">
        <f t="shared" ref="I451:I514" si="47">I450+H451</f>
        <v>0.87737378719973069</v>
      </c>
      <c r="J451" s="3" t="s">
        <v>208</v>
      </c>
    </row>
    <row r="452" spans="1:10" x14ac:dyDescent="0.25">
      <c r="A452" s="3" t="s">
        <v>462</v>
      </c>
      <c r="B452" s="3" t="str">
        <f t="shared" si="42"/>
        <v>4</v>
      </c>
      <c r="C452" s="7">
        <f t="shared" si="43"/>
        <v>6.4432989690721648E-4</v>
      </c>
      <c r="D452" s="8">
        <f t="shared" si="46"/>
        <v>0.29059278350515377</v>
      </c>
      <c r="E452" s="4">
        <v>196</v>
      </c>
      <c r="F452" s="5">
        <v>16.75</v>
      </c>
      <c r="G452" s="10">
        <f t="shared" si="44"/>
        <v>3283</v>
      </c>
      <c r="H452" s="7">
        <f t="shared" si="45"/>
        <v>3.9773590598253999E-4</v>
      </c>
      <c r="I452" s="8">
        <f t="shared" si="47"/>
        <v>0.87777152310571327</v>
      </c>
      <c r="J452" s="3" t="s">
        <v>208</v>
      </c>
    </row>
    <row r="453" spans="1:10" x14ac:dyDescent="0.25">
      <c r="A453" s="3" t="s">
        <v>463</v>
      </c>
      <c r="B453" s="3" t="str">
        <f t="shared" si="42"/>
        <v>1</v>
      </c>
      <c r="C453" s="7">
        <f t="shared" si="43"/>
        <v>6.4432989690721648E-4</v>
      </c>
      <c r="D453" s="8">
        <f t="shared" si="46"/>
        <v>0.29123711340206099</v>
      </c>
      <c r="E453" s="4">
        <v>4</v>
      </c>
      <c r="F453" s="5">
        <v>818.74</v>
      </c>
      <c r="G453" s="10">
        <f t="shared" si="44"/>
        <v>3274.96</v>
      </c>
      <c r="H453" s="7">
        <f t="shared" si="45"/>
        <v>3.9676185886584805E-4</v>
      </c>
      <c r="I453" s="8">
        <f t="shared" si="47"/>
        <v>0.8781682849645791</v>
      </c>
      <c r="J453" s="3" t="s">
        <v>208</v>
      </c>
    </row>
    <row r="454" spans="1:10" x14ac:dyDescent="0.25">
      <c r="A454" s="3" t="s">
        <v>464</v>
      </c>
      <c r="B454" s="3" t="str">
        <f t="shared" si="42"/>
        <v>9</v>
      </c>
      <c r="C454" s="7">
        <f t="shared" si="43"/>
        <v>6.4432989690721648E-4</v>
      </c>
      <c r="D454" s="8">
        <f t="shared" si="46"/>
        <v>0.2918814432989682</v>
      </c>
      <c r="E454" s="4">
        <v>7</v>
      </c>
      <c r="F454" s="5">
        <v>466.84</v>
      </c>
      <c r="G454" s="10">
        <f t="shared" si="44"/>
        <v>3267.8799999999997</v>
      </c>
      <c r="H454" s="7">
        <f t="shared" si="45"/>
        <v>3.9590411588249244E-4</v>
      </c>
      <c r="I454" s="8">
        <f t="shared" si="47"/>
        <v>0.87856418908046163</v>
      </c>
      <c r="J454" s="3" t="s">
        <v>208</v>
      </c>
    </row>
    <row r="455" spans="1:10" x14ac:dyDescent="0.25">
      <c r="A455" s="3" t="s">
        <v>465</v>
      </c>
      <c r="B455" s="3" t="str">
        <f t="shared" si="42"/>
        <v>7</v>
      </c>
      <c r="C455" s="7">
        <f t="shared" si="43"/>
        <v>6.4432989690721648E-4</v>
      </c>
      <c r="D455" s="8">
        <f t="shared" si="46"/>
        <v>0.29252577319587542</v>
      </c>
      <c r="E455" s="4">
        <v>25</v>
      </c>
      <c r="F455" s="5">
        <v>129.66</v>
      </c>
      <c r="G455" s="10">
        <f t="shared" si="44"/>
        <v>3241.5</v>
      </c>
      <c r="H455" s="7">
        <f t="shared" si="45"/>
        <v>3.927081752185207E-4</v>
      </c>
      <c r="I455" s="8">
        <f t="shared" si="47"/>
        <v>0.87895689725568016</v>
      </c>
      <c r="J455" s="3" t="s">
        <v>208</v>
      </c>
    </row>
    <row r="456" spans="1:10" x14ac:dyDescent="0.25">
      <c r="A456" s="3" t="s">
        <v>466</v>
      </c>
      <c r="B456" s="3" t="str">
        <f t="shared" si="42"/>
        <v>6</v>
      </c>
      <c r="C456" s="7">
        <f t="shared" si="43"/>
        <v>6.4432989690721648E-4</v>
      </c>
      <c r="D456" s="8">
        <f t="shared" si="46"/>
        <v>0.29317010309278263</v>
      </c>
      <c r="E456" s="4">
        <v>55</v>
      </c>
      <c r="F456" s="5">
        <v>58.85</v>
      </c>
      <c r="G456" s="10">
        <f t="shared" si="44"/>
        <v>3236.75</v>
      </c>
      <c r="H456" s="7">
        <f t="shared" si="45"/>
        <v>3.9213271205878352E-4</v>
      </c>
      <c r="I456" s="8">
        <f t="shared" si="47"/>
        <v>0.87934902996773889</v>
      </c>
      <c r="J456" s="3" t="s">
        <v>208</v>
      </c>
    </row>
    <row r="457" spans="1:10" x14ac:dyDescent="0.25">
      <c r="A457" s="3" t="s">
        <v>467</v>
      </c>
      <c r="B457" s="3" t="str">
        <f t="shared" si="42"/>
        <v>1</v>
      </c>
      <c r="C457" s="7">
        <f t="shared" si="43"/>
        <v>6.4432989690721648E-4</v>
      </c>
      <c r="D457" s="8">
        <f t="shared" si="46"/>
        <v>0.29381443298968984</v>
      </c>
      <c r="E457" s="4">
        <v>12</v>
      </c>
      <c r="F457" s="5">
        <v>268.92</v>
      </c>
      <c r="G457" s="10">
        <f t="shared" si="44"/>
        <v>3227.04</v>
      </c>
      <c r="H457" s="7">
        <f t="shared" si="45"/>
        <v>3.9095634421014192E-4</v>
      </c>
      <c r="I457" s="8">
        <f t="shared" si="47"/>
        <v>0.87973998631194905</v>
      </c>
      <c r="J457" s="3" t="s">
        <v>208</v>
      </c>
    </row>
    <row r="458" spans="1:10" x14ac:dyDescent="0.25">
      <c r="A458" s="3" t="s">
        <v>468</v>
      </c>
      <c r="B458" s="3" t="str">
        <f t="shared" si="42"/>
        <v>2</v>
      </c>
      <c r="C458" s="7">
        <f t="shared" si="43"/>
        <v>6.4432989690721648E-4</v>
      </c>
      <c r="D458" s="8">
        <f t="shared" si="46"/>
        <v>0.29445876288659706</v>
      </c>
      <c r="E458" s="4">
        <v>63</v>
      </c>
      <c r="F458" s="5">
        <v>50.89</v>
      </c>
      <c r="G458" s="10">
        <f t="shared" si="44"/>
        <v>3206.07</v>
      </c>
      <c r="H458" s="7">
        <f t="shared" si="45"/>
        <v>3.8841582579757602E-4</v>
      </c>
      <c r="I458" s="8">
        <f t="shared" si="47"/>
        <v>0.88012840213774668</v>
      </c>
      <c r="J458" s="3" t="s">
        <v>208</v>
      </c>
    </row>
    <row r="459" spans="1:10" x14ac:dyDescent="0.25">
      <c r="A459" s="3" t="s">
        <v>469</v>
      </c>
      <c r="B459" s="3" t="str">
        <f t="shared" si="42"/>
        <v>3</v>
      </c>
      <c r="C459" s="7">
        <f t="shared" si="43"/>
        <v>6.4432989690721648E-4</v>
      </c>
      <c r="D459" s="8">
        <f t="shared" si="46"/>
        <v>0.29510309278350427</v>
      </c>
      <c r="E459" s="4">
        <v>3</v>
      </c>
      <c r="F459" s="5">
        <v>1068.56</v>
      </c>
      <c r="G459" s="10">
        <f t="shared" si="44"/>
        <v>3205.68</v>
      </c>
      <c r="H459" s="7">
        <f t="shared" si="45"/>
        <v>3.8836857724340807E-4</v>
      </c>
      <c r="I459" s="8">
        <f t="shared" si="47"/>
        <v>0.88051677071499013</v>
      </c>
      <c r="J459" s="3" t="s">
        <v>208</v>
      </c>
    </row>
    <row r="460" spans="1:10" x14ac:dyDescent="0.25">
      <c r="A460" s="3" t="s">
        <v>470</v>
      </c>
      <c r="B460" s="3" t="str">
        <f t="shared" si="42"/>
        <v>8</v>
      </c>
      <c r="C460" s="7">
        <f t="shared" si="43"/>
        <v>6.4432989690721648E-4</v>
      </c>
      <c r="D460" s="8">
        <f t="shared" si="46"/>
        <v>0.29574742268041149</v>
      </c>
      <c r="E460" s="4">
        <v>74</v>
      </c>
      <c r="F460" s="5">
        <v>43.15</v>
      </c>
      <c r="G460" s="10">
        <f t="shared" si="44"/>
        <v>3193.1</v>
      </c>
      <c r="H460" s="7">
        <f t="shared" si="45"/>
        <v>3.8684450849614635E-4</v>
      </c>
      <c r="I460" s="8">
        <f t="shared" si="47"/>
        <v>0.88090361522348626</v>
      </c>
      <c r="J460" s="3" t="s">
        <v>208</v>
      </c>
    </row>
    <row r="461" spans="1:10" x14ac:dyDescent="0.25">
      <c r="A461" s="3" t="s">
        <v>471</v>
      </c>
      <c r="B461" s="3" t="str">
        <f t="shared" si="42"/>
        <v>3</v>
      </c>
      <c r="C461" s="7">
        <f t="shared" si="43"/>
        <v>6.4432989690721648E-4</v>
      </c>
      <c r="D461" s="8">
        <f t="shared" si="46"/>
        <v>0.2963917525773187</v>
      </c>
      <c r="E461" s="4">
        <v>6</v>
      </c>
      <c r="F461" s="5">
        <v>531.70000000000005</v>
      </c>
      <c r="G461" s="10">
        <f t="shared" si="44"/>
        <v>3190.2000000000003</v>
      </c>
      <c r="H461" s="7">
        <f t="shared" si="45"/>
        <v>3.8649317309335948E-4</v>
      </c>
      <c r="I461" s="8">
        <f t="shared" si="47"/>
        <v>0.88129010839657962</v>
      </c>
      <c r="J461" s="3" t="s">
        <v>208</v>
      </c>
    </row>
    <row r="462" spans="1:10" x14ac:dyDescent="0.25">
      <c r="A462" s="3" t="s">
        <v>472</v>
      </c>
      <c r="B462" s="3" t="str">
        <f t="shared" si="42"/>
        <v>5</v>
      </c>
      <c r="C462" s="7">
        <f t="shared" si="43"/>
        <v>6.4432989690721648E-4</v>
      </c>
      <c r="D462" s="8">
        <f t="shared" si="46"/>
        <v>0.29703608247422592</v>
      </c>
      <c r="E462" s="4">
        <v>21</v>
      </c>
      <c r="F462" s="5">
        <v>151.88</v>
      </c>
      <c r="G462" s="10">
        <f t="shared" si="44"/>
        <v>3189.48</v>
      </c>
      <c r="H462" s="7">
        <f t="shared" si="45"/>
        <v>3.864059449933572E-4</v>
      </c>
      <c r="I462" s="8">
        <f t="shared" si="47"/>
        <v>0.88167651434157301</v>
      </c>
      <c r="J462" s="3" t="s">
        <v>208</v>
      </c>
    </row>
    <row r="463" spans="1:10" x14ac:dyDescent="0.25">
      <c r="A463" s="3" t="s">
        <v>473</v>
      </c>
      <c r="B463" s="3" t="str">
        <f t="shared" si="42"/>
        <v>8</v>
      </c>
      <c r="C463" s="7">
        <f t="shared" si="43"/>
        <v>6.4432989690721648E-4</v>
      </c>
      <c r="D463" s="8">
        <f t="shared" si="46"/>
        <v>0.29768041237113313</v>
      </c>
      <c r="E463" s="4">
        <v>74</v>
      </c>
      <c r="F463" s="5">
        <v>43.1</v>
      </c>
      <c r="G463" s="10">
        <f t="shared" si="44"/>
        <v>3189.4</v>
      </c>
      <c r="H463" s="7">
        <f t="shared" si="45"/>
        <v>3.8639625298224583E-4</v>
      </c>
      <c r="I463" s="8">
        <f t="shared" si="47"/>
        <v>0.88206291059455522</v>
      </c>
      <c r="J463" s="3" t="s">
        <v>208</v>
      </c>
    </row>
    <row r="464" spans="1:10" x14ac:dyDescent="0.25">
      <c r="A464" s="3" t="s">
        <v>474</v>
      </c>
      <c r="B464" s="3" t="str">
        <f t="shared" si="42"/>
        <v>7</v>
      </c>
      <c r="C464" s="7">
        <f t="shared" si="43"/>
        <v>6.4432989690721648E-4</v>
      </c>
      <c r="D464" s="8">
        <f t="shared" si="46"/>
        <v>0.29832474226804034</v>
      </c>
      <c r="E464" s="4">
        <v>26</v>
      </c>
      <c r="F464" s="5">
        <v>122.59</v>
      </c>
      <c r="G464" s="10">
        <f t="shared" si="44"/>
        <v>3187.34</v>
      </c>
      <c r="H464" s="7">
        <f t="shared" si="45"/>
        <v>3.8614668369612828E-4</v>
      </c>
      <c r="I464" s="8">
        <f t="shared" si="47"/>
        <v>0.88244905727825129</v>
      </c>
      <c r="J464" s="3" t="s">
        <v>208</v>
      </c>
    </row>
    <row r="465" spans="1:10" x14ac:dyDescent="0.25">
      <c r="A465" s="3" t="s">
        <v>475</v>
      </c>
      <c r="B465" s="3" t="str">
        <f t="shared" si="42"/>
        <v>2</v>
      </c>
      <c r="C465" s="7">
        <f t="shared" si="43"/>
        <v>6.4432989690721648E-4</v>
      </c>
      <c r="D465" s="8">
        <f t="shared" si="46"/>
        <v>0.29896907216494756</v>
      </c>
      <c r="E465" s="4">
        <v>54</v>
      </c>
      <c r="F465" s="5">
        <v>58.32</v>
      </c>
      <c r="G465" s="10">
        <f t="shared" si="44"/>
        <v>3149.28</v>
      </c>
      <c r="H465" s="7">
        <f t="shared" si="45"/>
        <v>3.8153570940989754E-4</v>
      </c>
      <c r="I465" s="8">
        <f t="shared" si="47"/>
        <v>0.8828305929876612</v>
      </c>
      <c r="J465" s="3" t="s">
        <v>208</v>
      </c>
    </row>
    <row r="466" spans="1:10" x14ac:dyDescent="0.25">
      <c r="A466" s="3" t="s">
        <v>476</v>
      </c>
      <c r="B466" s="3" t="str">
        <f t="shared" si="42"/>
        <v>1</v>
      </c>
      <c r="C466" s="7">
        <f t="shared" si="43"/>
        <v>6.4432989690721648E-4</v>
      </c>
      <c r="D466" s="8">
        <f t="shared" si="46"/>
        <v>0.29961340206185477</v>
      </c>
      <c r="E466" s="4">
        <v>12</v>
      </c>
      <c r="F466" s="5">
        <v>262.27</v>
      </c>
      <c r="G466" s="10">
        <f t="shared" si="44"/>
        <v>3147.24</v>
      </c>
      <c r="H466" s="7">
        <f t="shared" si="45"/>
        <v>3.8128856312655778E-4</v>
      </c>
      <c r="I466" s="8">
        <f t="shared" si="47"/>
        <v>0.88321188155078778</v>
      </c>
      <c r="J466" s="3" t="s">
        <v>208</v>
      </c>
    </row>
    <row r="467" spans="1:10" x14ac:dyDescent="0.25">
      <c r="A467" s="3" t="s">
        <v>477</v>
      </c>
      <c r="B467" s="3" t="str">
        <f t="shared" si="42"/>
        <v>4</v>
      </c>
      <c r="C467" s="7">
        <f t="shared" si="43"/>
        <v>6.4432989690721648E-4</v>
      </c>
      <c r="D467" s="8">
        <f t="shared" si="46"/>
        <v>0.30025773195876199</v>
      </c>
      <c r="E467" s="4">
        <v>13</v>
      </c>
      <c r="F467" s="5">
        <v>240.63</v>
      </c>
      <c r="G467" s="10">
        <f t="shared" si="44"/>
        <v>3128.19</v>
      </c>
      <c r="H467" s="7">
        <f t="shared" si="45"/>
        <v>3.7898065298066461E-4</v>
      </c>
      <c r="I467" s="8">
        <f t="shared" si="47"/>
        <v>0.88359086220376848</v>
      </c>
      <c r="J467" s="3" t="s">
        <v>208</v>
      </c>
    </row>
    <row r="468" spans="1:10" x14ac:dyDescent="0.25">
      <c r="A468" s="3" t="s">
        <v>478</v>
      </c>
      <c r="B468" s="3" t="str">
        <f t="shared" si="42"/>
        <v>9</v>
      </c>
      <c r="C468" s="7">
        <f t="shared" si="43"/>
        <v>6.4432989690721648E-4</v>
      </c>
      <c r="D468" s="8">
        <f t="shared" si="46"/>
        <v>0.3009020618556692</v>
      </c>
      <c r="E468" s="4">
        <v>20</v>
      </c>
      <c r="F468" s="5">
        <v>156.04</v>
      </c>
      <c r="G468" s="10">
        <f t="shared" si="44"/>
        <v>3120.7999999999997</v>
      </c>
      <c r="H468" s="7">
        <f t="shared" si="45"/>
        <v>3.7808535345425242E-4</v>
      </c>
      <c r="I468" s="8">
        <f t="shared" si="47"/>
        <v>0.88396894755722277</v>
      </c>
      <c r="J468" s="3" t="s">
        <v>208</v>
      </c>
    </row>
    <row r="469" spans="1:10" x14ac:dyDescent="0.25">
      <c r="A469" s="3" t="s">
        <v>479</v>
      </c>
      <c r="B469" s="3" t="str">
        <f t="shared" si="42"/>
        <v>4</v>
      </c>
      <c r="C469" s="7">
        <f t="shared" si="43"/>
        <v>6.4432989690721648E-4</v>
      </c>
      <c r="D469" s="8">
        <f t="shared" si="46"/>
        <v>0.30154639175257641</v>
      </c>
      <c r="E469" s="4">
        <v>16</v>
      </c>
      <c r="F469" s="5">
        <v>194.39</v>
      </c>
      <c r="G469" s="10">
        <f t="shared" si="44"/>
        <v>3110.24</v>
      </c>
      <c r="H469" s="7">
        <f t="shared" si="45"/>
        <v>3.7680600798755261E-4</v>
      </c>
      <c r="I469" s="8">
        <f t="shared" si="47"/>
        <v>0.88434575356521028</v>
      </c>
      <c r="J469" s="3" t="s">
        <v>208</v>
      </c>
    </row>
    <row r="470" spans="1:10" x14ac:dyDescent="0.25">
      <c r="A470" s="3" t="s">
        <v>480</v>
      </c>
      <c r="B470" s="3" t="str">
        <f t="shared" si="42"/>
        <v>8</v>
      </c>
      <c r="C470" s="7">
        <f t="shared" si="43"/>
        <v>6.4432989690721648E-4</v>
      </c>
      <c r="D470" s="8">
        <f t="shared" si="46"/>
        <v>0.30219072164948363</v>
      </c>
      <c r="E470" s="4">
        <v>67</v>
      </c>
      <c r="F470" s="5">
        <v>46.25</v>
      </c>
      <c r="G470" s="10">
        <f t="shared" si="44"/>
        <v>3098.75</v>
      </c>
      <c r="H470" s="7">
        <f t="shared" si="45"/>
        <v>3.7541399289168316E-4</v>
      </c>
      <c r="I470" s="8">
        <f t="shared" si="47"/>
        <v>0.88472116755810193</v>
      </c>
      <c r="J470" s="3" t="s">
        <v>208</v>
      </c>
    </row>
    <row r="471" spans="1:10" x14ac:dyDescent="0.25">
      <c r="A471" s="3" t="s">
        <v>481</v>
      </c>
      <c r="B471" s="3" t="str">
        <f t="shared" si="42"/>
        <v>1</v>
      </c>
      <c r="C471" s="7">
        <f t="shared" si="43"/>
        <v>6.4432989690721648E-4</v>
      </c>
      <c r="D471" s="8">
        <f t="shared" si="46"/>
        <v>0.30283505154639084</v>
      </c>
      <c r="E471" s="4">
        <v>6</v>
      </c>
      <c r="F471" s="5">
        <v>516.21</v>
      </c>
      <c r="G471" s="10">
        <f t="shared" si="44"/>
        <v>3097.26</v>
      </c>
      <c r="H471" s="7">
        <f t="shared" si="45"/>
        <v>3.7523347918473409E-4</v>
      </c>
      <c r="I471" s="8">
        <f t="shared" si="47"/>
        <v>0.88509640103728671</v>
      </c>
      <c r="J471" s="3" t="s">
        <v>208</v>
      </c>
    </row>
    <row r="472" spans="1:10" x14ac:dyDescent="0.25">
      <c r="A472" s="3" t="s">
        <v>482</v>
      </c>
      <c r="B472" s="3" t="str">
        <f t="shared" si="42"/>
        <v>6</v>
      </c>
      <c r="C472" s="7">
        <f t="shared" si="43"/>
        <v>6.4432989690721648E-4</v>
      </c>
      <c r="D472" s="8">
        <f t="shared" si="46"/>
        <v>0.30347938144329806</v>
      </c>
      <c r="E472" s="4">
        <v>216</v>
      </c>
      <c r="F472" s="5">
        <v>14.31</v>
      </c>
      <c r="G472" s="10">
        <f t="shared" si="44"/>
        <v>3090.96</v>
      </c>
      <c r="H472" s="7">
        <f t="shared" si="45"/>
        <v>3.7447023330971422E-4</v>
      </c>
      <c r="I472" s="8">
        <f t="shared" si="47"/>
        <v>0.88547087127059643</v>
      </c>
      <c r="J472" s="3" t="s">
        <v>208</v>
      </c>
    </row>
    <row r="473" spans="1:10" x14ac:dyDescent="0.25">
      <c r="A473" s="3" t="s">
        <v>483</v>
      </c>
      <c r="B473" s="3" t="str">
        <f t="shared" si="42"/>
        <v>9</v>
      </c>
      <c r="C473" s="7">
        <f t="shared" si="43"/>
        <v>6.4432989690721648E-4</v>
      </c>
      <c r="D473" s="8">
        <f t="shared" si="46"/>
        <v>0.30412371134020527</v>
      </c>
      <c r="E473" s="4">
        <v>24</v>
      </c>
      <c r="F473" s="5">
        <v>128.43</v>
      </c>
      <c r="G473" s="10">
        <f t="shared" si="44"/>
        <v>3082.32</v>
      </c>
      <c r="H473" s="7">
        <f t="shared" si="45"/>
        <v>3.7342349610968708E-4</v>
      </c>
      <c r="I473" s="8">
        <f t="shared" si="47"/>
        <v>0.88584429476670612</v>
      </c>
      <c r="J473" s="3" t="s">
        <v>208</v>
      </c>
    </row>
    <row r="474" spans="1:10" x14ac:dyDescent="0.25">
      <c r="A474" s="3" t="s">
        <v>484</v>
      </c>
      <c r="B474" s="3" t="str">
        <f t="shared" si="42"/>
        <v>3</v>
      </c>
      <c r="C474" s="7">
        <f t="shared" si="43"/>
        <v>6.4432989690721648E-4</v>
      </c>
      <c r="D474" s="8">
        <f t="shared" si="46"/>
        <v>0.30476804123711249</v>
      </c>
      <c r="E474" s="4">
        <v>36</v>
      </c>
      <c r="F474" s="5">
        <v>85.46</v>
      </c>
      <c r="G474" s="10">
        <f t="shared" si="44"/>
        <v>3076.56</v>
      </c>
      <c r="H474" s="7">
        <f t="shared" si="45"/>
        <v>3.7272567130966895E-4</v>
      </c>
      <c r="I474" s="8">
        <f t="shared" si="47"/>
        <v>0.88621702043801576</v>
      </c>
      <c r="J474" s="3" t="s">
        <v>208</v>
      </c>
    </row>
    <row r="475" spans="1:10" x14ac:dyDescent="0.25">
      <c r="A475" s="3" t="s">
        <v>485</v>
      </c>
      <c r="B475" s="3" t="str">
        <f t="shared" si="42"/>
        <v>4</v>
      </c>
      <c r="C475" s="7">
        <f t="shared" si="43"/>
        <v>6.4432989690721648E-4</v>
      </c>
      <c r="D475" s="8">
        <f t="shared" si="46"/>
        <v>0.3054123711340197</v>
      </c>
      <c r="E475" s="4">
        <v>39</v>
      </c>
      <c r="F475" s="5">
        <v>78.66</v>
      </c>
      <c r="G475" s="10">
        <f t="shared" si="44"/>
        <v>3067.74</v>
      </c>
      <c r="H475" s="7">
        <f t="shared" si="45"/>
        <v>3.7165712708464121E-4</v>
      </c>
      <c r="I475" s="8">
        <f t="shared" si="47"/>
        <v>0.8865886775651004</v>
      </c>
      <c r="J475" s="3" t="s">
        <v>208</v>
      </c>
    </row>
    <row r="476" spans="1:10" x14ac:dyDescent="0.25">
      <c r="A476" s="3" t="s">
        <v>486</v>
      </c>
      <c r="B476" s="3" t="str">
        <f t="shared" si="42"/>
        <v>8</v>
      </c>
      <c r="C476" s="7">
        <f t="shared" si="43"/>
        <v>6.4432989690721648E-4</v>
      </c>
      <c r="D476" s="8">
        <f t="shared" si="46"/>
        <v>0.30605670103092691</v>
      </c>
      <c r="E476" s="4">
        <v>124</v>
      </c>
      <c r="F476" s="5">
        <v>24.61</v>
      </c>
      <c r="G476" s="10">
        <f t="shared" si="44"/>
        <v>3051.64</v>
      </c>
      <c r="H476" s="7">
        <f t="shared" si="45"/>
        <v>3.6970660984847952E-4</v>
      </c>
      <c r="I476" s="8">
        <f t="shared" si="47"/>
        <v>0.88695838417494888</v>
      </c>
      <c r="J476" s="3" t="s">
        <v>208</v>
      </c>
    </row>
    <row r="477" spans="1:10" x14ac:dyDescent="0.25">
      <c r="A477" s="3" t="s">
        <v>487</v>
      </c>
      <c r="B477" s="3" t="str">
        <f t="shared" si="42"/>
        <v>9</v>
      </c>
      <c r="C477" s="7">
        <f t="shared" si="43"/>
        <v>6.4432989690721648E-4</v>
      </c>
      <c r="D477" s="8">
        <f t="shared" si="46"/>
        <v>0.30670103092783413</v>
      </c>
      <c r="E477" s="4">
        <v>13</v>
      </c>
      <c r="F477" s="5">
        <v>232.9</v>
      </c>
      <c r="G477" s="10">
        <f t="shared" si="44"/>
        <v>3027.7000000000003</v>
      </c>
      <c r="H477" s="7">
        <f t="shared" si="45"/>
        <v>3.6680627552340434E-4</v>
      </c>
      <c r="I477" s="8">
        <f t="shared" si="47"/>
        <v>0.88732519045047231</v>
      </c>
      <c r="J477" s="3" t="s">
        <v>208</v>
      </c>
    </row>
    <row r="478" spans="1:10" x14ac:dyDescent="0.25">
      <c r="A478" s="3" t="s">
        <v>488</v>
      </c>
      <c r="B478" s="3" t="str">
        <f t="shared" si="42"/>
        <v>9</v>
      </c>
      <c r="C478" s="7">
        <f t="shared" si="43"/>
        <v>6.4432989690721648E-4</v>
      </c>
      <c r="D478" s="8">
        <f t="shared" si="46"/>
        <v>0.30734536082474134</v>
      </c>
      <c r="E478" s="4">
        <v>21</v>
      </c>
      <c r="F478" s="5">
        <v>144.04</v>
      </c>
      <c r="G478" s="10">
        <f t="shared" si="44"/>
        <v>3024.8399999999997</v>
      </c>
      <c r="H478" s="7">
        <f t="shared" si="45"/>
        <v>3.6645978612617308E-4</v>
      </c>
      <c r="I478" s="8">
        <f t="shared" si="47"/>
        <v>0.88769165023659846</v>
      </c>
      <c r="J478" s="3" t="s">
        <v>208</v>
      </c>
    </row>
    <row r="479" spans="1:10" x14ac:dyDescent="0.25">
      <c r="A479" s="3" t="s">
        <v>489</v>
      </c>
      <c r="B479" s="3" t="str">
        <f t="shared" si="42"/>
        <v>4</v>
      </c>
      <c r="C479" s="7">
        <f t="shared" si="43"/>
        <v>6.4432989690721648E-4</v>
      </c>
      <c r="D479" s="8">
        <f t="shared" si="46"/>
        <v>0.30798969072164856</v>
      </c>
      <c r="E479" s="4">
        <v>10</v>
      </c>
      <c r="F479" s="5">
        <v>301.91000000000003</v>
      </c>
      <c r="G479" s="10">
        <f t="shared" si="44"/>
        <v>3019.1000000000004</v>
      </c>
      <c r="H479" s="7">
        <f t="shared" si="45"/>
        <v>3.6576438432893291E-4</v>
      </c>
      <c r="I479" s="8">
        <f t="shared" si="47"/>
        <v>0.88805741462092735</v>
      </c>
      <c r="J479" s="3" t="s">
        <v>208</v>
      </c>
    </row>
    <row r="480" spans="1:10" x14ac:dyDescent="0.25">
      <c r="A480" s="3" t="s">
        <v>490</v>
      </c>
      <c r="B480" s="3" t="str">
        <f t="shared" si="42"/>
        <v>5</v>
      </c>
      <c r="C480" s="7">
        <f t="shared" si="43"/>
        <v>6.4432989690721648E-4</v>
      </c>
      <c r="D480" s="8">
        <f t="shared" si="46"/>
        <v>0.30863402061855577</v>
      </c>
      <c r="E480" s="4">
        <v>19</v>
      </c>
      <c r="F480" s="5">
        <v>158.43</v>
      </c>
      <c r="G480" s="10">
        <f t="shared" si="44"/>
        <v>3010.17</v>
      </c>
      <c r="H480" s="7">
        <f t="shared" si="45"/>
        <v>3.6468251358862699E-4</v>
      </c>
      <c r="I480" s="8">
        <f t="shared" si="47"/>
        <v>0.88842209713451603</v>
      </c>
      <c r="J480" s="3" t="s">
        <v>208</v>
      </c>
    </row>
    <row r="481" spans="1:10" x14ac:dyDescent="0.25">
      <c r="A481" s="3" t="s">
        <v>491</v>
      </c>
      <c r="B481" s="3" t="str">
        <f t="shared" si="42"/>
        <v>9</v>
      </c>
      <c r="C481" s="7">
        <f t="shared" si="43"/>
        <v>6.4432989690721648E-4</v>
      </c>
      <c r="D481" s="8">
        <f t="shared" si="46"/>
        <v>0.30927835051546299</v>
      </c>
      <c r="E481" s="4">
        <v>47</v>
      </c>
      <c r="F481" s="5">
        <v>63.92</v>
      </c>
      <c r="G481" s="10">
        <f t="shared" si="44"/>
        <v>3004.2400000000002</v>
      </c>
      <c r="H481" s="7">
        <f t="shared" si="45"/>
        <v>3.6396409326499727E-4</v>
      </c>
      <c r="I481" s="8">
        <f t="shared" si="47"/>
        <v>0.88878606122778103</v>
      </c>
      <c r="J481" s="3" t="s">
        <v>208</v>
      </c>
    </row>
    <row r="482" spans="1:10" x14ac:dyDescent="0.25">
      <c r="A482" s="3" t="s">
        <v>492</v>
      </c>
      <c r="B482" s="3" t="str">
        <f t="shared" si="42"/>
        <v>7</v>
      </c>
      <c r="C482" s="7">
        <f t="shared" si="43"/>
        <v>6.4432989690721648E-4</v>
      </c>
      <c r="D482" s="8">
        <f t="shared" si="46"/>
        <v>0.3099226804123702</v>
      </c>
      <c r="E482" s="4">
        <v>48</v>
      </c>
      <c r="F482" s="5">
        <v>62.54</v>
      </c>
      <c r="G482" s="10">
        <f t="shared" si="44"/>
        <v>3001.92</v>
      </c>
      <c r="H482" s="7">
        <f t="shared" si="45"/>
        <v>3.6368302494276775E-4</v>
      </c>
      <c r="I482" s="8">
        <f t="shared" si="47"/>
        <v>0.88914974425272375</v>
      </c>
      <c r="J482" s="3" t="s">
        <v>208</v>
      </c>
    </row>
    <row r="483" spans="1:10" x14ac:dyDescent="0.25">
      <c r="A483" s="3" t="s">
        <v>493</v>
      </c>
      <c r="B483" s="3" t="str">
        <f t="shared" si="42"/>
        <v>8</v>
      </c>
      <c r="C483" s="7">
        <f t="shared" si="43"/>
        <v>6.4432989690721648E-4</v>
      </c>
      <c r="D483" s="8">
        <f t="shared" si="46"/>
        <v>0.31056701030927741</v>
      </c>
      <c r="E483" s="4">
        <v>97</v>
      </c>
      <c r="F483" s="5">
        <v>30.93</v>
      </c>
      <c r="G483" s="10">
        <f t="shared" si="44"/>
        <v>3000.21</v>
      </c>
      <c r="H483" s="7">
        <f t="shared" si="45"/>
        <v>3.6347585820526237E-4</v>
      </c>
      <c r="I483" s="8">
        <f t="shared" si="47"/>
        <v>0.88951322011092904</v>
      </c>
      <c r="J483" s="3" t="s">
        <v>208</v>
      </c>
    </row>
    <row r="484" spans="1:10" x14ac:dyDescent="0.25">
      <c r="A484" s="3" t="s">
        <v>494</v>
      </c>
      <c r="B484" s="3" t="str">
        <f t="shared" si="42"/>
        <v>9</v>
      </c>
      <c r="C484" s="7">
        <f t="shared" si="43"/>
        <v>6.4432989690721648E-4</v>
      </c>
      <c r="D484" s="8">
        <f t="shared" si="46"/>
        <v>0.31121134020618463</v>
      </c>
      <c r="E484" s="4">
        <v>76</v>
      </c>
      <c r="F484" s="5">
        <v>39.44</v>
      </c>
      <c r="G484" s="10">
        <f t="shared" si="44"/>
        <v>2997.4399999999996</v>
      </c>
      <c r="H484" s="7">
        <f t="shared" si="45"/>
        <v>3.6314027232053138E-4</v>
      </c>
      <c r="I484" s="8">
        <f t="shared" si="47"/>
        <v>0.88987636038324958</v>
      </c>
      <c r="J484" s="3" t="s">
        <v>208</v>
      </c>
    </row>
    <row r="485" spans="1:10" x14ac:dyDescent="0.25">
      <c r="A485" s="3" t="s">
        <v>495</v>
      </c>
      <c r="B485" s="3" t="str">
        <f t="shared" si="42"/>
        <v>8</v>
      </c>
      <c r="C485" s="7">
        <f t="shared" si="43"/>
        <v>6.4432989690721648E-4</v>
      </c>
      <c r="D485" s="8">
        <f t="shared" si="46"/>
        <v>0.31185567010309184</v>
      </c>
      <c r="E485" s="4">
        <v>135</v>
      </c>
      <c r="F485" s="5">
        <v>22.19</v>
      </c>
      <c r="G485" s="10">
        <f t="shared" si="44"/>
        <v>2995.65</v>
      </c>
      <c r="H485" s="7">
        <f t="shared" si="45"/>
        <v>3.6292341357191469E-4</v>
      </c>
      <c r="I485" s="8">
        <f t="shared" si="47"/>
        <v>0.89023928379682149</v>
      </c>
      <c r="J485" s="3" t="s">
        <v>208</v>
      </c>
    </row>
    <row r="486" spans="1:10" x14ac:dyDescent="0.25">
      <c r="A486" s="3" t="s">
        <v>496</v>
      </c>
      <c r="B486" s="3" t="str">
        <f t="shared" si="42"/>
        <v>1</v>
      </c>
      <c r="C486" s="7">
        <f t="shared" si="43"/>
        <v>6.4432989690721648E-4</v>
      </c>
      <c r="D486" s="8">
        <f t="shared" si="46"/>
        <v>0.31249999999999906</v>
      </c>
      <c r="E486" s="4">
        <v>4</v>
      </c>
      <c r="F486" s="5">
        <v>747.84</v>
      </c>
      <c r="G486" s="10">
        <f t="shared" si="44"/>
        <v>2991.36</v>
      </c>
      <c r="H486" s="7">
        <f t="shared" si="45"/>
        <v>3.6240367947606788E-4</v>
      </c>
      <c r="I486" s="8">
        <f t="shared" si="47"/>
        <v>0.89060168747629753</v>
      </c>
      <c r="J486" s="3" t="s">
        <v>208</v>
      </c>
    </row>
    <row r="487" spans="1:10" x14ac:dyDescent="0.25">
      <c r="A487" s="3" t="s">
        <v>497</v>
      </c>
      <c r="B487" s="3" t="str">
        <f t="shared" si="42"/>
        <v>5</v>
      </c>
      <c r="C487" s="7">
        <f t="shared" si="43"/>
        <v>6.4432989690721648E-4</v>
      </c>
      <c r="D487" s="8">
        <f t="shared" si="46"/>
        <v>0.31314432989690627</v>
      </c>
      <c r="E487" s="4">
        <v>15</v>
      </c>
      <c r="F487" s="5">
        <v>197.81</v>
      </c>
      <c r="G487" s="10">
        <f t="shared" si="44"/>
        <v>2967.15</v>
      </c>
      <c r="H487" s="7">
        <f t="shared" si="45"/>
        <v>3.5947063461349183E-4</v>
      </c>
      <c r="I487" s="8">
        <f t="shared" si="47"/>
        <v>0.89096115811091103</v>
      </c>
      <c r="J487" s="3" t="s">
        <v>208</v>
      </c>
    </row>
    <row r="488" spans="1:10" x14ac:dyDescent="0.25">
      <c r="A488" s="3" t="s">
        <v>498</v>
      </c>
      <c r="B488" s="3" t="str">
        <f t="shared" si="42"/>
        <v>9</v>
      </c>
      <c r="C488" s="7">
        <f t="shared" si="43"/>
        <v>6.4432989690721648E-4</v>
      </c>
      <c r="D488" s="8">
        <f t="shared" si="46"/>
        <v>0.31378865979381348</v>
      </c>
      <c r="E488" s="4">
        <v>9</v>
      </c>
      <c r="F488" s="5">
        <v>328.33</v>
      </c>
      <c r="G488" s="10">
        <f t="shared" si="44"/>
        <v>2954.97</v>
      </c>
      <c r="H488" s="7">
        <f t="shared" si="45"/>
        <v>3.579950259217868E-4</v>
      </c>
      <c r="I488" s="8">
        <f t="shared" si="47"/>
        <v>0.89131915313683285</v>
      </c>
      <c r="J488" s="3" t="s">
        <v>208</v>
      </c>
    </row>
    <row r="489" spans="1:10" x14ac:dyDescent="0.25">
      <c r="A489" s="3" t="s">
        <v>499</v>
      </c>
      <c r="B489" s="3" t="str">
        <f t="shared" si="42"/>
        <v>1</v>
      </c>
      <c r="C489" s="7">
        <f t="shared" si="43"/>
        <v>6.4432989690721648E-4</v>
      </c>
      <c r="D489" s="8">
        <f t="shared" si="46"/>
        <v>0.3144329896907207</v>
      </c>
      <c r="E489" s="4">
        <v>4</v>
      </c>
      <c r="F489" s="5">
        <v>734.5</v>
      </c>
      <c r="G489" s="10">
        <f t="shared" si="44"/>
        <v>2938</v>
      </c>
      <c r="H489" s="7">
        <f t="shared" si="45"/>
        <v>3.559391080647891E-4</v>
      </c>
      <c r="I489" s="8">
        <f t="shared" si="47"/>
        <v>0.8916750922448976</v>
      </c>
      <c r="J489" s="3" t="s">
        <v>208</v>
      </c>
    </row>
    <row r="490" spans="1:10" x14ac:dyDescent="0.25">
      <c r="A490" s="3" t="s">
        <v>500</v>
      </c>
      <c r="B490" s="3" t="str">
        <f t="shared" si="42"/>
        <v>8</v>
      </c>
      <c r="C490" s="7">
        <f t="shared" si="43"/>
        <v>6.4432989690721648E-4</v>
      </c>
      <c r="D490" s="8">
        <f t="shared" si="46"/>
        <v>0.31507731958762791</v>
      </c>
      <c r="E490" s="4">
        <v>70</v>
      </c>
      <c r="F490" s="5">
        <v>41.92</v>
      </c>
      <c r="G490" s="10">
        <f t="shared" si="44"/>
        <v>2934.4</v>
      </c>
      <c r="H490" s="7">
        <f t="shared" si="45"/>
        <v>3.5550296756477775E-4</v>
      </c>
      <c r="I490" s="8">
        <f t="shared" si="47"/>
        <v>0.89203059521246242</v>
      </c>
      <c r="J490" s="3" t="s">
        <v>208</v>
      </c>
    </row>
    <row r="491" spans="1:10" x14ac:dyDescent="0.25">
      <c r="A491" s="3" t="s">
        <v>501</v>
      </c>
      <c r="B491" s="3" t="str">
        <f t="shared" si="42"/>
        <v>6</v>
      </c>
      <c r="C491" s="7">
        <f t="shared" si="43"/>
        <v>6.4432989690721648E-4</v>
      </c>
      <c r="D491" s="8">
        <f t="shared" si="46"/>
        <v>0.31572164948453513</v>
      </c>
      <c r="E491" s="4">
        <v>57</v>
      </c>
      <c r="F491" s="5">
        <v>51.3</v>
      </c>
      <c r="G491" s="10">
        <f t="shared" si="44"/>
        <v>2924.1</v>
      </c>
      <c r="H491" s="7">
        <f t="shared" si="45"/>
        <v>3.542551211341898E-4</v>
      </c>
      <c r="I491" s="8">
        <f t="shared" si="47"/>
        <v>0.8923848503335966</v>
      </c>
      <c r="J491" s="3" t="s">
        <v>208</v>
      </c>
    </row>
    <row r="492" spans="1:10" x14ac:dyDescent="0.25">
      <c r="A492" s="3" t="s">
        <v>502</v>
      </c>
      <c r="B492" s="3" t="str">
        <f t="shared" si="42"/>
        <v>3</v>
      </c>
      <c r="C492" s="7">
        <f t="shared" si="43"/>
        <v>6.4432989690721648E-4</v>
      </c>
      <c r="D492" s="8">
        <f t="shared" si="46"/>
        <v>0.31636597938144234</v>
      </c>
      <c r="E492" s="4">
        <v>23</v>
      </c>
      <c r="F492" s="5">
        <v>126.8</v>
      </c>
      <c r="G492" s="10">
        <f t="shared" si="44"/>
        <v>2916.4</v>
      </c>
      <c r="H492" s="7">
        <f t="shared" si="45"/>
        <v>3.5332226506472119E-4</v>
      </c>
      <c r="I492" s="8">
        <f t="shared" si="47"/>
        <v>0.89273817259866128</v>
      </c>
      <c r="J492" s="3" t="s">
        <v>208</v>
      </c>
    </row>
    <row r="493" spans="1:10" x14ac:dyDescent="0.25">
      <c r="A493" s="3" t="s">
        <v>503</v>
      </c>
      <c r="B493" s="3" t="str">
        <f t="shared" si="42"/>
        <v>4</v>
      </c>
      <c r="C493" s="7">
        <f t="shared" si="43"/>
        <v>6.4432989690721648E-4</v>
      </c>
      <c r="D493" s="8">
        <f t="shared" si="46"/>
        <v>0.31701030927834956</v>
      </c>
      <c r="E493" s="4">
        <v>33</v>
      </c>
      <c r="F493" s="5">
        <v>88.08</v>
      </c>
      <c r="G493" s="10">
        <f t="shared" si="44"/>
        <v>2906.64</v>
      </c>
      <c r="H493" s="7">
        <f t="shared" si="45"/>
        <v>3.5213983970913492E-4</v>
      </c>
      <c r="I493" s="8">
        <f t="shared" si="47"/>
        <v>0.89309031243837045</v>
      </c>
      <c r="J493" s="3" t="s">
        <v>208</v>
      </c>
    </row>
    <row r="494" spans="1:10" x14ac:dyDescent="0.25">
      <c r="A494" s="3" t="s">
        <v>504</v>
      </c>
      <c r="B494" s="3" t="str">
        <f t="shared" si="42"/>
        <v>5</v>
      </c>
      <c r="C494" s="7">
        <f t="shared" si="43"/>
        <v>6.4432989690721648E-4</v>
      </c>
      <c r="D494" s="8">
        <f t="shared" si="46"/>
        <v>0.31765463917525677</v>
      </c>
      <c r="E494" s="4">
        <v>34</v>
      </c>
      <c r="F494" s="5">
        <v>85.35</v>
      </c>
      <c r="G494" s="10">
        <f t="shared" si="44"/>
        <v>2901.8999999999996</v>
      </c>
      <c r="H494" s="7">
        <f t="shared" si="45"/>
        <v>3.5156558805078669E-4</v>
      </c>
      <c r="I494" s="8">
        <f t="shared" si="47"/>
        <v>0.89344187802642128</v>
      </c>
      <c r="J494" s="3" t="s">
        <v>208</v>
      </c>
    </row>
    <row r="495" spans="1:10" x14ac:dyDescent="0.25">
      <c r="A495" s="3" t="s">
        <v>505</v>
      </c>
      <c r="B495" s="3" t="str">
        <f t="shared" si="42"/>
        <v>3</v>
      </c>
      <c r="C495" s="7">
        <f t="shared" si="43"/>
        <v>6.4432989690721648E-4</v>
      </c>
      <c r="D495" s="8">
        <f t="shared" si="46"/>
        <v>0.31829896907216398</v>
      </c>
      <c r="E495" s="4">
        <v>4</v>
      </c>
      <c r="F495" s="5">
        <v>723.48</v>
      </c>
      <c r="G495" s="10">
        <f t="shared" si="44"/>
        <v>2893.92</v>
      </c>
      <c r="H495" s="7">
        <f t="shared" si="45"/>
        <v>3.5059880994242832E-4</v>
      </c>
      <c r="I495" s="8">
        <f t="shared" si="47"/>
        <v>0.89379247683636376</v>
      </c>
      <c r="J495" s="3" t="s">
        <v>208</v>
      </c>
    </row>
    <row r="496" spans="1:10" x14ac:dyDescent="0.25">
      <c r="A496" s="3" t="s">
        <v>506</v>
      </c>
      <c r="B496" s="3" t="str">
        <f t="shared" si="42"/>
        <v>6</v>
      </c>
      <c r="C496" s="7">
        <f t="shared" si="43"/>
        <v>6.4432989690721648E-4</v>
      </c>
      <c r="D496" s="8">
        <f t="shared" si="46"/>
        <v>0.3189432989690712</v>
      </c>
      <c r="E496" s="4">
        <v>59</v>
      </c>
      <c r="F496" s="5">
        <v>48.79</v>
      </c>
      <c r="G496" s="10">
        <f t="shared" si="44"/>
        <v>2878.61</v>
      </c>
      <c r="H496" s="7">
        <f t="shared" si="45"/>
        <v>3.4874400131599132E-4</v>
      </c>
      <c r="I496" s="8">
        <f t="shared" si="47"/>
        <v>0.89414122083767977</v>
      </c>
      <c r="J496" s="3" t="s">
        <v>208</v>
      </c>
    </row>
    <row r="497" spans="1:10" x14ac:dyDescent="0.25">
      <c r="A497" s="3" t="s">
        <v>507</v>
      </c>
      <c r="B497" s="3" t="str">
        <f t="shared" si="42"/>
        <v>8</v>
      </c>
      <c r="C497" s="7">
        <f t="shared" si="43"/>
        <v>6.4432989690721648E-4</v>
      </c>
      <c r="D497" s="8">
        <f t="shared" si="46"/>
        <v>0.31958762886597841</v>
      </c>
      <c r="E497" s="4">
        <v>83</v>
      </c>
      <c r="F497" s="5">
        <v>34.68</v>
      </c>
      <c r="G497" s="10">
        <f t="shared" si="44"/>
        <v>2878.44</v>
      </c>
      <c r="H497" s="7">
        <f t="shared" si="45"/>
        <v>3.4872340579237968E-4</v>
      </c>
      <c r="I497" s="8">
        <f t="shared" si="47"/>
        <v>0.89448994424347217</v>
      </c>
      <c r="J497" s="3" t="s">
        <v>208</v>
      </c>
    </row>
    <row r="498" spans="1:10" x14ac:dyDescent="0.25">
      <c r="A498" s="3" t="s">
        <v>508</v>
      </c>
      <c r="B498" s="3" t="str">
        <f t="shared" si="42"/>
        <v>1</v>
      </c>
      <c r="C498" s="7">
        <f t="shared" si="43"/>
        <v>6.4432989690721648E-4</v>
      </c>
      <c r="D498" s="8">
        <f t="shared" si="46"/>
        <v>0.32023195876288563</v>
      </c>
      <c r="E498" s="4">
        <v>6</v>
      </c>
      <c r="F498" s="5">
        <v>472.38</v>
      </c>
      <c r="G498" s="10">
        <f t="shared" si="44"/>
        <v>2834.2799999999997</v>
      </c>
      <c r="H498" s="7">
        <f t="shared" si="45"/>
        <v>3.4337341565890753E-4</v>
      </c>
      <c r="I498" s="8">
        <f t="shared" si="47"/>
        <v>0.8948333176591311</v>
      </c>
      <c r="J498" s="3" t="s">
        <v>208</v>
      </c>
    </row>
    <row r="499" spans="1:10" x14ac:dyDescent="0.25">
      <c r="A499" s="3" t="s">
        <v>509</v>
      </c>
      <c r="B499" s="3" t="str">
        <f t="shared" si="42"/>
        <v>9</v>
      </c>
      <c r="C499" s="7">
        <f t="shared" si="43"/>
        <v>6.4432989690721648E-4</v>
      </c>
      <c r="D499" s="8">
        <f t="shared" si="46"/>
        <v>0.32087628865979284</v>
      </c>
      <c r="E499" s="4">
        <v>8</v>
      </c>
      <c r="F499" s="5">
        <v>351.99</v>
      </c>
      <c r="G499" s="10">
        <f t="shared" si="44"/>
        <v>2815.92</v>
      </c>
      <c r="H499" s="7">
        <f t="shared" si="45"/>
        <v>3.4114909910884988E-4</v>
      </c>
      <c r="I499" s="8">
        <f t="shared" si="47"/>
        <v>0.89517446675823997</v>
      </c>
      <c r="J499" s="3" t="s">
        <v>208</v>
      </c>
    </row>
    <row r="500" spans="1:10" x14ac:dyDescent="0.25">
      <c r="A500" s="3" t="s">
        <v>510</v>
      </c>
      <c r="B500" s="3" t="str">
        <f t="shared" si="42"/>
        <v>8</v>
      </c>
      <c r="C500" s="7">
        <f t="shared" si="43"/>
        <v>6.4432989690721648E-4</v>
      </c>
      <c r="D500" s="8">
        <f t="shared" si="46"/>
        <v>0.32152061855670006</v>
      </c>
      <c r="E500" s="4">
        <v>236</v>
      </c>
      <c r="F500" s="5">
        <v>11.8</v>
      </c>
      <c r="G500" s="10">
        <f t="shared" si="44"/>
        <v>2784.8</v>
      </c>
      <c r="H500" s="7">
        <f t="shared" si="45"/>
        <v>3.3737890678652986E-4</v>
      </c>
      <c r="I500" s="8">
        <f t="shared" si="47"/>
        <v>0.89551184566502651</v>
      </c>
      <c r="J500" s="3" t="s">
        <v>208</v>
      </c>
    </row>
    <row r="501" spans="1:10" x14ac:dyDescent="0.25">
      <c r="A501" s="3" t="s">
        <v>511</v>
      </c>
      <c r="B501" s="3" t="str">
        <f t="shared" si="42"/>
        <v>8</v>
      </c>
      <c r="C501" s="7">
        <f t="shared" si="43"/>
        <v>6.4432989690721648E-4</v>
      </c>
      <c r="D501" s="8">
        <f t="shared" si="46"/>
        <v>0.32216494845360727</v>
      </c>
      <c r="E501" s="4">
        <v>42</v>
      </c>
      <c r="F501" s="5">
        <v>65.48</v>
      </c>
      <c r="G501" s="10">
        <f t="shared" si="44"/>
        <v>2750.1600000000003</v>
      </c>
      <c r="H501" s="7">
        <f t="shared" si="45"/>
        <v>3.3318226597530987E-4</v>
      </c>
      <c r="I501" s="8">
        <f t="shared" si="47"/>
        <v>0.89584502793100185</v>
      </c>
      <c r="J501" s="3" t="s">
        <v>208</v>
      </c>
    </row>
    <row r="502" spans="1:10" x14ac:dyDescent="0.25">
      <c r="A502" s="3" t="s">
        <v>512</v>
      </c>
      <c r="B502" s="3" t="str">
        <f t="shared" si="42"/>
        <v>2</v>
      </c>
      <c r="C502" s="7">
        <f t="shared" si="43"/>
        <v>6.4432989690721648E-4</v>
      </c>
      <c r="D502" s="8">
        <f t="shared" si="46"/>
        <v>0.32280927835051448</v>
      </c>
      <c r="E502" s="4">
        <v>41</v>
      </c>
      <c r="F502" s="5">
        <v>67.05</v>
      </c>
      <c r="G502" s="10">
        <f t="shared" si="44"/>
        <v>2749.0499999999997</v>
      </c>
      <c r="H502" s="7">
        <f t="shared" si="45"/>
        <v>3.3304778932113964E-4</v>
      </c>
      <c r="I502" s="8">
        <f t="shared" si="47"/>
        <v>0.89617807572032304</v>
      </c>
      <c r="J502" s="3" t="s">
        <v>208</v>
      </c>
    </row>
    <row r="503" spans="1:10" x14ac:dyDescent="0.25">
      <c r="A503" s="3" t="s">
        <v>513</v>
      </c>
      <c r="B503" s="3" t="str">
        <f t="shared" si="42"/>
        <v>8</v>
      </c>
      <c r="C503" s="7">
        <f t="shared" si="43"/>
        <v>6.4432989690721648E-4</v>
      </c>
      <c r="D503" s="8">
        <f t="shared" si="46"/>
        <v>0.3234536082474217</v>
      </c>
      <c r="E503" s="4">
        <v>74</v>
      </c>
      <c r="F503" s="5">
        <v>37.090000000000003</v>
      </c>
      <c r="G503" s="10">
        <f t="shared" si="44"/>
        <v>2744.6600000000003</v>
      </c>
      <c r="H503" s="7">
        <f t="shared" si="45"/>
        <v>3.3251594021140371E-4</v>
      </c>
      <c r="I503" s="8">
        <f t="shared" si="47"/>
        <v>0.89651059166053448</v>
      </c>
      <c r="J503" s="3" t="s">
        <v>208</v>
      </c>
    </row>
    <row r="504" spans="1:10" x14ac:dyDescent="0.25">
      <c r="A504" s="3" t="s">
        <v>514</v>
      </c>
      <c r="B504" s="3" t="str">
        <f t="shared" si="42"/>
        <v>6</v>
      </c>
      <c r="C504" s="7">
        <f t="shared" si="43"/>
        <v>6.4432989690721648E-4</v>
      </c>
      <c r="D504" s="8">
        <f t="shared" si="46"/>
        <v>0.32409793814432891</v>
      </c>
      <c r="E504" s="4">
        <v>136</v>
      </c>
      <c r="F504" s="5">
        <v>20.170000000000002</v>
      </c>
      <c r="G504" s="10">
        <f t="shared" si="44"/>
        <v>2743.1200000000003</v>
      </c>
      <c r="H504" s="7">
        <f t="shared" si="45"/>
        <v>3.3232936899750998E-4</v>
      </c>
      <c r="I504" s="8">
        <f t="shared" si="47"/>
        <v>0.896842921029532</v>
      </c>
      <c r="J504" s="3" t="s">
        <v>208</v>
      </c>
    </row>
    <row r="505" spans="1:10" x14ac:dyDescent="0.25">
      <c r="A505" s="3" t="s">
        <v>515</v>
      </c>
      <c r="B505" s="3" t="str">
        <f t="shared" si="42"/>
        <v>1</v>
      </c>
      <c r="C505" s="7">
        <f t="shared" si="43"/>
        <v>6.4432989690721648E-4</v>
      </c>
      <c r="D505" s="8">
        <f t="shared" si="46"/>
        <v>0.32474226804123613</v>
      </c>
      <c r="E505" s="4">
        <v>6</v>
      </c>
      <c r="F505" s="5">
        <v>456.4</v>
      </c>
      <c r="G505" s="10">
        <f t="shared" si="44"/>
        <v>2738.3999999999996</v>
      </c>
      <c r="H505" s="7">
        <f t="shared" si="45"/>
        <v>3.317575403419395E-4</v>
      </c>
      <c r="I505" s="8">
        <f t="shared" si="47"/>
        <v>0.89717467856987398</v>
      </c>
      <c r="J505" s="3" t="s">
        <v>208</v>
      </c>
    </row>
    <row r="506" spans="1:10" x14ac:dyDescent="0.25">
      <c r="A506" s="3" t="s">
        <v>516</v>
      </c>
      <c r="B506" s="3" t="str">
        <f t="shared" si="42"/>
        <v>7</v>
      </c>
      <c r="C506" s="7">
        <f t="shared" si="43"/>
        <v>6.4432989690721648E-4</v>
      </c>
      <c r="D506" s="8">
        <f t="shared" si="46"/>
        <v>0.32538659793814334</v>
      </c>
      <c r="E506" s="4">
        <v>14</v>
      </c>
      <c r="F506" s="5">
        <v>195.53</v>
      </c>
      <c r="G506" s="10">
        <f t="shared" si="44"/>
        <v>2737.42</v>
      </c>
      <c r="H506" s="7">
        <f t="shared" si="45"/>
        <v>3.3163881320582536E-4</v>
      </c>
      <c r="I506" s="8">
        <f t="shared" si="47"/>
        <v>0.89750631738307984</v>
      </c>
      <c r="J506" s="3" t="s">
        <v>208</v>
      </c>
    </row>
    <row r="507" spans="1:10" x14ac:dyDescent="0.25">
      <c r="A507" s="3" t="s">
        <v>517</v>
      </c>
      <c r="B507" s="3" t="str">
        <f t="shared" si="42"/>
        <v>8</v>
      </c>
      <c r="C507" s="7">
        <f t="shared" si="43"/>
        <v>6.4432989690721648E-4</v>
      </c>
      <c r="D507" s="8">
        <f t="shared" si="46"/>
        <v>0.32603092783505055</v>
      </c>
      <c r="E507" s="4">
        <v>157</v>
      </c>
      <c r="F507" s="5">
        <v>17.39</v>
      </c>
      <c r="G507" s="10">
        <f t="shared" si="44"/>
        <v>2730.23</v>
      </c>
      <c r="H507" s="7">
        <f t="shared" si="45"/>
        <v>3.3076774370719163E-4</v>
      </c>
      <c r="I507" s="8">
        <f t="shared" si="47"/>
        <v>0.89783708512678706</v>
      </c>
      <c r="J507" s="3" t="s">
        <v>208</v>
      </c>
    </row>
    <row r="508" spans="1:10" x14ac:dyDescent="0.25">
      <c r="A508" s="3" t="s">
        <v>518</v>
      </c>
      <c r="B508" s="3" t="str">
        <f t="shared" si="42"/>
        <v>8</v>
      </c>
      <c r="C508" s="7">
        <f t="shared" si="43"/>
        <v>6.4432989690721648E-4</v>
      </c>
      <c r="D508" s="8">
        <f t="shared" si="46"/>
        <v>0.32667525773195777</v>
      </c>
      <c r="E508" s="4">
        <v>136</v>
      </c>
      <c r="F508" s="5">
        <v>20.07</v>
      </c>
      <c r="G508" s="10">
        <f t="shared" si="44"/>
        <v>2729.52</v>
      </c>
      <c r="H508" s="7">
        <f t="shared" si="45"/>
        <v>3.306817271085783E-4</v>
      </c>
      <c r="I508" s="8">
        <f t="shared" si="47"/>
        <v>0.89816776685389565</v>
      </c>
      <c r="J508" s="3" t="s">
        <v>208</v>
      </c>
    </row>
    <row r="509" spans="1:10" x14ac:dyDescent="0.25">
      <c r="A509" s="3" t="s">
        <v>519</v>
      </c>
      <c r="B509" s="3" t="str">
        <f t="shared" si="42"/>
        <v>8</v>
      </c>
      <c r="C509" s="7">
        <f t="shared" si="43"/>
        <v>6.4432989690721648E-4</v>
      </c>
      <c r="D509" s="8">
        <f t="shared" si="46"/>
        <v>0.32731958762886498</v>
      </c>
      <c r="E509" s="4">
        <v>225</v>
      </c>
      <c r="F509" s="5">
        <v>12.13</v>
      </c>
      <c r="G509" s="10">
        <f t="shared" si="44"/>
        <v>2729.25</v>
      </c>
      <c r="H509" s="7">
        <f t="shared" si="45"/>
        <v>3.3064901657107743E-4</v>
      </c>
      <c r="I509" s="8">
        <f t="shared" si="47"/>
        <v>0.89849841587046675</v>
      </c>
      <c r="J509" s="3" t="s">
        <v>208</v>
      </c>
    </row>
    <row r="510" spans="1:10" x14ac:dyDescent="0.25">
      <c r="A510" s="3" t="s">
        <v>520</v>
      </c>
      <c r="B510" s="3" t="str">
        <f t="shared" si="42"/>
        <v>3</v>
      </c>
      <c r="C510" s="7">
        <f t="shared" si="43"/>
        <v>6.4432989690721648E-4</v>
      </c>
      <c r="D510" s="8">
        <f t="shared" si="46"/>
        <v>0.3279639175257722</v>
      </c>
      <c r="E510" s="4">
        <v>5</v>
      </c>
      <c r="F510" s="5">
        <v>545.71</v>
      </c>
      <c r="G510" s="10">
        <f t="shared" si="44"/>
        <v>2728.55</v>
      </c>
      <c r="H510" s="7">
        <f t="shared" si="45"/>
        <v>3.3056421147385307E-4</v>
      </c>
      <c r="I510" s="8">
        <f t="shared" si="47"/>
        <v>0.89882898008194057</v>
      </c>
      <c r="J510" s="3" t="s">
        <v>208</v>
      </c>
    </row>
    <row r="511" spans="1:10" x14ac:dyDescent="0.25">
      <c r="A511" s="3" t="s">
        <v>521</v>
      </c>
      <c r="B511" s="3" t="str">
        <f t="shared" si="42"/>
        <v>9</v>
      </c>
      <c r="C511" s="7">
        <f t="shared" si="43"/>
        <v>6.4432989690721648E-4</v>
      </c>
      <c r="D511" s="8">
        <f t="shared" si="46"/>
        <v>0.32860824742267941</v>
      </c>
      <c r="E511" s="4">
        <v>71</v>
      </c>
      <c r="F511" s="5">
        <v>38.29</v>
      </c>
      <c r="G511" s="10">
        <f t="shared" si="44"/>
        <v>2718.59</v>
      </c>
      <c r="H511" s="7">
        <f t="shared" si="45"/>
        <v>3.2935755609048845E-4</v>
      </c>
      <c r="I511" s="8">
        <f t="shared" si="47"/>
        <v>0.8991583376380311</v>
      </c>
      <c r="J511" s="3" t="s">
        <v>208</v>
      </c>
    </row>
    <row r="512" spans="1:10" x14ac:dyDescent="0.25">
      <c r="A512" s="3" t="s">
        <v>522</v>
      </c>
      <c r="B512" s="3" t="str">
        <f t="shared" si="42"/>
        <v>5</v>
      </c>
      <c r="C512" s="7">
        <f t="shared" si="43"/>
        <v>6.4432989690721648E-4</v>
      </c>
      <c r="D512" s="8">
        <f t="shared" si="46"/>
        <v>0.32925257731958663</v>
      </c>
      <c r="E512" s="4">
        <v>165</v>
      </c>
      <c r="F512" s="5">
        <v>16.43</v>
      </c>
      <c r="G512" s="10">
        <f t="shared" si="44"/>
        <v>2710.95</v>
      </c>
      <c r="H512" s="7">
        <f t="shared" si="45"/>
        <v>3.2843196902935325E-4</v>
      </c>
      <c r="I512" s="8">
        <f t="shared" si="47"/>
        <v>0.89948676960706042</v>
      </c>
      <c r="J512" s="3" t="s">
        <v>208</v>
      </c>
    </row>
    <row r="513" spans="1:10" x14ac:dyDescent="0.25">
      <c r="A513" s="3" t="s">
        <v>523</v>
      </c>
      <c r="B513" s="3" t="str">
        <f t="shared" si="42"/>
        <v>3</v>
      </c>
      <c r="C513" s="7">
        <f t="shared" si="43"/>
        <v>6.4432989690721648E-4</v>
      </c>
      <c r="D513" s="8">
        <f t="shared" si="46"/>
        <v>0.32989690721649384</v>
      </c>
      <c r="E513" s="4">
        <v>4</v>
      </c>
      <c r="F513" s="5">
        <v>677.1</v>
      </c>
      <c r="G513" s="10">
        <f t="shared" si="44"/>
        <v>2708.4</v>
      </c>
      <c r="H513" s="7">
        <f t="shared" si="45"/>
        <v>3.2812303617517862E-4</v>
      </c>
      <c r="I513" s="8">
        <f t="shared" si="47"/>
        <v>0.89981489264323555</v>
      </c>
      <c r="J513" s="3" t="s">
        <v>208</v>
      </c>
    </row>
    <row r="514" spans="1:10" x14ac:dyDescent="0.25">
      <c r="A514" s="12" t="s">
        <v>524</v>
      </c>
      <c r="B514" s="12" t="str">
        <f t="shared" ref="B514:B577" si="48">RIGHT(A514,1)</f>
        <v>4</v>
      </c>
      <c r="C514" s="13">
        <f t="shared" ref="C514:C577" si="49">1/COUNTA(A$2:A$1553)</f>
        <v>6.4432989690721648E-4</v>
      </c>
      <c r="D514" s="14">
        <f t="shared" si="46"/>
        <v>0.33054123711340105</v>
      </c>
      <c r="E514" s="15">
        <v>28</v>
      </c>
      <c r="F514" s="16">
        <v>96.67</v>
      </c>
      <c r="G514" s="17">
        <f t="shared" ref="G514:G577" si="50">E514*F514</f>
        <v>2706.76</v>
      </c>
      <c r="H514" s="13">
        <f t="shared" ref="H514:H577" si="51">G514/SUM(G$2:G$1553)</f>
        <v>3.2792434994739571E-4</v>
      </c>
      <c r="I514" s="14">
        <f t="shared" si="47"/>
        <v>0.90014281699318299</v>
      </c>
      <c r="J514" s="12" t="s">
        <v>525</v>
      </c>
    </row>
    <row r="515" spans="1:10" x14ac:dyDescent="0.25">
      <c r="A515" s="3" t="s">
        <v>526</v>
      </c>
      <c r="B515" s="3" t="str">
        <f t="shared" si="48"/>
        <v>2</v>
      </c>
      <c r="C515" s="7">
        <f t="shared" si="49"/>
        <v>6.4432989690721648E-4</v>
      </c>
      <c r="D515" s="8">
        <f t="shared" ref="D515:D578" si="52">D514+C515</f>
        <v>0.33118556701030827</v>
      </c>
      <c r="E515" s="4">
        <v>369</v>
      </c>
      <c r="F515" s="5">
        <v>7.31</v>
      </c>
      <c r="G515" s="10">
        <f t="shared" si="50"/>
        <v>2697.39</v>
      </c>
      <c r="H515" s="7">
        <f t="shared" si="51"/>
        <v>3.2678917314597734E-4</v>
      </c>
      <c r="I515" s="8">
        <f t="shared" ref="I515:I578" si="53">I514+H515</f>
        <v>0.90046960616632898</v>
      </c>
      <c r="J515" s="3" t="s">
        <v>525</v>
      </c>
    </row>
    <row r="516" spans="1:10" x14ac:dyDescent="0.25">
      <c r="A516" s="3" t="s">
        <v>527</v>
      </c>
      <c r="B516" s="3" t="str">
        <f t="shared" si="48"/>
        <v>4</v>
      </c>
      <c r="C516" s="7">
        <f t="shared" si="49"/>
        <v>6.4432989690721648E-4</v>
      </c>
      <c r="D516" s="8">
        <f t="shared" si="52"/>
        <v>0.33182989690721548</v>
      </c>
      <c r="E516" s="4">
        <v>134</v>
      </c>
      <c r="F516" s="5">
        <v>20.11</v>
      </c>
      <c r="G516" s="10">
        <f t="shared" si="50"/>
        <v>2694.74</v>
      </c>
      <c r="H516" s="7">
        <f t="shared" si="51"/>
        <v>3.2646812527791343E-4</v>
      </c>
      <c r="I516" s="8">
        <f t="shared" si="53"/>
        <v>0.90079607429160691</v>
      </c>
      <c r="J516" s="3" t="s">
        <v>525</v>
      </c>
    </row>
    <row r="517" spans="1:10" x14ac:dyDescent="0.25">
      <c r="A517" s="3" t="s">
        <v>528</v>
      </c>
      <c r="B517" s="3" t="str">
        <f t="shared" si="48"/>
        <v>7</v>
      </c>
      <c r="C517" s="7">
        <f t="shared" si="49"/>
        <v>6.4432989690721648E-4</v>
      </c>
      <c r="D517" s="8">
        <f t="shared" si="52"/>
        <v>0.3324742268041227</v>
      </c>
      <c r="E517" s="4">
        <v>70</v>
      </c>
      <c r="F517" s="5">
        <v>38.49</v>
      </c>
      <c r="G517" s="10">
        <f t="shared" si="50"/>
        <v>2694.3</v>
      </c>
      <c r="H517" s="7">
        <f t="shared" si="51"/>
        <v>3.2641481921680097E-4</v>
      </c>
      <c r="I517" s="8">
        <f t="shared" si="53"/>
        <v>0.90112248911082371</v>
      </c>
      <c r="J517" s="3" t="s">
        <v>525</v>
      </c>
    </row>
    <row r="518" spans="1:10" x14ac:dyDescent="0.25">
      <c r="A518" s="3" t="s">
        <v>529</v>
      </c>
      <c r="B518" s="3" t="str">
        <f t="shared" si="48"/>
        <v>8</v>
      </c>
      <c r="C518" s="7">
        <f t="shared" si="49"/>
        <v>6.4432989690721648E-4</v>
      </c>
      <c r="D518" s="8">
        <f t="shared" si="52"/>
        <v>0.33311855670102991</v>
      </c>
      <c r="E518" s="4">
        <v>256</v>
      </c>
      <c r="F518" s="5">
        <v>10.52</v>
      </c>
      <c r="G518" s="10">
        <f t="shared" si="50"/>
        <v>2693.12</v>
      </c>
      <c r="H518" s="7">
        <f t="shared" si="51"/>
        <v>3.2627186205290833E-4</v>
      </c>
      <c r="I518" s="8">
        <f t="shared" si="53"/>
        <v>0.90144876097287663</v>
      </c>
      <c r="J518" s="3" t="s">
        <v>525</v>
      </c>
    </row>
    <row r="519" spans="1:10" x14ac:dyDescent="0.25">
      <c r="A519" s="3" t="s">
        <v>530</v>
      </c>
      <c r="B519" s="3" t="str">
        <f t="shared" si="48"/>
        <v>3</v>
      </c>
      <c r="C519" s="7">
        <f t="shared" si="49"/>
        <v>6.4432989690721648E-4</v>
      </c>
      <c r="D519" s="8">
        <f t="shared" si="52"/>
        <v>0.33376288659793713</v>
      </c>
      <c r="E519" s="4">
        <v>3</v>
      </c>
      <c r="F519" s="5">
        <v>892.23</v>
      </c>
      <c r="G519" s="10">
        <f t="shared" si="50"/>
        <v>2676.69</v>
      </c>
      <c r="H519" s="7">
        <f t="shared" si="51"/>
        <v>3.2428136527091231E-4</v>
      </c>
      <c r="I519" s="8">
        <f t="shared" si="53"/>
        <v>0.90177304233814759</v>
      </c>
      <c r="J519" s="3" t="s">
        <v>525</v>
      </c>
    </row>
    <row r="520" spans="1:10" x14ac:dyDescent="0.25">
      <c r="A520" s="3" t="s">
        <v>531</v>
      </c>
      <c r="B520" s="3" t="str">
        <f t="shared" si="48"/>
        <v>8</v>
      </c>
      <c r="C520" s="7">
        <f t="shared" si="49"/>
        <v>6.4432989690721648E-4</v>
      </c>
      <c r="D520" s="8">
        <f t="shared" si="52"/>
        <v>0.33440721649484434</v>
      </c>
      <c r="E520" s="4">
        <v>665</v>
      </c>
      <c r="F520" s="5">
        <v>3.98</v>
      </c>
      <c r="G520" s="10">
        <f t="shared" si="50"/>
        <v>2646.7</v>
      </c>
      <c r="H520" s="7">
        <f t="shared" si="51"/>
        <v>3.2064807260554022E-4</v>
      </c>
      <c r="I520" s="8">
        <f t="shared" si="53"/>
        <v>0.90209369041075316</v>
      </c>
      <c r="J520" s="3" t="s">
        <v>525</v>
      </c>
    </row>
    <row r="521" spans="1:10" x14ac:dyDescent="0.25">
      <c r="A521" s="3" t="s">
        <v>532</v>
      </c>
      <c r="B521" s="3" t="str">
        <f t="shared" si="48"/>
        <v>1</v>
      </c>
      <c r="C521" s="7">
        <f t="shared" si="49"/>
        <v>6.4432989690721648E-4</v>
      </c>
      <c r="D521" s="8">
        <f t="shared" si="52"/>
        <v>0.33505154639175155</v>
      </c>
      <c r="E521" s="4">
        <v>3</v>
      </c>
      <c r="F521" s="5">
        <v>880.79</v>
      </c>
      <c r="G521" s="10">
        <f t="shared" si="50"/>
        <v>2642.37</v>
      </c>
      <c r="H521" s="7">
        <f t="shared" si="51"/>
        <v>3.2012349250413774E-4</v>
      </c>
      <c r="I521" s="8">
        <f t="shared" si="53"/>
        <v>0.90241381390325726</v>
      </c>
      <c r="J521" s="3" t="s">
        <v>525</v>
      </c>
    </row>
    <row r="522" spans="1:10" x14ac:dyDescent="0.25">
      <c r="A522" s="3" t="s">
        <v>533</v>
      </c>
      <c r="B522" s="3" t="str">
        <f t="shared" si="48"/>
        <v>9</v>
      </c>
      <c r="C522" s="7">
        <f t="shared" si="49"/>
        <v>6.4432989690721648E-4</v>
      </c>
      <c r="D522" s="8">
        <f t="shared" si="52"/>
        <v>0.33569587628865877</v>
      </c>
      <c r="E522" s="4">
        <v>41</v>
      </c>
      <c r="F522" s="5">
        <v>64.44</v>
      </c>
      <c r="G522" s="10">
        <f t="shared" si="50"/>
        <v>2642.04</v>
      </c>
      <c r="H522" s="7">
        <f t="shared" si="51"/>
        <v>3.2008351295830336E-4</v>
      </c>
      <c r="I522" s="8">
        <f t="shared" si="53"/>
        <v>0.90273389741621557</v>
      </c>
      <c r="J522" s="3" t="s">
        <v>525</v>
      </c>
    </row>
    <row r="523" spans="1:10" x14ac:dyDescent="0.25">
      <c r="A523" s="3" t="s">
        <v>534</v>
      </c>
      <c r="B523" s="3" t="str">
        <f t="shared" si="48"/>
        <v>8</v>
      </c>
      <c r="C523" s="7">
        <f t="shared" si="49"/>
        <v>6.4432989690721648E-4</v>
      </c>
      <c r="D523" s="8">
        <f t="shared" si="52"/>
        <v>0.33634020618556598</v>
      </c>
      <c r="E523" s="4">
        <v>61</v>
      </c>
      <c r="F523" s="5">
        <v>43.01</v>
      </c>
      <c r="G523" s="10">
        <f t="shared" si="50"/>
        <v>2623.6099999999997</v>
      </c>
      <c r="H523" s="7">
        <f t="shared" si="51"/>
        <v>3.1785071589852319E-4</v>
      </c>
      <c r="I523" s="8">
        <f t="shared" si="53"/>
        <v>0.90305174813211408</v>
      </c>
      <c r="J523" s="3" t="s">
        <v>525</v>
      </c>
    </row>
    <row r="524" spans="1:10" x14ac:dyDescent="0.25">
      <c r="A524" s="3" t="s">
        <v>535</v>
      </c>
      <c r="B524" s="3" t="str">
        <f t="shared" si="48"/>
        <v>8</v>
      </c>
      <c r="C524" s="7">
        <f t="shared" si="49"/>
        <v>6.4432989690721648E-4</v>
      </c>
      <c r="D524" s="8">
        <f t="shared" si="52"/>
        <v>0.3369845360824732</v>
      </c>
      <c r="E524" s="4">
        <v>110</v>
      </c>
      <c r="F524" s="5">
        <v>23.73</v>
      </c>
      <c r="G524" s="10">
        <f t="shared" si="50"/>
        <v>2610.3000000000002</v>
      </c>
      <c r="H524" s="7">
        <f t="shared" si="51"/>
        <v>3.1623820754987029E-4</v>
      </c>
      <c r="I524" s="8">
        <f t="shared" si="53"/>
        <v>0.90336798633966398</v>
      </c>
      <c r="J524" s="3" t="s">
        <v>525</v>
      </c>
    </row>
    <row r="525" spans="1:10" x14ac:dyDescent="0.25">
      <c r="A525" s="3" t="s">
        <v>536</v>
      </c>
      <c r="B525" s="3" t="str">
        <f t="shared" si="48"/>
        <v>4</v>
      </c>
      <c r="C525" s="7">
        <f t="shared" si="49"/>
        <v>6.4432989690721648E-4</v>
      </c>
      <c r="D525" s="8">
        <f t="shared" si="52"/>
        <v>0.33762886597938041</v>
      </c>
      <c r="E525" s="4">
        <v>11</v>
      </c>
      <c r="F525" s="5">
        <v>236.54</v>
      </c>
      <c r="G525" s="10">
        <f t="shared" si="50"/>
        <v>2601.94</v>
      </c>
      <c r="H525" s="7">
        <f t="shared" si="51"/>
        <v>3.1522539238873292E-4</v>
      </c>
      <c r="I525" s="8">
        <f t="shared" si="53"/>
        <v>0.90368321173205268</v>
      </c>
      <c r="J525" s="3" t="s">
        <v>525</v>
      </c>
    </row>
    <row r="526" spans="1:10" x14ac:dyDescent="0.25">
      <c r="A526" s="3" t="s">
        <v>537</v>
      </c>
      <c r="B526" s="3" t="str">
        <f t="shared" si="48"/>
        <v>9</v>
      </c>
      <c r="C526" s="7">
        <f t="shared" si="49"/>
        <v>6.4432989690721648E-4</v>
      </c>
      <c r="D526" s="8">
        <f t="shared" si="52"/>
        <v>0.33827319587628762</v>
      </c>
      <c r="E526" s="4">
        <v>12</v>
      </c>
      <c r="F526" s="5">
        <v>215.24</v>
      </c>
      <c r="G526" s="10">
        <f t="shared" si="50"/>
        <v>2582.88</v>
      </c>
      <c r="H526" s="7">
        <f t="shared" si="51"/>
        <v>3.1291627074145079E-4</v>
      </c>
      <c r="I526" s="8">
        <f t="shared" si="53"/>
        <v>0.90399612800279416</v>
      </c>
      <c r="J526" s="3" t="s">
        <v>525</v>
      </c>
    </row>
    <row r="527" spans="1:10" x14ac:dyDescent="0.25">
      <c r="A527" s="3" t="s">
        <v>538</v>
      </c>
      <c r="B527" s="3" t="str">
        <f t="shared" si="48"/>
        <v>9</v>
      </c>
      <c r="C527" s="7">
        <f t="shared" si="49"/>
        <v>6.4432989690721648E-4</v>
      </c>
      <c r="D527" s="8">
        <f t="shared" si="52"/>
        <v>0.33891752577319484</v>
      </c>
      <c r="E527" s="4">
        <v>20</v>
      </c>
      <c r="F527" s="5">
        <v>128.97999999999999</v>
      </c>
      <c r="G527" s="10">
        <f t="shared" si="50"/>
        <v>2579.6</v>
      </c>
      <c r="H527" s="7">
        <f t="shared" si="51"/>
        <v>3.1251889828588493E-4</v>
      </c>
      <c r="I527" s="8">
        <f t="shared" si="53"/>
        <v>0.90430864690108004</v>
      </c>
      <c r="J527" s="3" t="s">
        <v>525</v>
      </c>
    </row>
    <row r="528" spans="1:10" x14ac:dyDescent="0.25">
      <c r="A528" s="3" t="s">
        <v>539</v>
      </c>
      <c r="B528" s="3" t="str">
        <f t="shared" si="48"/>
        <v>5</v>
      </c>
      <c r="C528" s="7">
        <f t="shared" si="49"/>
        <v>6.4432989690721648E-4</v>
      </c>
      <c r="D528" s="8">
        <f t="shared" si="52"/>
        <v>0.33956185567010205</v>
      </c>
      <c r="E528" s="4">
        <v>16</v>
      </c>
      <c r="F528" s="5">
        <v>161.13</v>
      </c>
      <c r="G528" s="10">
        <f t="shared" si="50"/>
        <v>2578.08</v>
      </c>
      <c r="H528" s="7">
        <f t="shared" si="51"/>
        <v>3.12334750074769E-4</v>
      </c>
      <c r="I528" s="8">
        <f t="shared" si="53"/>
        <v>0.90462098165115479</v>
      </c>
      <c r="J528" s="3" t="s">
        <v>525</v>
      </c>
    </row>
    <row r="529" spans="1:10" x14ac:dyDescent="0.25">
      <c r="A529" s="3" t="s">
        <v>540</v>
      </c>
      <c r="B529" s="3" t="str">
        <f t="shared" si="48"/>
        <v>3</v>
      </c>
      <c r="C529" s="7">
        <f t="shared" si="49"/>
        <v>6.4432989690721648E-4</v>
      </c>
      <c r="D529" s="8">
        <f t="shared" si="52"/>
        <v>0.34020618556700927</v>
      </c>
      <c r="E529" s="4">
        <v>7</v>
      </c>
      <c r="F529" s="5">
        <v>366.82</v>
      </c>
      <c r="G529" s="10">
        <f t="shared" si="50"/>
        <v>2567.7399999999998</v>
      </c>
      <c r="H529" s="7">
        <f t="shared" si="51"/>
        <v>3.1108205763862539E-4</v>
      </c>
      <c r="I529" s="8">
        <f t="shared" si="53"/>
        <v>0.90493206370879342</v>
      </c>
      <c r="J529" s="3" t="s">
        <v>525</v>
      </c>
    </row>
    <row r="530" spans="1:10" x14ac:dyDescent="0.25">
      <c r="A530" s="3" t="s">
        <v>541</v>
      </c>
      <c r="B530" s="3" t="str">
        <f t="shared" si="48"/>
        <v>1</v>
      </c>
      <c r="C530" s="7">
        <f t="shared" si="49"/>
        <v>6.4432989690721648E-4</v>
      </c>
      <c r="D530" s="8">
        <f t="shared" si="52"/>
        <v>0.34085051546391648</v>
      </c>
      <c r="E530" s="4">
        <v>7</v>
      </c>
      <c r="F530" s="5">
        <v>366.77</v>
      </c>
      <c r="G530" s="10">
        <f t="shared" si="50"/>
        <v>2567.39</v>
      </c>
      <c r="H530" s="7">
        <f t="shared" si="51"/>
        <v>3.110396550900132E-4</v>
      </c>
      <c r="I530" s="8">
        <f t="shared" si="53"/>
        <v>0.90524310336388347</v>
      </c>
      <c r="J530" s="3" t="s">
        <v>525</v>
      </c>
    </row>
    <row r="531" spans="1:10" x14ac:dyDescent="0.25">
      <c r="A531" s="3" t="s">
        <v>542</v>
      </c>
      <c r="B531" s="3" t="str">
        <f t="shared" si="48"/>
        <v>6</v>
      </c>
      <c r="C531" s="7">
        <f t="shared" si="49"/>
        <v>6.4432989690721648E-4</v>
      </c>
      <c r="D531" s="8">
        <f t="shared" si="52"/>
        <v>0.3414948453608237</v>
      </c>
      <c r="E531" s="4">
        <v>32</v>
      </c>
      <c r="F531" s="5">
        <v>79.83</v>
      </c>
      <c r="G531" s="10">
        <f t="shared" si="50"/>
        <v>2554.56</v>
      </c>
      <c r="H531" s="7">
        <f t="shared" si="51"/>
        <v>3.0948529880802842E-4</v>
      </c>
      <c r="I531" s="8">
        <f t="shared" si="53"/>
        <v>0.9055525886626915</v>
      </c>
      <c r="J531" s="3" t="s">
        <v>525</v>
      </c>
    </row>
    <row r="532" spans="1:10" x14ac:dyDescent="0.25">
      <c r="A532" s="3" t="s">
        <v>543</v>
      </c>
      <c r="B532" s="3" t="str">
        <f t="shared" si="48"/>
        <v>9</v>
      </c>
      <c r="C532" s="7">
        <f t="shared" si="49"/>
        <v>6.4432989690721648E-4</v>
      </c>
      <c r="D532" s="8">
        <f t="shared" si="52"/>
        <v>0.34213917525773091</v>
      </c>
      <c r="E532" s="4">
        <v>62</v>
      </c>
      <c r="F532" s="5">
        <v>41.03</v>
      </c>
      <c r="G532" s="10">
        <f t="shared" si="50"/>
        <v>2543.86</v>
      </c>
      <c r="H532" s="7">
        <f t="shared" si="51"/>
        <v>3.0818899232188372E-4</v>
      </c>
      <c r="I532" s="8">
        <f t="shared" si="53"/>
        <v>0.90586077765501338</v>
      </c>
      <c r="J532" s="3" t="s">
        <v>525</v>
      </c>
    </row>
    <row r="533" spans="1:10" x14ac:dyDescent="0.25">
      <c r="A533" s="3" t="s">
        <v>544</v>
      </c>
      <c r="B533" s="3" t="str">
        <f t="shared" si="48"/>
        <v>9</v>
      </c>
      <c r="C533" s="7">
        <f t="shared" si="49"/>
        <v>6.4432989690721648E-4</v>
      </c>
      <c r="D533" s="8">
        <f t="shared" si="52"/>
        <v>0.34278350515463812</v>
      </c>
      <c r="E533" s="4">
        <v>8</v>
      </c>
      <c r="F533" s="5">
        <v>315.8</v>
      </c>
      <c r="G533" s="10">
        <f t="shared" si="50"/>
        <v>2526.4</v>
      </c>
      <c r="H533" s="7">
        <f t="shared" si="51"/>
        <v>3.0607371089682884E-4</v>
      </c>
      <c r="I533" s="8">
        <f t="shared" si="53"/>
        <v>0.90616685136591024</v>
      </c>
      <c r="J533" s="3" t="s">
        <v>525</v>
      </c>
    </row>
    <row r="534" spans="1:10" x14ac:dyDescent="0.25">
      <c r="A534" s="3" t="s">
        <v>545</v>
      </c>
      <c r="B534" s="3" t="str">
        <f t="shared" si="48"/>
        <v>7</v>
      </c>
      <c r="C534" s="7">
        <f t="shared" si="49"/>
        <v>6.4432989690721648E-4</v>
      </c>
      <c r="D534" s="8">
        <f t="shared" si="52"/>
        <v>0.34342783505154534</v>
      </c>
      <c r="E534" s="4">
        <v>34</v>
      </c>
      <c r="F534" s="5">
        <v>74.3</v>
      </c>
      <c r="G534" s="10">
        <f t="shared" si="50"/>
        <v>2526.1999999999998</v>
      </c>
      <c r="H534" s="7">
        <f t="shared" si="51"/>
        <v>3.0604948086905039E-4</v>
      </c>
      <c r="I534" s="8">
        <f t="shared" si="53"/>
        <v>0.90647290084677934</v>
      </c>
      <c r="J534" s="3" t="s">
        <v>525</v>
      </c>
    </row>
    <row r="535" spans="1:10" x14ac:dyDescent="0.25">
      <c r="A535" s="3" t="s">
        <v>546</v>
      </c>
      <c r="B535" s="3" t="str">
        <f t="shared" si="48"/>
        <v>8</v>
      </c>
      <c r="C535" s="7">
        <f t="shared" si="49"/>
        <v>6.4432989690721648E-4</v>
      </c>
      <c r="D535" s="8">
        <f t="shared" si="52"/>
        <v>0.34407216494845255</v>
      </c>
      <c r="E535" s="4">
        <v>32</v>
      </c>
      <c r="F535" s="5">
        <v>78.88</v>
      </c>
      <c r="G535" s="10">
        <f t="shared" si="50"/>
        <v>2524.16</v>
      </c>
      <c r="H535" s="7">
        <f t="shared" si="51"/>
        <v>3.0580233458571068E-4</v>
      </c>
      <c r="I535" s="8">
        <f t="shared" si="53"/>
        <v>0.906778703181365</v>
      </c>
      <c r="J535" s="3" t="s">
        <v>525</v>
      </c>
    </row>
    <row r="536" spans="1:10" x14ac:dyDescent="0.25">
      <c r="A536" s="3" t="s">
        <v>547</v>
      </c>
      <c r="B536" s="3" t="str">
        <f t="shared" si="48"/>
        <v>2</v>
      </c>
      <c r="C536" s="7">
        <f t="shared" si="49"/>
        <v>6.4432989690721648E-4</v>
      </c>
      <c r="D536" s="8">
        <f t="shared" si="52"/>
        <v>0.34471649484535977</v>
      </c>
      <c r="E536" s="4">
        <v>34</v>
      </c>
      <c r="F536" s="5">
        <v>74.099999999999994</v>
      </c>
      <c r="G536" s="10">
        <f t="shared" si="50"/>
        <v>2519.3999999999996</v>
      </c>
      <c r="H536" s="7">
        <f t="shared" si="51"/>
        <v>3.0522565992458455E-4</v>
      </c>
      <c r="I536" s="8">
        <f t="shared" si="53"/>
        <v>0.90708392884128963</v>
      </c>
      <c r="J536" s="3" t="s">
        <v>525</v>
      </c>
    </row>
    <row r="537" spans="1:10" x14ac:dyDescent="0.25">
      <c r="A537" s="3" t="s">
        <v>548</v>
      </c>
      <c r="B537" s="3" t="str">
        <f t="shared" si="48"/>
        <v>9</v>
      </c>
      <c r="C537" s="7">
        <f t="shared" si="49"/>
        <v>6.4432989690721648E-4</v>
      </c>
      <c r="D537" s="8">
        <f t="shared" si="52"/>
        <v>0.34536082474226698</v>
      </c>
      <c r="E537" s="4">
        <v>17</v>
      </c>
      <c r="F537" s="5">
        <v>148.1</v>
      </c>
      <c r="G537" s="10">
        <f t="shared" si="50"/>
        <v>2517.6999999999998</v>
      </c>
      <c r="H537" s="7">
        <f t="shared" si="51"/>
        <v>3.0501970468846813E-4</v>
      </c>
      <c r="I537" s="8">
        <f t="shared" si="53"/>
        <v>0.90738894854597807</v>
      </c>
      <c r="J537" s="3" t="s">
        <v>525</v>
      </c>
    </row>
    <row r="538" spans="1:10" x14ac:dyDescent="0.25">
      <c r="A538" s="3" t="s">
        <v>549</v>
      </c>
      <c r="B538" s="3" t="str">
        <f t="shared" si="48"/>
        <v>8</v>
      </c>
      <c r="C538" s="7">
        <f t="shared" si="49"/>
        <v>6.4432989690721648E-4</v>
      </c>
      <c r="D538" s="8">
        <f t="shared" si="52"/>
        <v>0.3460051546391742</v>
      </c>
      <c r="E538" s="4">
        <v>51</v>
      </c>
      <c r="F538" s="5">
        <v>49.22</v>
      </c>
      <c r="G538" s="10">
        <f t="shared" si="50"/>
        <v>2510.2199999999998</v>
      </c>
      <c r="H538" s="7">
        <f t="shared" si="51"/>
        <v>3.0411350164955572E-4</v>
      </c>
      <c r="I538" s="8">
        <f t="shared" si="53"/>
        <v>0.90769306204762767</v>
      </c>
      <c r="J538" s="3" t="s">
        <v>525</v>
      </c>
    </row>
    <row r="539" spans="1:10" x14ac:dyDescent="0.25">
      <c r="A539" s="3" t="s">
        <v>550</v>
      </c>
      <c r="B539" s="3" t="str">
        <f t="shared" si="48"/>
        <v>8</v>
      </c>
      <c r="C539" s="7">
        <f t="shared" si="49"/>
        <v>6.4432989690721648E-4</v>
      </c>
      <c r="D539" s="8">
        <f t="shared" si="52"/>
        <v>0.34664948453608141</v>
      </c>
      <c r="E539" s="4">
        <v>78</v>
      </c>
      <c r="F539" s="5">
        <v>32.130000000000003</v>
      </c>
      <c r="G539" s="10">
        <f t="shared" si="50"/>
        <v>2506.1400000000003</v>
      </c>
      <c r="H539" s="7">
        <f t="shared" si="51"/>
        <v>3.0361920908287632E-4</v>
      </c>
      <c r="I539" s="8">
        <f t="shared" si="53"/>
        <v>0.90799668125671051</v>
      </c>
      <c r="J539" s="3" t="s">
        <v>525</v>
      </c>
    </row>
    <row r="540" spans="1:10" x14ac:dyDescent="0.25">
      <c r="A540" s="3" t="s">
        <v>551</v>
      </c>
      <c r="B540" s="3" t="str">
        <f t="shared" si="48"/>
        <v>3</v>
      </c>
      <c r="C540" s="7">
        <f t="shared" si="49"/>
        <v>6.4432989690721648E-4</v>
      </c>
      <c r="D540" s="8">
        <f t="shared" si="52"/>
        <v>0.34729381443298862</v>
      </c>
      <c r="E540" s="4">
        <v>3</v>
      </c>
      <c r="F540" s="5">
        <v>832.54</v>
      </c>
      <c r="G540" s="10">
        <f t="shared" si="50"/>
        <v>2497.62</v>
      </c>
      <c r="H540" s="7">
        <f t="shared" si="51"/>
        <v>3.0258700989951615E-4</v>
      </c>
      <c r="I540" s="8">
        <f t="shared" si="53"/>
        <v>0.90829926826661</v>
      </c>
      <c r="J540" s="3" t="s">
        <v>525</v>
      </c>
    </row>
    <row r="541" spans="1:10" x14ac:dyDescent="0.25">
      <c r="A541" s="3" t="s">
        <v>552</v>
      </c>
      <c r="B541" s="3" t="str">
        <f t="shared" si="48"/>
        <v>4</v>
      </c>
      <c r="C541" s="7">
        <f t="shared" si="49"/>
        <v>6.4432989690721648E-4</v>
      </c>
      <c r="D541" s="8">
        <f t="shared" si="52"/>
        <v>0.34793814432989584</v>
      </c>
      <c r="E541" s="4">
        <v>17</v>
      </c>
      <c r="F541" s="5">
        <v>146.84</v>
      </c>
      <c r="G541" s="10">
        <f t="shared" si="50"/>
        <v>2496.2800000000002</v>
      </c>
      <c r="H541" s="7">
        <f t="shared" si="51"/>
        <v>3.0242466871340087E-4</v>
      </c>
      <c r="I541" s="8">
        <f t="shared" si="53"/>
        <v>0.90860169293532345</v>
      </c>
      <c r="J541" s="3" t="s">
        <v>525</v>
      </c>
    </row>
    <row r="542" spans="1:10" x14ac:dyDescent="0.25">
      <c r="A542" s="3" t="s">
        <v>553</v>
      </c>
      <c r="B542" s="3" t="str">
        <f t="shared" si="48"/>
        <v>4</v>
      </c>
      <c r="C542" s="7">
        <f t="shared" si="49"/>
        <v>6.4432989690721648E-4</v>
      </c>
      <c r="D542" s="8">
        <f t="shared" si="52"/>
        <v>0.34858247422680305</v>
      </c>
      <c r="E542" s="4">
        <v>13</v>
      </c>
      <c r="F542" s="5">
        <v>192.01</v>
      </c>
      <c r="G542" s="10">
        <f t="shared" si="50"/>
        <v>2496.13</v>
      </c>
      <c r="H542" s="7">
        <f t="shared" si="51"/>
        <v>3.0240649619256703E-4</v>
      </c>
      <c r="I542" s="8">
        <f t="shared" si="53"/>
        <v>0.90890409943151607</v>
      </c>
      <c r="J542" s="3" t="s">
        <v>525</v>
      </c>
    </row>
    <row r="543" spans="1:10" x14ac:dyDescent="0.25">
      <c r="A543" s="3" t="s">
        <v>554</v>
      </c>
      <c r="B543" s="3" t="str">
        <f t="shared" si="48"/>
        <v>6</v>
      </c>
      <c r="C543" s="7">
        <f t="shared" si="49"/>
        <v>6.4432989690721648E-4</v>
      </c>
      <c r="D543" s="8">
        <f t="shared" si="52"/>
        <v>0.34922680412371027</v>
      </c>
      <c r="E543" s="4">
        <v>38</v>
      </c>
      <c r="F543" s="5">
        <v>65.63</v>
      </c>
      <c r="G543" s="10">
        <f t="shared" si="50"/>
        <v>2493.9399999999996</v>
      </c>
      <c r="H543" s="7">
        <f t="shared" si="51"/>
        <v>3.0214117738839344E-4</v>
      </c>
      <c r="I543" s="8">
        <f t="shared" si="53"/>
        <v>0.90920624060890443</v>
      </c>
      <c r="J543" s="3" t="s">
        <v>525</v>
      </c>
    </row>
    <row r="544" spans="1:10" x14ac:dyDescent="0.25">
      <c r="A544" s="3" t="s">
        <v>555</v>
      </c>
      <c r="B544" s="3" t="str">
        <f t="shared" si="48"/>
        <v>5</v>
      </c>
      <c r="C544" s="7">
        <f t="shared" si="49"/>
        <v>6.4432989690721648E-4</v>
      </c>
      <c r="D544" s="8">
        <f t="shared" si="52"/>
        <v>0.34987113402061748</v>
      </c>
      <c r="E544" s="4">
        <v>66</v>
      </c>
      <c r="F544" s="5">
        <v>37.68</v>
      </c>
      <c r="G544" s="10">
        <f t="shared" si="50"/>
        <v>2486.88</v>
      </c>
      <c r="H544" s="7">
        <f t="shared" si="51"/>
        <v>3.0128585740781574E-4</v>
      </c>
      <c r="I544" s="8">
        <f t="shared" si="53"/>
        <v>0.90950752646631228</v>
      </c>
      <c r="J544" s="3" t="s">
        <v>525</v>
      </c>
    </row>
    <row r="545" spans="1:10" x14ac:dyDescent="0.25">
      <c r="A545" s="3" t="s">
        <v>556</v>
      </c>
      <c r="B545" s="3" t="str">
        <f t="shared" si="48"/>
        <v>4</v>
      </c>
      <c r="C545" s="7">
        <f t="shared" si="49"/>
        <v>6.4432989690721648E-4</v>
      </c>
      <c r="D545" s="8">
        <f t="shared" si="52"/>
        <v>0.35051546391752469</v>
      </c>
      <c r="E545" s="4">
        <v>6</v>
      </c>
      <c r="F545" s="5">
        <v>413.98</v>
      </c>
      <c r="G545" s="10">
        <f t="shared" si="50"/>
        <v>2483.88</v>
      </c>
      <c r="H545" s="7">
        <f t="shared" si="51"/>
        <v>3.0092240699113965E-4</v>
      </c>
      <c r="I545" s="8">
        <f t="shared" si="53"/>
        <v>0.90980844887330337</v>
      </c>
      <c r="J545" s="3" t="s">
        <v>525</v>
      </c>
    </row>
    <row r="546" spans="1:10" x14ac:dyDescent="0.25">
      <c r="A546" s="3" t="s">
        <v>557</v>
      </c>
      <c r="B546" s="3" t="str">
        <f t="shared" si="48"/>
        <v>9</v>
      </c>
      <c r="C546" s="7">
        <f t="shared" si="49"/>
        <v>6.4432989690721648E-4</v>
      </c>
      <c r="D546" s="8">
        <f t="shared" si="52"/>
        <v>0.35115979381443191</v>
      </c>
      <c r="E546" s="4">
        <v>10</v>
      </c>
      <c r="F546" s="5">
        <v>248.34</v>
      </c>
      <c r="G546" s="10">
        <f t="shared" si="50"/>
        <v>2483.4</v>
      </c>
      <c r="H546" s="7">
        <f t="shared" si="51"/>
        <v>3.0086425492447148E-4</v>
      </c>
      <c r="I546" s="8">
        <f t="shared" si="53"/>
        <v>0.91010931312822785</v>
      </c>
      <c r="J546" s="3" t="s">
        <v>525</v>
      </c>
    </row>
    <row r="547" spans="1:10" x14ac:dyDescent="0.25">
      <c r="A547" s="3" t="s">
        <v>558</v>
      </c>
      <c r="B547" s="3" t="str">
        <f t="shared" si="48"/>
        <v>1</v>
      </c>
      <c r="C547" s="7">
        <f t="shared" si="49"/>
        <v>6.4432989690721648E-4</v>
      </c>
      <c r="D547" s="8">
        <f t="shared" si="52"/>
        <v>0.35180412371133912</v>
      </c>
      <c r="E547" s="4">
        <v>3</v>
      </c>
      <c r="F547" s="5">
        <v>827.47</v>
      </c>
      <c r="G547" s="10">
        <f t="shared" si="50"/>
        <v>2482.41</v>
      </c>
      <c r="H547" s="7">
        <f t="shared" si="51"/>
        <v>3.0074431628696833E-4</v>
      </c>
      <c r="I547" s="8">
        <f t="shared" si="53"/>
        <v>0.91041005744451486</v>
      </c>
      <c r="J547" s="3" t="s">
        <v>525</v>
      </c>
    </row>
    <row r="548" spans="1:10" x14ac:dyDescent="0.25">
      <c r="A548" s="3" t="s">
        <v>559</v>
      </c>
      <c r="B548" s="3" t="str">
        <f t="shared" si="48"/>
        <v>6</v>
      </c>
      <c r="C548" s="7">
        <f t="shared" si="49"/>
        <v>6.4432989690721648E-4</v>
      </c>
      <c r="D548" s="8">
        <f t="shared" si="52"/>
        <v>0.35244845360824634</v>
      </c>
      <c r="E548" s="4">
        <v>107</v>
      </c>
      <c r="F548" s="5">
        <v>23.13</v>
      </c>
      <c r="G548" s="10">
        <f t="shared" si="50"/>
        <v>2474.91</v>
      </c>
      <c r="H548" s="7">
        <f t="shared" si="51"/>
        <v>2.9983569024527812E-4</v>
      </c>
      <c r="I548" s="8">
        <f t="shared" si="53"/>
        <v>0.91070989313476014</v>
      </c>
      <c r="J548" s="3" t="s">
        <v>525</v>
      </c>
    </row>
    <row r="549" spans="1:10" x14ac:dyDescent="0.25">
      <c r="A549" s="3" t="s">
        <v>560</v>
      </c>
      <c r="B549" s="3" t="str">
        <f t="shared" si="48"/>
        <v>8</v>
      </c>
      <c r="C549" s="7">
        <f t="shared" si="49"/>
        <v>6.4432989690721648E-4</v>
      </c>
      <c r="D549" s="8">
        <f t="shared" si="52"/>
        <v>0.35309278350515355</v>
      </c>
      <c r="E549" s="4">
        <v>63</v>
      </c>
      <c r="F549" s="5">
        <v>39.28</v>
      </c>
      <c r="G549" s="10">
        <f t="shared" si="50"/>
        <v>2474.64</v>
      </c>
      <c r="H549" s="7">
        <f t="shared" si="51"/>
        <v>2.9980297970777725E-4</v>
      </c>
      <c r="I549" s="8">
        <f t="shared" si="53"/>
        <v>0.91100969611446792</v>
      </c>
      <c r="J549" s="3" t="s">
        <v>525</v>
      </c>
    </row>
    <row r="550" spans="1:10" x14ac:dyDescent="0.25">
      <c r="A550" s="3" t="s">
        <v>561</v>
      </c>
      <c r="B550" s="3" t="str">
        <f t="shared" si="48"/>
        <v>8</v>
      </c>
      <c r="C550" s="7">
        <f t="shared" si="49"/>
        <v>6.4432989690721648E-4</v>
      </c>
      <c r="D550" s="8">
        <f t="shared" si="52"/>
        <v>0.35373711340206077</v>
      </c>
      <c r="E550" s="4">
        <v>168</v>
      </c>
      <c r="F550" s="5">
        <v>14.71</v>
      </c>
      <c r="G550" s="10">
        <f t="shared" si="50"/>
        <v>2471.2800000000002</v>
      </c>
      <c r="H550" s="7">
        <f t="shared" si="51"/>
        <v>2.9939591524110007E-4</v>
      </c>
      <c r="I550" s="8">
        <f t="shared" si="53"/>
        <v>0.911309092029709</v>
      </c>
      <c r="J550" s="3" t="s">
        <v>525</v>
      </c>
    </row>
    <row r="551" spans="1:10" x14ac:dyDescent="0.25">
      <c r="A551" s="3" t="s">
        <v>562</v>
      </c>
      <c r="B551" s="3" t="str">
        <f t="shared" si="48"/>
        <v>8</v>
      </c>
      <c r="C551" s="7">
        <f t="shared" si="49"/>
        <v>6.4432989690721648E-4</v>
      </c>
      <c r="D551" s="8">
        <f t="shared" si="52"/>
        <v>0.35438144329896798</v>
      </c>
      <c r="E551" s="4">
        <v>38</v>
      </c>
      <c r="F551" s="5">
        <v>64.67</v>
      </c>
      <c r="G551" s="10">
        <f t="shared" si="50"/>
        <v>2457.46</v>
      </c>
      <c r="H551" s="7">
        <f t="shared" si="51"/>
        <v>2.977216203216122E-4</v>
      </c>
      <c r="I551" s="8">
        <f t="shared" si="53"/>
        <v>0.9116068136500306</v>
      </c>
      <c r="J551" s="3" t="s">
        <v>525</v>
      </c>
    </row>
    <row r="552" spans="1:10" x14ac:dyDescent="0.25">
      <c r="A552" s="3" t="s">
        <v>563</v>
      </c>
      <c r="B552" s="3" t="str">
        <f t="shared" si="48"/>
        <v>5</v>
      </c>
      <c r="C552" s="7">
        <f t="shared" si="49"/>
        <v>6.4432989690721648E-4</v>
      </c>
      <c r="D552" s="8">
        <f t="shared" si="52"/>
        <v>0.35502577319587519</v>
      </c>
      <c r="E552" s="4">
        <v>44</v>
      </c>
      <c r="F552" s="5">
        <v>55.74</v>
      </c>
      <c r="G552" s="10">
        <f t="shared" si="50"/>
        <v>2452.56</v>
      </c>
      <c r="H552" s="7">
        <f t="shared" si="51"/>
        <v>2.9712798464104123E-4</v>
      </c>
      <c r="I552" s="8">
        <f t="shared" si="53"/>
        <v>0.91190394163467159</v>
      </c>
      <c r="J552" s="3" t="s">
        <v>525</v>
      </c>
    </row>
    <row r="553" spans="1:10" x14ac:dyDescent="0.25">
      <c r="A553" s="3" t="s">
        <v>564</v>
      </c>
      <c r="B553" s="3" t="str">
        <f t="shared" si="48"/>
        <v>9</v>
      </c>
      <c r="C553" s="7">
        <f t="shared" si="49"/>
        <v>6.4432989690721648E-4</v>
      </c>
      <c r="D553" s="8">
        <f t="shared" si="52"/>
        <v>0.35567010309278241</v>
      </c>
      <c r="E553" s="4">
        <v>5</v>
      </c>
      <c r="F553" s="5">
        <v>490.11</v>
      </c>
      <c r="G553" s="10">
        <f t="shared" si="50"/>
        <v>2450.5500000000002</v>
      </c>
      <c r="H553" s="7">
        <f t="shared" si="51"/>
        <v>2.9688447286186823E-4</v>
      </c>
      <c r="I553" s="8">
        <f t="shared" si="53"/>
        <v>0.9122008261075335</v>
      </c>
      <c r="J553" s="3" t="s">
        <v>525</v>
      </c>
    </row>
    <row r="554" spans="1:10" x14ac:dyDescent="0.25">
      <c r="A554" s="3" t="s">
        <v>565</v>
      </c>
      <c r="B554" s="3" t="str">
        <f t="shared" si="48"/>
        <v>8</v>
      </c>
      <c r="C554" s="7">
        <f t="shared" si="49"/>
        <v>6.4432989690721648E-4</v>
      </c>
      <c r="D554" s="8">
        <f t="shared" si="52"/>
        <v>0.35631443298968962</v>
      </c>
      <c r="E554" s="4">
        <v>51</v>
      </c>
      <c r="F554" s="5">
        <v>47.96</v>
      </c>
      <c r="G554" s="10">
        <f t="shared" si="50"/>
        <v>2445.96</v>
      </c>
      <c r="H554" s="7">
        <f t="shared" si="51"/>
        <v>2.9632839372435379E-4</v>
      </c>
      <c r="I554" s="8">
        <f t="shared" si="53"/>
        <v>0.9124971545012579</v>
      </c>
      <c r="J554" s="3" t="s">
        <v>525</v>
      </c>
    </row>
    <row r="555" spans="1:10" x14ac:dyDescent="0.25">
      <c r="A555" s="3" t="s">
        <v>566</v>
      </c>
      <c r="B555" s="3" t="str">
        <f t="shared" si="48"/>
        <v>4</v>
      </c>
      <c r="C555" s="7">
        <f t="shared" si="49"/>
        <v>6.4432989690721648E-4</v>
      </c>
      <c r="D555" s="8">
        <f t="shared" si="52"/>
        <v>0.35695876288659684</v>
      </c>
      <c r="E555" s="4">
        <v>34</v>
      </c>
      <c r="F555" s="5">
        <v>71.7</v>
      </c>
      <c r="G555" s="10">
        <f t="shared" si="50"/>
        <v>2437.8000000000002</v>
      </c>
      <c r="H555" s="7">
        <f t="shared" si="51"/>
        <v>2.9533980859099487E-4</v>
      </c>
      <c r="I555" s="8">
        <f t="shared" si="53"/>
        <v>0.91279249430984888</v>
      </c>
      <c r="J555" s="3" t="s">
        <v>525</v>
      </c>
    </row>
    <row r="556" spans="1:10" x14ac:dyDescent="0.25">
      <c r="A556" s="3" t="s">
        <v>567</v>
      </c>
      <c r="B556" s="3" t="str">
        <f t="shared" si="48"/>
        <v>6</v>
      </c>
      <c r="C556" s="7">
        <f t="shared" si="49"/>
        <v>6.4432989690721648E-4</v>
      </c>
      <c r="D556" s="8">
        <f t="shared" si="52"/>
        <v>0.35760309278350405</v>
      </c>
      <c r="E556" s="4">
        <v>38</v>
      </c>
      <c r="F556" s="5">
        <v>63.96</v>
      </c>
      <c r="G556" s="10">
        <f t="shared" si="50"/>
        <v>2430.48</v>
      </c>
      <c r="H556" s="7">
        <f t="shared" si="51"/>
        <v>2.9445298957430515E-4</v>
      </c>
      <c r="I556" s="8">
        <f t="shared" si="53"/>
        <v>0.91308694729942319</v>
      </c>
      <c r="J556" s="3" t="s">
        <v>525</v>
      </c>
    </row>
    <row r="557" spans="1:10" x14ac:dyDescent="0.25">
      <c r="A557" s="3" t="s">
        <v>568</v>
      </c>
      <c r="B557" s="3" t="str">
        <f t="shared" si="48"/>
        <v>8</v>
      </c>
      <c r="C557" s="7">
        <f t="shared" si="49"/>
        <v>6.4432989690721648E-4</v>
      </c>
      <c r="D557" s="8">
        <f t="shared" si="52"/>
        <v>0.35824742268041126</v>
      </c>
      <c r="E557" s="4">
        <v>53</v>
      </c>
      <c r="F557" s="5">
        <v>45.8</v>
      </c>
      <c r="G557" s="10">
        <f t="shared" si="50"/>
        <v>2427.3999999999996</v>
      </c>
      <c r="H557" s="7">
        <f t="shared" si="51"/>
        <v>2.9407984714651764E-4</v>
      </c>
      <c r="I557" s="8">
        <f t="shared" si="53"/>
        <v>0.91338102714656966</v>
      </c>
      <c r="J557" s="3" t="s">
        <v>525</v>
      </c>
    </row>
    <row r="558" spans="1:10" x14ac:dyDescent="0.25">
      <c r="A558" s="3" t="s">
        <v>569</v>
      </c>
      <c r="B558" s="3" t="str">
        <f t="shared" si="48"/>
        <v>8</v>
      </c>
      <c r="C558" s="7">
        <f t="shared" si="49"/>
        <v>6.4432989690721648E-4</v>
      </c>
      <c r="D558" s="8">
        <f t="shared" si="52"/>
        <v>0.35889175257731848</v>
      </c>
      <c r="E558" s="4">
        <v>93</v>
      </c>
      <c r="F558" s="5">
        <v>26.09</v>
      </c>
      <c r="G558" s="10">
        <f t="shared" si="50"/>
        <v>2426.37</v>
      </c>
      <c r="H558" s="7">
        <f t="shared" si="51"/>
        <v>2.9395506250345888E-4</v>
      </c>
      <c r="I558" s="8">
        <f t="shared" si="53"/>
        <v>0.91367498220907306</v>
      </c>
      <c r="J558" s="3" t="s">
        <v>525</v>
      </c>
    </row>
    <row r="559" spans="1:10" x14ac:dyDescent="0.25">
      <c r="A559" s="3" t="s">
        <v>570</v>
      </c>
      <c r="B559" s="3" t="str">
        <f t="shared" si="48"/>
        <v>8</v>
      </c>
      <c r="C559" s="7">
        <f t="shared" si="49"/>
        <v>6.4432989690721648E-4</v>
      </c>
      <c r="D559" s="8">
        <f t="shared" si="52"/>
        <v>0.35953608247422569</v>
      </c>
      <c r="E559" s="4">
        <v>82</v>
      </c>
      <c r="F559" s="5">
        <v>29.54</v>
      </c>
      <c r="G559" s="10">
        <f t="shared" si="50"/>
        <v>2422.2799999999997</v>
      </c>
      <c r="H559" s="7">
        <f t="shared" si="51"/>
        <v>2.9345955843539047E-4</v>
      </c>
      <c r="I559" s="8">
        <f t="shared" si="53"/>
        <v>0.91396844176750847</v>
      </c>
      <c r="J559" s="3" t="s">
        <v>525</v>
      </c>
    </row>
    <row r="560" spans="1:10" x14ac:dyDescent="0.25">
      <c r="A560" s="3" t="s">
        <v>571</v>
      </c>
      <c r="B560" s="3" t="str">
        <f t="shared" si="48"/>
        <v>9</v>
      </c>
      <c r="C560" s="7">
        <f t="shared" si="49"/>
        <v>6.4432989690721648E-4</v>
      </c>
      <c r="D560" s="8">
        <f t="shared" si="52"/>
        <v>0.36018041237113291</v>
      </c>
      <c r="E560" s="4">
        <v>7</v>
      </c>
      <c r="F560" s="5">
        <v>345.01</v>
      </c>
      <c r="G560" s="10">
        <f t="shared" si="50"/>
        <v>2415.0699999999997</v>
      </c>
      <c r="H560" s="7">
        <f t="shared" si="51"/>
        <v>2.9258606593397893E-4</v>
      </c>
      <c r="I560" s="8">
        <f t="shared" si="53"/>
        <v>0.91426102783344243</v>
      </c>
      <c r="J560" s="3" t="s">
        <v>525</v>
      </c>
    </row>
    <row r="561" spans="1:10" x14ac:dyDescent="0.25">
      <c r="A561" s="3" t="s">
        <v>572</v>
      </c>
      <c r="B561" s="3" t="str">
        <f t="shared" si="48"/>
        <v>8</v>
      </c>
      <c r="C561" s="7">
        <f t="shared" si="49"/>
        <v>6.4432989690721648E-4</v>
      </c>
      <c r="D561" s="8">
        <f t="shared" si="52"/>
        <v>0.36082474226804012</v>
      </c>
      <c r="E561" s="4">
        <v>31</v>
      </c>
      <c r="F561" s="5">
        <v>77.44</v>
      </c>
      <c r="G561" s="10">
        <f t="shared" si="50"/>
        <v>2400.64</v>
      </c>
      <c r="H561" s="7">
        <f t="shared" si="51"/>
        <v>2.908378694297669E-4</v>
      </c>
      <c r="I561" s="8">
        <f t="shared" si="53"/>
        <v>0.91455186570287217</v>
      </c>
      <c r="J561" s="3" t="s">
        <v>525</v>
      </c>
    </row>
    <row r="562" spans="1:10" x14ac:dyDescent="0.25">
      <c r="A562" s="3" t="s">
        <v>573</v>
      </c>
      <c r="B562" s="3" t="str">
        <f t="shared" si="48"/>
        <v>4</v>
      </c>
      <c r="C562" s="7">
        <f t="shared" si="49"/>
        <v>6.4432989690721648E-4</v>
      </c>
      <c r="D562" s="8">
        <f t="shared" si="52"/>
        <v>0.36146907216494734</v>
      </c>
      <c r="E562" s="4">
        <v>8</v>
      </c>
      <c r="F562" s="5">
        <v>298.73</v>
      </c>
      <c r="G562" s="10">
        <f t="shared" si="50"/>
        <v>2389.84</v>
      </c>
      <c r="H562" s="7">
        <f t="shared" si="51"/>
        <v>2.8952944792973303E-4</v>
      </c>
      <c r="I562" s="8">
        <f t="shared" si="53"/>
        <v>0.91484139515080187</v>
      </c>
      <c r="J562" s="3" t="s">
        <v>525</v>
      </c>
    </row>
    <row r="563" spans="1:10" x14ac:dyDescent="0.25">
      <c r="A563" s="3" t="s">
        <v>574</v>
      </c>
      <c r="B563" s="3" t="str">
        <f t="shared" si="48"/>
        <v>2</v>
      </c>
      <c r="C563" s="7">
        <f t="shared" si="49"/>
        <v>6.4432989690721648E-4</v>
      </c>
      <c r="D563" s="8">
        <f t="shared" si="52"/>
        <v>0.36211340206185455</v>
      </c>
      <c r="E563" s="4">
        <v>29</v>
      </c>
      <c r="F563" s="5">
        <v>82.15</v>
      </c>
      <c r="G563" s="10">
        <f t="shared" si="50"/>
        <v>2382.3500000000004</v>
      </c>
      <c r="H563" s="7">
        <f t="shared" si="51"/>
        <v>2.8862203338943172E-4</v>
      </c>
      <c r="I563" s="8">
        <f t="shared" si="53"/>
        <v>0.91513001718419129</v>
      </c>
      <c r="J563" s="3" t="s">
        <v>525</v>
      </c>
    </row>
    <row r="564" spans="1:10" x14ac:dyDescent="0.25">
      <c r="A564" s="3" t="s">
        <v>575</v>
      </c>
      <c r="B564" s="3" t="str">
        <f t="shared" si="48"/>
        <v>3</v>
      </c>
      <c r="C564" s="7">
        <f t="shared" si="49"/>
        <v>6.4432989690721648E-4</v>
      </c>
      <c r="D564" s="8">
        <f t="shared" si="52"/>
        <v>0.36275773195876176</v>
      </c>
      <c r="E564" s="4">
        <v>2</v>
      </c>
      <c r="F564" s="5">
        <v>1188.07</v>
      </c>
      <c r="G564" s="10">
        <f t="shared" si="50"/>
        <v>2376.14</v>
      </c>
      <c r="H564" s="7">
        <f t="shared" si="51"/>
        <v>2.8786969102691213E-4</v>
      </c>
      <c r="I564" s="8">
        <f t="shared" si="53"/>
        <v>0.91541788687521819</v>
      </c>
      <c r="J564" s="3" t="s">
        <v>525</v>
      </c>
    </row>
    <row r="565" spans="1:10" x14ac:dyDescent="0.25">
      <c r="A565" s="3" t="s">
        <v>576</v>
      </c>
      <c r="B565" s="3" t="str">
        <f t="shared" si="48"/>
        <v>8</v>
      </c>
      <c r="C565" s="18">
        <f t="shared" si="49"/>
        <v>6.4432989690721648E-4</v>
      </c>
      <c r="D565" s="8">
        <f t="shared" si="52"/>
        <v>0.36340206185566898</v>
      </c>
      <c r="E565" s="4">
        <v>40</v>
      </c>
      <c r="F565" s="19">
        <v>59.33</v>
      </c>
      <c r="G565" s="10">
        <f t="shared" si="50"/>
        <v>2373.1999999999998</v>
      </c>
      <c r="H565" s="18">
        <f t="shared" si="51"/>
        <v>2.8751350961856955E-4</v>
      </c>
      <c r="I565" s="8">
        <f t="shared" si="53"/>
        <v>0.91570540038483672</v>
      </c>
      <c r="J565" s="3" t="s">
        <v>525</v>
      </c>
    </row>
    <row r="566" spans="1:10" x14ac:dyDescent="0.25">
      <c r="A566" s="3" t="s">
        <v>577</v>
      </c>
      <c r="B566" s="3" t="str">
        <f t="shared" si="48"/>
        <v>2</v>
      </c>
      <c r="C566" s="7">
        <f t="shared" si="49"/>
        <v>6.4432989690721648E-4</v>
      </c>
      <c r="D566" s="8">
        <f t="shared" si="52"/>
        <v>0.36404639175257619</v>
      </c>
      <c r="E566" s="4">
        <v>55</v>
      </c>
      <c r="F566" s="5">
        <v>42.82</v>
      </c>
      <c r="G566" s="10">
        <f t="shared" si="50"/>
        <v>2355.1</v>
      </c>
      <c r="H566" s="7">
        <f t="shared" si="51"/>
        <v>2.8532069210462381E-4</v>
      </c>
      <c r="I566" s="8">
        <f t="shared" si="53"/>
        <v>0.91599072107694135</v>
      </c>
      <c r="J566" s="3" t="s">
        <v>525</v>
      </c>
    </row>
    <row r="567" spans="1:10" x14ac:dyDescent="0.25">
      <c r="A567" s="3" t="s">
        <v>578</v>
      </c>
      <c r="B567" s="3" t="str">
        <f t="shared" si="48"/>
        <v>9</v>
      </c>
      <c r="C567" s="7">
        <f t="shared" si="49"/>
        <v>6.4432989690721648E-4</v>
      </c>
      <c r="D567" s="8">
        <f t="shared" si="52"/>
        <v>0.36469072164948341</v>
      </c>
      <c r="E567" s="4">
        <v>11</v>
      </c>
      <c r="F567" s="5">
        <v>212.38</v>
      </c>
      <c r="G567" s="10">
        <f t="shared" si="50"/>
        <v>2336.1799999999998</v>
      </c>
      <c r="H567" s="7">
        <f t="shared" si="51"/>
        <v>2.8302853147678657E-4</v>
      </c>
      <c r="I567" s="8">
        <f t="shared" si="53"/>
        <v>0.91627374960841812</v>
      </c>
      <c r="J567" s="3" t="s">
        <v>525</v>
      </c>
    </row>
    <row r="568" spans="1:10" x14ac:dyDescent="0.25">
      <c r="A568" s="3" t="s">
        <v>579</v>
      </c>
      <c r="B568" s="3" t="str">
        <f t="shared" si="48"/>
        <v>8</v>
      </c>
      <c r="C568" s="7">
        <f t="shared" si="49"/>
        <v>6.4432989690721648E-4</v>
      </c>
      <c r="D568" s="8">
        <f t="shared" si="52"/>
        <v>0.36533505154639062</v>
      </c>
      <c r="E568" s="4">
        <v>213</v>
      </c>
      <c r="F568" s="5">
        <v>10.94</v>
      </c>
      <c r="G568" s="10">
        <f t="shared" si="50"/>
        <v>2330.2199999999998</v>
      </c>
      <c r="H568" s="7">
        <f t="shared" si="51"/>
        <v>2.8230647664899004E-4</v>
      </c>
      <c r="I568" s="8">
        <f t="shared" si="53"/>
        <v>0.91655605608506707</v>
      </c>
      <c r="J568" s="3" t="s">
        <v>525</v>
      </c>
    </row>
    <row r="569" spans="1:10" x14ac:dyDescent="0.25">
      <c r="A569" s="3" t="s">
        <v>580</v>
      </c>
      <c r="B569" s="3" t="str">
        <f t="shared" si="48"/>
        <v>8</v>
      </c>
      <c r="C569" s="7">
        <f t="shared" si="49"/>
        <v>6.4432989690721648E-4</v>
      </c>
      <c r="D569" s="8">
        <f t="shared" si="52"/>
        <v>0.36597938144329784</v>
      </c>
      <c r="E569" s="4">
        <v>38</v>
      </c>
      <c r="F569" s="5">
        <v>61.26</v>
      </c>
      <c r="G569" s="10">
        <f t="shared" si="50"/>
        <v>2327.88</v>
      </c>
      <c r="H569" s="7">
        <f t="shared" si="51"/>
        <v>2.8202298532398272E-4</v>
      </c>
      <c r="I569" s="8">
        <f t="shared" si="53"/>
        <v>0.91683807907039105</v>
      </c>
      <c r="J569" s="3" t="s">
        <v>525</v>
      </c>
    </row>
    <row r="570" spans="1:10" x14ac:dyDescent="0.25">
      <c r="A570" s="3" t="s">
        <v>581</v>
      </c>
      <c r="B570" s="3" t="str">
        <f t="shared" si="48"/>
        <v>3</v>
      </c>
      <c r="C570" s="7">
        <f t="shared" si="49"/>
        <v>6.4432989690721648E-4</v>
      </c>
      <c r="D570" s="8">
        <f t="shared" si="52"/>
        <v>0.36662371134020505</v>
      </c>
      <c r="E570" s="4">
        <v>2</v>
      </c>
      <c r="F570" s="5">
        <v>1162.6600000000001</v>
      </c>
      <c r="G570" s="10">
        <f t="shared" si="50"/>
        <v>2325.3200000000002</v>
      </c>
      <c r="H570" s="7">
        <f t="shared" si="51"/>
        <v>2.8171284096841913E-4</v>
      </c>
      <c r="I570" s="8">
        <f t="shared" si="53"/>
        <v>0.91711979191135951</v>
      </c>
      <c r="J570" s="3" t="s">
        <v>525</v>
      </c>
    </row>
    <row r="571" spans="1:10" x14ac:dyDescent="0.25">
      <c r="A571" s="3" t="s">
        <v>582</v>
      </c>
      <c r="B571" s="3" t="str">
        <f t="shared" si="48"/>
        <v>2</v>
      </c>
      <c r="C571" s="7">
        <f t="shared" si="49"/>
        <v>6.4432989690721648E-4</v>
      </c>
      <c r="D571" s="8">
        <f t="shared" si="52"/>
        <v>0.36726804123711226</v>
      </c>
      <c r="E571" s="4">
        <v>422</v>
      </c>
      <c r="F571" s="5">
        <v>5.5</v>
      </c>
      <c r="G571" s="10">
        <f t="shared" si="50"/>
        <v>2321</v>
      </c>
      <c r="H571" s="7">
        <f t="shared" si="51"/>
        <v>2.8118947236840551E-4</v>
      </c>
      <c r="I571" s="8">
        <f t="shared" si="53"/>
        <v>0.91740098138372794</v>
      </c>
      <c r="J571" s="3" t="s">
        <v>525</v>
      </c>
    </row>
    <row r="572" spans="1:10" x14ac:dyDescent="0.25">
      <c r="A572" s="3" t="s">
        <v>583</v>
      </c>
      <c r="B572" s="3" t="str">
        <f t="shared" si="48"/>
        <v>4</v>
      </c>
      <c r="C572" s="7">
        <f t="shared" si="49"/>
        <v>6.4432989690721648E-4</v>
      </c>
      <c r="D572" s="8">
        <f t="shared" si="52"/>
        <v>0.36791237113401948</v>
      </c>
      <c r="E572" s="4">
        <v>11</v>
      </c>
      <c r="F572" s="5">
        <v>210.9</v>
      </c>
      <c r="G572" s="10">
        <f t="shared" si="50"/>
        <v>2319.9</v>
      </c>
      <c r="H572" s="7">
        <f t="shared" si="51"/>
        <v>2.8105620721562429E-4</v>
      </c>
      <c r="I572" s="8">
        <f t="shared" si="53"/>
        <v>0.91768203759094358</v>
      </c>
      <c r="J572" s="3" t="s">
        <v>525</v>
      </c>
    </row>
    <row r="573" spans="1:10" x14ac:dyDescent="0.25">
      <c r="A573" s="3" t="s">
        <v>584</v>
      </c>
      <c r="B573" s="3" t="str">
        <f t="shared" si="48"/>
        <v>6</v>
      </c>
      <c r="C573" s="7">
        <f t="shared" si="49"/>
        <v>6.4432989690721648E-4</v>
      </c>
      <c r="D573" s="8">
        <f t="shared" si="52"/>
        <v>0.36855670103092669</v>
      </c>
      <c r="E573" s="4">
        <v>48</v>
      </c>
      <c r="F573" s="5">
        <v>48.24</v>
      </c>
      <c r="G573" s="10">
        <f t="shared" si="50"/>
        <v>2315.52</v>
      </c>
      <c r="H573" s="7">
        <f t="shared" si="51"/>
        <v>2.805255696072772E-4</v>
      </c>
      <c r="I573" s="8">
        <f t="shared" si="53"/>
        <v>0.9179625631605508</v>
      </c>
      <c r="J573" s="3" t="s">
        <v>525</v>
      </c>
    </row>
    <row r="574" spans="1:10" x14ac:dyDescent="0.25">
      <c r="A574" s="3" t="s">
        <v>585</v>
      </c>
      <c r="B574" s="3" t="str">
        <f t="shared" si="48"/>
        <v>9</v>
      </c>
      <c r="C574" s="7">
        <f t="shared" si="49"/>
        <v>6.4432989690721648E-4</v>
      </c>
      <c r="D574" s="8">
        <f t="shared" si="52"/>
        <v>0.36920103092783391</v>
      </c>
      <c r="E574" s="4">
        <v>17</v>
      </c>
      <c r="F574" s="5">
        <v>136.1</v>
      </c>
      <c r="G574" s="10">
        <f t="shared" si="50"/>
        <v>2313.6999999999998</v>
      </c>
      <c r="H574" s="7">
        <f t="shared" si="51"/>
        <v>2.803050763544937E-4</v>
      </c>
      <c r="I574" s="8">
        <f t="shared" si="53"/>
        <v>0.91824286823690526</v>
      </c>
      <c r="J574" s="3" t="s">
        <v>525</v>
      </c>
    </row>
    <row r="575" spans="1:10" x14ac:dyDescent="0.25">
      <c r="A575" s="3" t="s">
        <v>586</v>
      </c>
      <c r="B575" s="3" t="str">
        <f t="shared" si="48"/>
        <v>8</v>
      </c>
      <c r="C575" s="7">
        <f t="shared" si="49"/>
        <v>6.4432989690721648E-4</v>
      </c>
      <c r="D575" s="8">
        <f t="shared" si="52"/>
        <v>0.36984536082474112</v>
      </c>
      <c r="E575" s="4">
        <v>49</v>
      </c>
      <c r="F575" s="5">
        <v>47.12</v>
      </c>
      <c r="G575" s="10">
        <f t="shared" si="50"/>
        <v>2308.8799999999997</v>
      </c>
      <c r="H575" s="7">
        <f t="shared" si="51"/>
        <v>2.7972113268503405E-4</v>
      </c>
      <c r="I575" s="8">
        <f t="shared" si="53"/>
        <v>0.9185225893695903</v>
      </c>
      <c r="J575" s="3" t="s">
        <v>525</v>
      </c>
    </row>
    <row r="576" spans="1:10" x14ac:dyDescent="0.25">
      <c r="A576" s="3" t="s">
        <v>587</v>
      </c>
      <c r="B576" s="3" t="str">
        <f t="shared" si="48"/>
        <v>1</v>
      </c>
      <c r="C576" s="7">
        <f t="shared" si="49"/>
        <v>6.4432989690721648E-4</v>
      </c>
      <c r="D576" s="8">
        <f t="shared" si="52"/>
        <v>0.37048969072164833</v>
      </c>
      <c r="E576" s="4">
        <v>8</v>
      </c>
      <c r="F576" s="5">
        <v>287.97000000000003</v>
      </c>
      <c r="G576" s="10">
        <f t="shared" si="50"/>
        <v>2303.7600000000002</v>
      </c>
      <c r="H576" s="7">
        <f t="shared" si="51"/>
        <v>2.7910084397390694E-4</v>
      </c>
      <c r="I576" s="8">
        <f t="shared" si="53"/>
        <v>0.91880169021356417</v>
      </c>
      <c r="J576" s="3" t="s">
        <v>525</v>
      </c>
    </row>
    <row r="577" spans="1:10" x14ac:dyDescent="0.25">
      <c r="A577" s="3" t="s">
        <v>588</v>
      </c>
      <c r="B577" s="3" t="str">
        <f t="shared" si="48"/>
        <v>7</v>
      </c>
      <c r="C577" s="7">
        <f t="shared" si="49"/>
        <v>6.4432989690721648E-4</v>
      </c>
      <c r="D577" s="8">
        <f t="shared" si="52"/>
        <v>0.37113402061855555</v>
      </c>
      <c r="E577" s="4">
        <v>18</v>
      </c>
      <c r="F577" s="5">
        <v>127.89</v>
      </c>
      <c r="G577" s="10">
        <f t="shared" si="50"/>
        <v>2302.02</v>
      </c>
      <c r="H577" s="7">
        <f t="shared" si="51"/>
        <v>2.7889004273223475E-4</v>
      </c>
      <c r="I577" s="8">
        <f t="shared" si="53"/>
        <v>0.91908058025629635</v>
      </c>
      <c r="J577" s="3" t="s">
        <v>525</v>
      </c>
    </row>
    <row r="578" spans="1:10" x14ac:dyDescent="0.25">
      <c r="A578" s="3" t="s">
        <v>589</v>
      </c>
      <c r="B578" s="3" t="str">
        <f t="shared" ref="B578:B641" si="54">RIGHT(A578,1)</f>
        <v>1</v>
      </c>
      <c r="C578" s="7">
        <f t="shared" ref="C578:C641" si="55">1/COUNTA(A$2:A$1553)</f>
        <v>6.4432989690721648E-4</v>
      </c>
      <c r="D578" s="8">
        <f t="shared" si="52"/>
        <v>0.37177835051546276</v>
      </c>
      <c r="E578" s="4">
        <v>5</v>
      </c>
      <c r="F578" s="5">
        <v>459.59</v>
      </c>
      <c r="G578" s="10">
        <f t="shared" ref="G578:G641" si="56">E578*F578</f>
        <v>2297.9499999999998</v>
      </c>
      <c r="H578" s="7">
        <f t="shared" ref="H578:H641" si="57">G578/SUM(G$2:G$1553)</f>
        <v>2.7839696166694419E-4</v>
      </c>
      <c r="I578" s="8">
        <f t="shared" si="53"/>
        <v>0.91935897721796334</v>
      </c>
      <c r="J578" s="3" t="s">
        <v>525</v>
      </c>
    </row>
    <row r="579" spans="1:10" x14ac:dyDescent="0.25">
      <c r="A579" s="3" t="s">
        <v>590</v>
      </c>
      <c r="B579" s="3" t="str">
        <f t="shared" si="54"/>
        <v>1</v>
      </c>
      <c r="C579" s="7">
        <f t="shared" si="55"/>
        <v>6.4432989690721648E-4</v>
      </c>
      <c r="D579" s="8">
        <f t="shared" ref="D579:D642" si="58">D578+C579</f>
        <v>0.37242268041236998</v>
      </c>
      <c r="E579" s="4">
        <v>6</v>
      </c>
      <c r="F579" s="5">
        <v>382.82</v>
      </c>
      <c r="G579" s="10">
        <f t="shared" si="56"/>
        <v>2296.92</v>
      </c>
      <c r="H579" s="7">
        <f t="shared" si="57"/>
        <v>2.7827217702388539E-4</v>
      </c>
      <c r="I579" s="8">
        <f t="shared" ref="I579:I642" si="59">I578+H579</f>
        <v>0.91963724939498726</v>
      </c>
      <c r="J579" s="3" t="s">
        <v>525</v>
      </c>
    </row>
    <row r="580" spans="1:10" x14ac:dyDescent="0.25">
      <c r="A580" s="3" t="s">
        <v>591</v>
      </c>
      <c r="B580" s="3" t="str">
        <f t="shared" si="54"/>
        <v>1</v>
      </c>
      <c r="C580" s="7">
        <f t="shared" si="55"/>
        <v>6.4432989690721648E-4</v>
      </c>
      <c r="D580" s="8">
        <f t="shared" si="58"/>
        <v>0.37306701030927719</v>
      </c>
      <c r="E580" s="4">
        <v>2</v>
      </c>
      <c r="F580" s="5">
        <v>1146.6099999999999</v>
      </c>
      <c r="G580" s="10">
        <f t="shared" si="56"/>
        <v>2293.2199999999998</v>
      </c>
      <c r="H580" s="7">
        <f t="shared" si="57"/>
        <v>2.7782392150998487E-4</v>
      </c>
      <c r="I580" s="8">
        <f t="shared" si="59"/>
        <v>0.91991507331649724</v>
      </c>
      <c r="J580" s="3" t="s">
        <v>525</v>
      </c>
    </row>
    <row r="581" spans="1:10" x14ac:dyDescent="0.25">
      <c r="A581" s="3" t="s">
        <v>592</v>
      </c>
      <c r="B581" s="3" t="str">
        <f t="shared" si="54"/>
        <v>3</v>
      </c>
      <c r="C581" s="7">
        <f t="shared" si="55"/>
        <v>6.4432989690721648E-4</v>
      </c>
      <c r="D581" s="8">
        <f t="shared" si="58"/>
        <v>0.37371134020618441</v>
      </c>
      <c r="E581" s="4">
        <v>2</v>
      </c>
      <c r="F581" s="5">
        <v>1144.8699999999999</v>
      </c>
      <c r="G581" s="10">
        <f t="shared" si="56"/>
        <v>2289.7399999999998</v>
      </c>
      <c r="H581" s="7">
        <f t="shared" si="57"/>
        <v>2.7740231902664061E-4</v>
      </c>
      <c r="I581" s="8">
        <f t="shared" si="59"/>
        <v>0.92019247563552387</v>
      </c>
      <c r="J581" s="3" t="s">
        <v>525</v>
      </c>
    </row>
    <row r="582" spans="1:10" x14ac:dyDescent="0.25">
      <c r="A582" s="3" t="s">
        <v>593</v>
      </c>
      <c r="B582" s="3" t="str">
        <f t="shared" si="54"/>
        <v>1</v>
      </c>
      <c r="C582" s="7">
        <f t="shared" si="55"/>
        <v>6.4432989690721648E-4</v>
      </c>
      <c r="D582" s="8">
        <f t="shared" si="58"/>
        <v>0.37435567010309162</v>
      </c>
      <c r="E582" s="4">
        <v>4</v>
      </c>
      <c r="F582" s="5">
        <v>570.57000000000005</v>
      </c>
      <c r="G582" s="10">
        <f t="shared" si="56"/>
        <v>2282.2800000000002</v>
      </c>
      <c r="H582" s="7">
        <f t="shared" si="57"/>
        <v>2.7649853899050611E-4</v>
      </c>
      <c r="I582" s="8">
        <f t="shared" si="59"/>
        <v>0.92046897417451434</v>
      </c>
      <c r="J582" s="3" t="s">
        <v>525</v>
      </c>
    </row>
    <row r="583" spans="1:10" x14ac:dyDescent="0.25">
      <c r="A583" s="3" t="s">
        <v>594</v>
      </c>
      <c r="B583" s="3" t="str">
        <f t="shared" si="54"/>
        <v>9</v>
      </c>
      <c r="C583" s="7">
        <f t="shared" si="55"/>
        <v>6.4432989690721648E-4</v>
      </c>
      <c r="D583" s="8">
        <f t="shared" si="58"/>
        <v>0.37499999999999883</v>
      </c>
      <c r="E583" s="4">
        <v>28</v>
      </c>
      <c r="F583" s="5">
        <v>81.34</v>
      </c>
      <c r="G583" s="10">
        <f t="shared" si="56"/>
        <v>2277.52</v>
      </c>
      <c r="H583" s="7">
        <f t="shared" si="57"/>
        <v>2.7592186432937998E-4</v>
      </c>
      <c r="I583" s="8">
        <f t="shared" si="59"/>
        <v>0.92074489603884369</v>
      </c>
      <c r="J583" s="3" t="s">
        <v>525</v>
      </c>
    </row>
    <row r="584" spans="1:10" x14ac:dyDescent="0.25">
      <c r="A584" s="3" t="s">
        <v>595</v>
      </c>
      <c r="B584" s="3" t="str">
        <f t="shared" si="54"/>
        <v>4</v>
      </c>
      <c r="C584" s="7">
        <f t="shared" si="55"/>
        <v>6.4432989690721648E-4</v>
      </c>
      <c r="D584" s="8">
        <f t="shared" si="58"/>
        <v>0.37564432989690605</v>
      </c>
      <c r="E584" s="4">
        <v>29</v>
      </c>
      <c r="F584" s="5">
        <v>78.260000000000005</v>
      </c>
      <c r="G584" s="10">
        <f t="shared" si="56"/>
        <v>2269.54</v>
      </c>
      <c r="H584" s="7">
        <f t="shared" si="57"/>
        <v>2.7495508622102155E-4</v>
      </c>
      <c r="I584" s="8">
        <f t="shared" si="59"/>
        <v>0.92101985112506468</v>
      </c>
      <c r="J584" s="3" t="s">
        <v>525</v>
      </c>
    </row>
    <row r="585" spans="1:10" x14ac:dyDescent="0.25">
      <c r="A585" s="3" t="s">
        <v>596</v>
      </c>
      <c r="B585" s="3" t="str">
        <f t="shared" si="54"/>
        <v>9</v>
      </c>
      <c r="C585" s="7">
        <f t="shared" si="55"/>
        <v>6.4432989690721648E-4</v>
      </c>
      <c r="D585" s="8">
        <f t="shared" si="58"/>
        <v>0.37628865979381326</v>
      </c>
      <c r="E585" s="4">
        <v>14</v>
      </c>
      <c r="F585" s="5">
        <v>162.09</v>
      </c>
      <c r="G585" s="10">
        <f t="shared" si="56"/>
        <v>2269.2600000000002</v>
      </c>
      <c r="H585" s="7">
        <f t="shared" si="57"/>
        <v>2.7492116418213183E-4</v>
      </c>
      <c r="I585" s="8">
        <f t="shared" si="59"/>
        <v>0.92129477228924683</v>
      </c>
      <c r="J585" s="3" t="s">
        <v>525</v>
      </c>
    </row>
    <row r="586" spans="1:10" x14ac:dyDescent="0.25">
      <c r="A586" s="3" t="s">
        <v>597</v>
      </c>
      <c r="B586" s="3" t="str">
        <f t="shared" si="54"/>
        <v>4</v>
      </c>
      <c r="C586" s="7">
        <f t="shared" si="55"/>
        <v>6.4432989690721648E-4</v>
      </c>
      <c r="D586" s="8">
        <f t="shared" si="58"/>
        <v>0.37693298969072048</v>
      </c>
      <c r="E586" s="4">
        <v>6</v>
      </c>
      <c r="F586" s="5">
        <v>377.96</v>
      </c>
      <c r="G586" s="10">
        <f t="shared" si="56"/>
        <v>2267.7599999999998</v>
      </c>
      <c r="H586" s="7">
        <f t="shared" si="57"/>
        <v>2.7473943897379376E-4</v>
      </c>
      <c r="I586" s="8">
        <f t="shared" si="59"/>
        <v>0.92156951172822066</v>
      </c>
      <c r="J586" s="3" t="s">
        <v>525</v>
      </c>
    </row>
    <row r="587" spans="1:10" x14ac:dyDescent="0.25">
      <c r="A587" s="3" t="s">
        <v>598</v>
      </c>
      <c r="B587" s="3" t="str">
        <f t="shared" si="54"/>
        <v>5</v>
      </c>
      <c r="C587" s="7">
        <f t="shared" si="55"/>
        <v>6.4432989690721648E-4</v>
      </c>
      <c r="D587" s="8">
        <f t="shared" si="58"/>
        <v>0.37757731958762769</v>
      </c>
      <c r="E587" s="4">
        <v>17</v>
      </c>
      <c r="F587" s="5">
        <v>133.26</v>
      </c>
      <c r="G587" s="10">
        <f t="shared" si="56"/>
        <v>2265.42</v>
      </c>
      <c r="H587" s="7">
        <f t="shared" si="57"/>
        <v>2.7445594764878643E-4</v>
      </c>
      <c r="I587" s="8">
        <f t="shared" si="59"/>
        <v>0.9218439676758694</v>
      </c>
      <c r="J587" s="3" t="s">
        <v>525</v>
      </c>
    </row>
    <row r="588" spans="1:10" x14ac:dyDescent="0.25">
      <c r="A588" s="3" t="s">
        <v>599</v>
      </c>
      <c r="B588" s="3" t="str">
        <f t="shared" si="54"/>
        <v>6</v>
      </c>
      <c r="C588" s="7">
        <f t="shared" si="55"/>
        <v>6.4432989690721648E-4</v>
      </c>
      <c r="D588" s="8">
        <f t="shared" si="58"/>
        <v>0.37822164948453491</v>
      </c>
      <c r="E588" s="4">
        <v>27</v>
      </c>
      <c r="F588" s="5">
        <v>83.57</v>
      </c>
      <c r="G588" s="10">
        <f t="shared" si="56"/>
        <v>2256.39</v>
      </c>
      <c r="H588" s="7">
        <f t="shared" si="57"/>
        <v>2.7336196189459134E-4</v>
      </c>
      <c r="I588" s="8">
        <f t="shared" si="59"/>
        <v>0.92211732963776394</v>
      </c>
      <c r="J588" s="3" t="s">
        <v>525</v>
      </c>
    </row>
    <row r="589" spans="1:10" x14ac:dyDescent="0.25">
      <c r="A589" s="3" t="s">
        <v>600</v>
      </c>
      <c r="B589" s="3" t="str">
        <f t="shared" si="54"/>
        <v>9</v>
      </c>
      <c r="C589" s="7">
        <f t="shared" si="55"/>
        <v>6.4432989690721648E-4</v>
      </c>
      <c r="D589" s="8">
        <f t="shared" si="58"/>
        <v>0.37886597938144212</v>
      </c>
      <c r="E589" s="4">
        <v>7</v>
      </c>
      <c r="F589" s="5">
        <v>321.38</v>
      </c>
      <c r="G589" s="10">
        <f t="shared" si="56"/>
        <v>2249.66</v>
      </c>
      <c r="H589" s="7">
        <f t="shared" si="57"/>
        <v>2.7254662145984797E-4</v>
      </c>
      <c r="I589" s="8">
        <f t="shared" si="59"/>
        <v>0.92238987625922375</v>
      </c>
      <c r="J589" s="3" t="s">
        <v>525</v>
      </c>
    </row>
    <row r="590" spans="1:10" x14ac:dyDescent="0.25">
      <c r="A590" s="3" t="s">
        <v>601</v>
      </c>
      <c r="B590" s="3" t="str">
        <f t="shared" si="54"/>
        <v>2</v>
      </c>
      <c r="C590" s="7">
        <f t="shared" si="55"/>
        <v>6.4432989690721648E-4</v>
      </c>
      <c r="D590" s="8">
        <f t="shared" si="58"/>
        <v>0.37951030927834933</v>
      </c>
      <c r="E590" s="4">
        <v>67</v>
      </c>
      <c r="F590" s="5">
        <v>33.49</v>
      </c>
      <c r="G590" s="10">
        <f t="shared" si="56"/>
        <v>2243.83</v>
      </c>
      <c r="H590" s="7">
        <f t="shared" si="57"/>
        <v>2.7184031615010742E-4</v>
      </c>
      <c r="I590" s="8">
        <f t="shared" si="59"/>
        <v>0.92266171657537388</v>
      </c>
      <c r="J590" s="3" t="s">
        <v>525</v>
      </c>
    </row>
    <row r="591" spans="1:10" x14ac:dyDescent="0.25">
      <c r="A591" s="3" t="s">
        <v>602</v>
      </c>
      <c r="B591" s="3" t="str">
        <f t="shared" si="54"/>
        <v>1</v>
      </c>
      <c r="C591" s="7">
        <f t="shared" si="55"/>
        <v>6.4432989690721648E-4</v>
      </c>
      <c r="D591" s="8">
        <f t="shared" si="58"/>
        <v>0.38015463917525655</v>
      </c>
      <c r="E591" s="4">
        <v>2</v>
      </c>
      <c r="F591" s="5">
        <v>1119.5</v>
      </c>
      <c r="G591" s="10">
        <f t="shared" si="56"/>
        <v>2239</v>
      </c>
      <c r="H591" s="7">
        <f t="shared" si="57"/>
        <v>2.7125516097925893E-4</v>
      </c>
      <c r="I591" s="8">
        <f t="shared" si="59"/>
        <v>0.92293297173635314</v>
      </c>
      <c r="J591" s="3" t="s">
        <v>525</v>
      </c>
    </row>
    <row r="592" spans="1:10" x14ac:dyDescent="0.25">
      <c r="A592" s="3" t="s">
        <v>603</v>
      </c>
      <c r="B592" s="3" t="str">
        <f t="shared" si="54"/>
        <v>7</v>
      </c>
      <c r="C592" s="7">
        <f t="shared" si="55"/>
        <v>6.4432989690721648E-4</v>
      </c>
      <c r="D592" s="8">
        <f t="shared" si="58"/>
        <v>0.38079896907216376</v>
      </c>
      <c r="E592" s="4">
        <v>16</v>
      </c>
      <c r="F592" s="5">
        <v>139.18</v>
      </c>
      <c r="G592" s="10">
        <f t="shared" si="56"/>
        <v>2226.88</v>
      </c>
      <c r="H592" s="7">
        <f t="shared" si="57"/>
        <v>2.6978682129588752E-4</v>
      </c>
      <c r="I592" s="8">
        <f t="shared" si="59"/>
        <v>0.92320275855764899</v>
      </c>
      <c r="J592" s="3" t="s">
        <v>525</v>
      </c>
    </row>
    <row r="593" spans="1:10" x14ac:dyDescent="0.25">
      <c r="A593" s="3" t="s">
        <v>604</v>
      </c>
      <c r="B593" s="3" t="str">
        <f t="shared" si="54"/>
        <v>3</v>
      </c>
      <c r="C593" s="7">
        <f t="shared" si="55"/>
        <v>6.4432989690721648E-4</v>
      </c>
      <c r="D593" s="8">
        <f t="shared" si="58"/>
        <v>0.38144329896907098</v>
      </c>
      <c r="E593" s="4">
        <v>5</v>
      </c>
      <c r="F593" s="5">
        <v>442.83</v>
      </c>
      <c r="G593" s="10">
        <f t="shared" si="56"/>
        <v>2214.15</v>
      </c>
      <c r="H593" s="7">
        <f t="shared" si="57"/>
        <v>2.6824458002779197E-4</v>
      </c>
      <c r="I593" s="8">
        <f t="shared" si="59"/>
        <v>0.92347100313767683</v>
      </c>
      <c r="J593" s="3" t="s">
        <v>525</v>
      </c>
    </row>
    <row r="594" spans="1:10" x14ac:dyDescent="0.25">
      <c r="A594" s="3" t="s">
        <v>605</v>
      </c>
      <c r="B594" s="3" t="str">
        <f t="shared" si="54"/>
        <v>1</v>
      </c>
      <c r="C594" s="7">
        <f t="shared" si="55"/>
        <v>6.4432989690721648E-4</v>
      </c>
      <c r="D594" s="8">
        <f t="shared" si="58"/>
        <v>0.38208762886597819</v>
      </c>
      <c r="E594" s="4">
        <v>2</v>
      </c>
      <c r="F594" s="5">
        <v>1103.27</v>
      </c>
      <c r="G594" s="10">
        <f t="shared" si="56"/>
        <v>2206.54</v>
      </c>
      <c r="H594" s="7">
        <f t="shared" si="57"/>
        <v>2.6732262747082358E-4</v>
      </c>
      <c r="I594" s="8">
        <f t="shared" si="59"/>
        <v>0.92373832576514769</v>
      </c>
      <c r="J594" s="3" t="s">
        <v>525</v>
      </c>
    </row>
    <row r="595" spans="1:10" x14ac:dyDescent="0.25">
      <c r="A595" s="3" t="s">
        <v>606</v>
      </c>
      <c r="B595" s="3" t="str">
        <f t="shared" si="54"/>
        <v>8</v>
      </c>
      <c r="C595" s="7">
        <f t="shared" si="55"/>
        <v>6.4432989690721648E-4</v>
      </c>
      <c r="D595" s="8">
        <f t="shared" si="58"/>
        <v>0.3827319587628854</v>
      </c>
      <c r="E595" s="4">
        <v>34</v>
      </c>
      <c r="F595" s="5">
        <v>64.760000000000005</v>
      </c>
      <c r="G595" s="10">
        <f t="shared" si="56"/>
        <v>2201.84</v>
      </c>
      <c r="H595" s="7">
        <f t="shared" si="57"/>
        <v>2.6675322181803106E-4</v>
      </c>
      <c r="I595" s="8">
        <f t="shared" si="59"/>
        <v>0.92400507898696571</v>
      </c>
      <c r="J595" s="3" t="s">
        <v>525</v>
      </c>
    </row>
    <row r="596" spans="1:10" x14ac:dyDescent="0.25">
      <c r="A596" s="3" t="s">
        <v>607</v>
      </c>
      <c r="B596" s="3" t="str">
        <f t="shared" si="54"/>
        <v>8</v>
      </c>
      <c r="C596" s="7">
        <f t="shared" si="55"/>
        <v>6.4432989690721648E-4</v>
      </c>
      <c r="D596" s="8">
        <f t="shared" si="58"/>
        <v>0.38337628865979262</v>
      </c>
      <c r="E596" s="4">
        <v>90</v>
      </c>
      <c r="F596" s="5">
        <v>24.44</v>
      </c>
      <c r="G596" s="10">
        <f t="shared" si="56"/>
        <v>2199.6</v>
      </c>
      <c r="H596" s="7">
        <f t="shared" si="57"/>
        <v>2.6648184550691285E-4</v>
      </c>
      <c r="I596" s="8">
        <f t="shared" si="59"/>
        <v>0.92427156083247264</v>
      </c>
      <c r="J596" s="3" t="s">
        <v>525</v>
      </c>
    </row>
    <row r="597" spans="1:10" x14ac:dyDescent="0.25">
      <c r="A597" s="3" t="s">
        <v>608</v>
      </c>
      <c r="B597" s="3" t="str">
        <f t="shared" si="54"/>
        <v>6</v>
      </c>
      <c r="C597" s="7">
        <f t="shared" si="55"/>
        <v>6.4432989690721648E-4</v>
      </c>
      <c r="D597" s="8">
        <f t="shared" si="58"/>
        <v>0.38402061855669983</v>
      </c>
      <c r="E597" s="4">
        <v>59</v>
      </c>
      <c r="F597" s="5">
        <v>37.25</v>
      </c>
      <c r="G597" s="10">
        <f t="shared" si="56"/>
        <v>2197.75</v>
      </c>
      <c r="H597" s="7">
        <f t="shared" si="57"/>
        <v>2.6625771774996265E-4</v>
      </c>
      <c r="I597" s="8">
        <f t="shared" si="59"/>
        <v>0.92453781855022266</v>
      </c>
      <c r="J597" s="3" t="s">
        <v>525</v>
      </c>
    </row>
    <row r="598" spans="1:10" x14ac:dyDescent="0.25">
      <c r="A598" s="3" t="s">
        <v>609</v>
      </c>
      <c r="B598" s="3" t="str">
        <f t="shared" si="54"/>
        <v>1</v>
      </c>
      <c r="C598" s="7">
        <f t="shared" si="55"/>
        <v>6.4432989690721648E-4</v>
      </c>
      <c r="D598" s="8">
        <f t="shared" si="58"/>
        <v>0.38466494845360705</v>
      </c>
      <c r="E598" s="4">
        <v>3</v>
      </c>
      <c r="F598" s="5">
        <v>731.56</v>
      </c>
      <c r="G598" s="10">
        <f t="shared" si="56"/>
        <v>2194.6799999999998</v>
      </c>
      <c r="H598" s="7">
        <f t="shared" si="57"/>
        <v>2.6588578682356409E-4</v>
      </c>
      <c r="I598" s="8">
        <f t="shared" si="59"/>
        <v>0.92480370433704617</v>
      </c>
      <c r="J598" s="3" t="s">
        <v>525</v>
      </c>
    </row>
    <row r="599" spans="1:10" x14ac:dyDescent="0.25">
      <c r="A599" s="3" t="s">
        <v>610</v>
      </c>
      <c r="B599" s="3" t="str">
        <f t="shared" si="54"/>
        <v>8</v>
      </c>
      <c r="C599" s="7">
        <f t="shared" si="55"/>
        <v>6.4432989690721648E-4</v>
      </c>
      <c r="D599" s="8">
        <f t="shared" si="58"/>
        <v>0.38530927835051426</v>
      </c>
      <c r="E599" s="4">
        <v>55</v>
      </c>
      <c r="F599" s="5">
        <v>39.9</v>
      </c>
      <c r="G599" s="10">
        <f t="shared" si="56"/>
        <v>2194.5</v>
      </c>
      <c r="H599" s="7">
        <f t="shared" si="57"/>
        <v>2.6586397979856354E-4</v>
      </c>
      <c r="I599" s="8">
        <f t="shared" si="59"/>
        <v>0.92506956831684473</v>
      </c>
      <c r="J599" s="3" t="s">
        <v>525</v>
      </c>
    </row>
    <row r="600" spans="1:10" x14ac:dyDescent="0.25">
      <c r="A600" s="3" t="s">
        <v>611</v>
      </c>
      <c r="B600" s="3" t="str">
        <f t="shared" si="54"/>
        <v>7</v>
      </c>
      <c r="C600" s="7">
        <f t="shared" si="55"/>
        <v>6.4432989690721648E-4</v>
      </c>
      <c r="D600" s="8">
        <f t="shared" si="58"/>
        <v>0.38595360824742148</v>
      </c>
      <c r="E600" s="4">
        <v>17</v>
      </c>
      <c r="F600" s="5">
        <v>128.13999999999999</v>
      </c>
      <c r="G600" s="10">
        <f t="shared" si="56"/>
        <v>2178.3799999999997</v>
      </c>
      <c r="H600" s="7">
        <f t="shared" si="57"/>
        <v>2.6391103955962394E-4</v>
      </c>
      <c r="I600" s="8">
        <f t="shared" si="59"/>
        <v>0.92533347935640431</v>
      </c>
      <c r="J600" s="3" t="s">
        <v>525</v>
      </c>
    </row>
    <row r="601" spans="1:10" x14ac:dyDescent="0.25">
      <c r="A601" s="3" t="s">
        <v>612</v>
      </c>
      <c r="B601" s="3" t="str">
        <f t="shared" si="54"/>
        <v>3</v>
      </c>
      <c r="C601" s="7">
        <f t="shared" si="55"/>
        <v>6.4432989690721648E-4</v>
      </c>
      <c r="D601" s="8">
        <f t="shared" si="58"/>
        <v>0.38659793814432869</v>
      </c>
      <c r="E601" s="4">
        <v>3</v>
      </c>
      <c r="F601" s="5">
        <v>725.63</v>
      </c>
      <c r="G601" s="10">
        <f t="shared" si="56"/>
        <v>2176.89</v>
      </c>
      <c r="H601" s="7">
        <f t="shared" si="57"/>
        <v>2.6373052585267482E-4</v>
      </c>
      <c r="I601" s="8">
        <f t="shared" si="59"/>
        <v>0.92559720988225702</v>
      </c>
      <c r="J601" s="3" t="s">
        <v>525</v>
      </c>
    </row>
    <row r="602" spans="1:10" x14ac:dyDescent="0.25">
      <c r="A602" s="3" t="s">
        <v>613</v>
      </c>
      <c r="B602" s="3" t="str">
        <f t="shared" si="54"/>
        <v>1</v>
      </c>
      <c r="C602" s="7">
        <f t="shared" si="55"/>
        <v>6.4432989690721648E-4</v>
      </c>
      <c r="D602" s="8">
        <f t="shared" si="58"/>
        <v>0.3872422680412359</v>
      </c>
      <c r="E602" s="4">
        <v>3</v>
      </c>
      <c r="F602" s="5">
        <v>725.27</v>
      </c>
      <c r="G602" s="10">
        <f t="shared" si="56"/>
        <v>2175.81</v>
      </c>
      <c r="H602" s="7">
        <f t="shared" si="57"/>
        <v>2.6359968370267146E-4</v>
      </c>
      <c r="I602" s="8">
        <f t="shared" si="59"/>
        <v>0.92586080956595973</v>
      </c>
      <c r="J602" s="3" t="s">
        <v>525</v>
      </c>
    </row>
    <row r="603" spans="1:10" x14ac:dyDescent="0.25">
      <c r="A603" s="3" t="s">
        <v>614</v>
      </c>
      <c r="B603" s="3" t="str">
        <f t="shared" si="54"/>
        <v>3</v>
      </c>
      <c r="C603" s="7">
        <f t="shared" si="55"/>
        <v>6.4432989690721648E-4</v>
      </c>
      <c r="D603" s="8">
        <f t="shared" si="58"/>
        <v>0.38788659793814312</v>
      </c>
      <c r="E603" s="4">
        <v>2</v>
      </c>
      <c r="F603" s="5">
        <v>1071.24</v>
      </c>
      <c r="G603" s="10">
        <f t="shared" si="56"/>
        <v>2142.48</v>
      </c>
      <c r="H603" s="7">
        <f t="shared" si="57"/>
        <v>2.5956174957340004E-4</v>
      </c>
      <c r="I603" s="8">
        <f t="shared" si="59"/>
        <v>0.92612037131553315</v>
      </c>
      <c r="J603" s="3" t="s">
        <v>525</v>
      </c>
    </row>
    <row r="604" spans="1:10" x14ac:dyDescent="0.25">
      <c r="A604" s="3" t="s">
        <v>615</v>
      </c>
      <c r="B604" s="3" t="str">
        <f t="shared" si="54"/>
        <v>7</v>
      </c>
      <c r="C604" s="7">
        <f t="shared" si="55"/>
        <v>6.4432989690721648E-4</v>
      </c>
      <c r="D604" s="8">
        <f t="shared" si="58"/>
        <v>0.38853092783505033</v>
      </c>
      <c r="E604" s="4">
        <v>128</v>
      </c>
      <c r="F604" s="5">
        <v>16.72</v>
      </c>
      <c r="G604" s="10">
        <f t="shared" si="56"/>
        <v>2140.16</v>
      </c>
      <c r="H604" s="7">
        <f t="shared" si="57"/>
        <v>2.5928068125117052E-4</v>
      </c>
      <c r="I604" s="8">
        <f t="shared" si="59"/>
        <v>0.92637965199678429</v>
      </c>
      <c r="J604" s="3" t="s">
        <v>525</v>
      </c>
    </row>
    <row r="605" spans="1:10" x14ac:dyDescent="0.25">
      <c r="A605" s="3" t="s">
        <v>616</v>
      </c>
      <c r="B605" s="3" t="str">
        <f t="shared" si="54"/>
        <v>8</v>
      </c>
      <c r="C605" s="7">
        <f t="shared" si="55"/>
        <v>6.4432989690721648E-4</v>
      </c>
      <c r="D605" s="8">
        <f t="shared" si="58"/>
        <v>0.38917525773195755</v>
      </c>
      <c r="E605" s="4">
        <v>51</v>
      </c>
      <c r="F605" s="5">
        <v>41.75</v>
      </c>
      <c r="G605" s="10">
        <f t="shared" si="56"/>
        <v>2129.25</v>
      </c>
      <c r="H605" s="7">
        <f t="shared" si="57"/>
        <v>2.5795893323585846E-4</v>
      </c>
      <c r="I605" s="8">
        <f t="shared" si="59"/>
        <v>0.92663761093002017</v>
      </c>
      <c r="J605" s="3" t="s">
        <v>525</v>
      </c>
    </row>
    <row r="606" spans="1:10" x14ac:dyDescent="0.25">
      <c r="A606" s="3" t="s">
        <v>617</v>
      </c>
      <c r="B606" s="3" t="str">
        <f t="shared" si="54"/>
        <v>9</v>
      </c>
      <c r="C606" s="7">
        <f t="shared" si="55"/>
        <v>6.4432989690721648E-4</v>
      </c>
      <c r="D606" s="8">
        <f t="shared" si="58"/>
        <v>0.38981958762886476</v>
      </c>
      <c r="E606" s="4">
        <v>6</v>
      </c>
      <c r="F606" s="5">
        <v>354.15</v>
      </c>
      <c r="G606" s="10">
        <f t="shared" si="56"/>
        <v>2124.8999999999996</v>
      </c>
      <c r="H606" s="7">
        <f t="shared" si="57"/>
        <v>2.5743193013167808E-4</v>
      </c>
      <c r="I606" s="8">
        <f t="shared" si="59"/>
        <v>0.9268950428601519</v>
      </c>
      <c r="J606" s="3" t="s">
        <v>525</v>
      </c>
    </row>
    <row r="607" spans="1:10" x14ac:dyDescent="0.25">
      <c r="A607" s="3" t="s">
        <v>618</v>
      </c>
      <c r="B607" s="3" t="str">
        <f t="shared" si="54"/>
        <v>1</v>
      </c>
      <c r="C607" s="7">
        <f t="shared" si="55"/>
        <v>6.4432989690721648E-4</v>
      </c>
      <c r="D607" s="8">
        <f t="shared" si="58"/>
        <v>0.39046391752577198</v>
      </c>
      <c r="E607" s="4">
        <v>3</v>
      </c>
      <c r="F607" s="5">
        <v>704.67</v>
      </c>
      <c r="G607" s="10">
        <f t="shared" si="56"/>
        <v>2114.0099999999998</v>
      </c>
      <c r="H607" s="7">
        <f t="shared" si="57"/>
        <v>2.5611260511914388E-4</v>
      </c>
      <c r="I607" s="8">
        <f t="shared" si="59"/>
        <v>0.92715115546527105</v>
      </c>
      <c r="J607" s="3" t="s">
        <v>525</v>
      </c>
    </row>
    <row r="608" spans="1:10" x14ac:dyDescent="0.25">
      <c r="A608" s="3" t="s">
        <v>619</v>
      </c>
      <c r="B608" s="3" t="str">
        <f t="shared" si="54"/>
        <v>3</v>
      </c>
      <c r="C608" s="7">
        <f t="shared" si="55"/>
        <v>6.4432989690721648E-4</v>
      </c>
      <c r="D608" s="8">
        <f t="shared" si="58"/>
        <v>0.39110824742267919</v>
      </c>
      <c r="E608" s="4">
        <v>2</v>
      </c>
      <c r="F608" s="5">
        <v>1055.4000000000001</v>
      </c>
      <c r="G608" s="10">
        <f t="shared" si="56"/>
        <v>2110.8000000000002</v>
      </c>
      <c r="H608" s="7">
        <f t="shared" si="57"/>
        <v>2.5572371317330049E-4</v>
      </c>
      <c r="I608" s="8">
        <f t="shared" si="59"/>
        <v>0.92740687917844433</v>
      </c>
      <c r="J608" s="3" t="s">
        <v>525</v>
      </c>
    </row>
    <row r="609" spans="1:10" x14ac:dyDescent="0.25">
      <c r="A609" s="3" t="s">
        <v>620</v>
      </c>
      <c r="B609" s="3" t="str">
        <f t="shared" si="54"/>
        <v>1</v>
      </c>
      <c r="C609" s="7">
        <f t="shared" si="55"/>
        <v>6.4432989690721648E-4</v>
      </c>
      <c r="D609" s="8">
        <f t="shared" si="58"/>
        <v>0.3917525773195864</v>
      </c>
      <c r="E609" s="4">
        <v>3</v>
      </c>
      <c r="F609" s="5">
        <v>699.97</v>
      </c>
      <c r="G609" s="10">
        <f t="shared" si="56"/>
        <v>2099.91</v>
      </c>
      <c r="H609" s="7">
        <f t="shared" si="57"/>
        <v>2.5440438816076624E-4</v>
      </c>
      <c r="I609" s="8">
        <f t="shared" si="59"/>
        <v>0.92766128356660504</v>
      </c>
      <c r="J609" s="3" t="s">
        <v>525</v>
      </c>
    </row>
    <row r="610" spans="1:10" x14ac:dyDescent="0.25">
      <c r="A610" s="3" t="s">
        <v>621</v>
      </c>
      <c r="B610" s="3" t="str">
        <f t="shared" si="54"/>
        <v>1</v>
      </c>
      <c r="C610" s="7">
        <f t="shared" si="55"/>
        <v>6.4432989690721648E-4</v>
      </c>
      <c r="D610" s="8">
        <f t="shared" si="58"/>
        <v>0.39239690721649362</v>
      </c>
      <c r="E610" s="4">
        <v>2</v>
      </c>
      <c r="F610" s="5">
        <v>1043.78</v>
      </c>
      <c r="G610" s="10">
        <f t="shared" si="56"/>
        <v>2087.56</v>
      </c>
      <c r="H610" s="7">
        <f t="shared" si="57"/>
        <v>2.5290818394544962E-4</v>
      </c>
      <c r="I610" s="8">
        <f t="shared" si="59"/>
        <v>0.92791419175055045</v>
      </c>
      <c r="J610" s="3" t="s">
        <v>525</v>
      </c>
    </row>
    <row r="611" spans="1:10" x14ac:dyDescent="0.25">
      <c r="A611" s="3" t="s">
        <v>622</v>
      </c>
      <c r="B611" s="3" t="str">
        <f t="shared" si="54"/>
        <v>1</v>
      </c>
      <c r="C611" s="7">
        <f t="shared" si="55"/>
        <v>6.4432989690721648E-4</v>
      </c>
      <c r="D611" s="8">
        <f t="shared" si="58"/>
        <v>0.39304123711340083</v>
      </c>
      <c r="E611" s="4">
        <v>6</v>
      </c>
      <c r="F611" s="5">
        <v>345.62</v>
      </c>
      <c r="G611" s="10">
        <f t="shared" si="56"/>
        <v>2073.7200000000003</v>
      </c>
      <c r="H611" s="7">
        <f t="shared" si="57"/>
        <v>2.5123146602318394E-4</v>
      </c>
      <c r="I611" s="8">
        <f t="shared" si="59"/>
        <v>0.92816542321657369</v>
      </c>
      <c r="J611" s="3" t="s">
        <v>525</v>
      </c>
    </row>
    <row r="612" spans="1:10" x14ac:dyDescent="0.25">
      <c r="A612" s="3" t="s">
        <v>623</v>
      </c>
      <c r="B612" s="3" t="str">
        <f t="shared" si="54"/>
        <v>8</v>
      </c>
      <c r="C612" s="7">
        <f t="shared" si="55"/>
        <v>6.4432989690721648E-4</v>
      </c>
      <c r="D612" s="8">
        <f t="shared" si="58"/>
        <v>0.39368556701030805</v>
      </c>
      <c r="E612" s="4">
        <v>42</v>
      </c>
      <c r="F612" s="5">
        <v>49.34</v>
      </c>
      <c r="G612" s="10">
        <f t="shared" si="56"/>
        <v>2072.2800000000002</v>
      </c>
      <c r="H612" s="7">
        <f t="shared" si="57"/>
        <v>2.5105700982317944E-4</v>
      </c>
      <c r="I612" s="8">
        <f t="shared" si="59"/>
        <v>0.92841648022639689</v>
      </c>
      <c r="J612" s="3" t="s">
        <v>525</v>
      </c>
    </row>
    <row r="613" spans="1:10" x14ac:dyDescent="0.25">
      <c r="A613" s="3" t="s">
        <v>624</v>
      </c>
      <c r="B613" s="3" t="str">
        <f t="shared" si="54"/>
        <v>5</v>
      </c>
      <c r="C613" s="7">
        <f t="shared" si="55"/>
        <v>6.4432989690721648E-4</v>
      </c>
      <c r="D613" s="8">
        <f t="shared" si="58"/>
        <v>0.39432989690721526</v>
      </c>
      <c r="E613" s="4">
        <v>10</v>
      </c>
      <c r="F613" s="5">
        <v>207.07</v>
      </c>
      <c r="G613" s="10">
        <f t="shared" si="56"/>
        <v>2070.6999999999998</v>
      </c>
      <c r="H613" s="7">
        <f t="shared" si="57"/>
        <v>2.5086559260372999E-4</v>
      </c>
      <c r="I613" s="8">
        <f t="shared" si="59"/>
        <v>0.92866734581900057</v>
      </c>
      <c r="J613" s="3" t="s">
        <v>525</v>
      </c>
    </row>
    <row r="614" spans="1:10" x14ac:dyDescent="0.25">
      <c r="A614" s="3" t="s">
        <v>625</v>
      </c>
      <c r="B614" s="3" t="str">
        <f t="shared" si="54"/>
        <v>6</v>
      </c>
      <c r="C614" s="7">
        <f t="shared" si="55"/>
        <v>6.4432989690721648E-4</v>
      </c>
      <c r="D614" s="8">
        <f t="shared" si="58"/>
        <v>0.39497422680412247</v>
      </c>
      <c r="E614" s="4">
        <v>32</v>
      </c>
      <c r="F614" s="5">
        <v>64.59</v>
      </c>
      <c r="G614" s="10">
        <f t="shared" si="56"/>
        <v>2066.88</v>
      </c>
      <c r="H614" s="7">
        <f t="shared" si="57"/>
        <v>2.5040279907316245E-4</v>
      </c>
      <c r="I614" s="8">
        <f t="shared" si="59"/>
        <v>0.92891774861807375</v>
      </c>
      <c r="J614" s="3" t="s">
        <v>525</v>
      </c>
    </row>
    <row r="615" spans="1:10" x14ac:dyDescent="0.25">
      <c r="A615" s="3" t="s">
        <v>626</v>
      </c>
      <c r="B615" s="3" t="str">
        <f t="shared" si="54"/>
        <v>1</v>
      </c>
      <c r="C615" s="7">
        <f t="shared" si="55"/>
        <v>6.4432989690721648E-4</v>
      </c>
      <c r="D615" s="8">
        <f t="shared" si="58"/>
        <v>0.39561855670102969</v>
      </c>
      <c r="E615" s="4">
        <v>4</v>
      </c>
      <c r="F615" s="5">
        <v>513.26</v>
      </c>
      <c r="G615" s="10">
        <f t="shared" si="56"/>
        <v>2053.04</v>
      </c>
      <c r="H615" s="7">
        <f t="shared" si="57"/>
        <v>2.4872608115089672E-4</v>
      </c>
      <c r="I615" s="8">
        <f t="shared" si="59"/>
        <v>0.92916647469922464</v>
      </c>
      <c r="J615" s="3" t="s">
        <v>525</v>
      </c>
    </row>
    <row r="616" spans="1:10" x14ac:dyDescent="0.25">
      <c r="A616" s="3" t="s">
        <v>627</v>
      </c>
      <c r="B616" s="3" t="str">
        <f t="shared" si="54"/>
        <v>1</v>
      </c>
      <c r="C616" s="7">
        <f t="shared" si="55"/>
        <v>6.4432989690721648E-4</v>
      </c>
      <c r="D616" s="8">
        <f t="shared" si="58"/>
        <v>0.3962628865979369</v>
      </c>
      <c r="E616" s="4">
        <v>2</v>
      </c>
      <c r="F616" s="5">
        <v>1025.3900000000001</v>
      </c>
      <c r="G616" s="10">
        <f t="shared" si="56"/>
        <v>2050.7800000000002</v>
      </c>
      <c r="H616" s="7">
        <f t="shared" si="57"/>
        <v>2.4845228183700076E-4</v>
      </c>
      <c r="I616" s="8">
        <f t="shared" si="59"/>
        <v>0.92941492698106165</v>
      </c>
      <c r="J616" s="3" t="s">
        <v>525</v>
      </c>
    </row>
    <row r="617" spans="1:10" x14ac:dyDescent="0.25">
      <c r="A617" s="3" t="s">
        <v>628</v>
      </c>
      <c r="B617" s="3" t="str">
        <f t="shared" si="54"/>
        <v>8</v>
      </c>
      <c r="C617" s="7">
        <f t="shared" si="55"/>
        <v>6.4432989690721648E-4</v>
      </c>
      <c r="D617" s="8">
        <f t="shared" si="58"/>
        <v>0.39690721649484412</v>
      </c>
      <c r="E617" s="4">
        <v>103</v>
      </c>
      <c r="F617" s="5">
        <v>19.8</v>
      </c>
      <c r="G617" s="10">
        <f t="shared" si="56"/>
        <v>2039.4</v>
      </c>
      <c r="H617" s="7">
        <f t="shared" si="57"/>
        <v>2.4707359325640944E-4</v>
      </c>
      <c r="I617" s="8">
        <f t="shared" si="59"/>
        <v>0.92966200057431803</v>
      </c>
      <c r="J617" s="3" t="s">
        <v>525</v>
      </c>
    </row>
    <row r="618" spans="1:10" x14ac:dyDescent="0.25">
      <c r="A618" s="3" t="s">
        <v>629</v>
      </c>
      <c r="B618" s="3" t="str">
        <f t="shared" si="54"/>
        <v>6</v>
      </c>
      <c r="C618" s="7">
        <f t="shared" si="55"/>
        <v>6.4432989690721648E-4</v>
      </c>
      <c r="D618" s="8">
        <f t="shared" si="58"/>
        <v>0.39755154639175133</v>
      </c>
      <c r="E618" s="4">
        <v>24</v>
      </c>
      <c r="F618" s="5">
        <v>84.47</v>
      </c>
      <c r="G618" s="10">
        <f t="shared" si="56"/>
        <v>2027.28</v>
      </c>
      <c r="H618" s="7">
        <f t="shared" si="57"/>
        <v>2.4560525357303798E-4</v>
      </c>
      <c r="I618" s="8">
        <f t="shared" si="59"/>
        <v>0.92990760582789111</v>
      </c>
      <c r="J618" s="3" t="s">
        <v>525</v>
      </c>
    </row>
    <row r="619" spans="1:10" x14ac:dyDescent="0.25">
      <c r="A619" s="3" t="s">
        <v>630</v>
      </c>
      <c r="B619" s="3" t="str">
        <f t="shared" si="54"/>
        <v>4</v>
      </c>
      <c r="C619" s="7">
        <f t="shared" si="55"/>
        <v>6.4432989690721648E-4</v>
      </c>
      <c r="D619" s="8">
        <f t="shared" si="58"/>
        <v>0.39819587628865855</v>
      </c>
      <c r="E619" s="4">
        <v>15</v>
      </c>
      <c r="F619" s="5">
        <v>134.11000000000001</v>
      </c>
      <c r="G619" s="10">
        <f t="shared" si="56"/>
        <v>2011.65</v>
      </c>
      <c r="H619" s="7">
        <f t="shared" si="57"/>
        <v>2.4371167690215553E-4</v>
      </c>
      <c r="I619" s="8">
        <f t="shared" si="59"/>
        <v>0.9301513175047933</v>
      </c>
      <c r="J619" s="3" t="s">
        <v>525</v>
      </c>
    </row>
    <row r="620" spans="1:10" x14ac:dyDescent="0.25">
      <c r="A620" s="3" t="s">
        <v>631</v>
      </c>
      <c r="B620" s="3" t="str">
        <f t="shared" si="54"/>
        <v>4</v>
      </c>
      <c r="C620" s="7">
        <f t="shared" si="55"/>
        <v>6.4432989690721648E-4</v>
      </c>
      <c r="D620" s="8">
        <f t="shared" si="58"/>
        <v>0.39884020618556576</v>
      </c>
      <c r="E620" s="4">
        <v>14</v>
      </c>
      <c r="F620" s="5">
        <v>143.58000000000001</v>
      </c>
      <c r="G620" s="10">
        <f t="shared" si="56"/>
        <v>2010.1200000000001</v>
      </c>
      <c r="H620" s="7">
        <f t="shared" si="57"/>
        <v>2.4352631718965072E-4</v>
      </c>
      <c r="I620" s="8">
        <f t="shared" si="59"/>
        <v>0.9303948438219829</v>
      </c>
      <c r="J620" s="3" t="s">
        <v>525</v>
      </c>
    </row>
    <row r="621" spans="1:10" x14ac:dyDescent="0.25">
      <c r="A621" s="3" t="s">
        <v>632</v>
      </c>
      <c r="B621" s="3" t="str">
        <f t="shared" si="54"/>
        <v>8</v>
      </c>
      <c r="C621" s="7">
        <f t="shared" si="55"/>
        <v>6.4432989690721648E-4</v>
      </c>
      <c r="D621" s="8">
        <f t="shared" si="58"/>
        <v>0.39948453608247297</v>
      </c>
      <c r="E621" s="4">
        <v>87</v>
      </c>
      <c r="F621" s="5">
        <v>23.1</v>
      </c>
      <c r="G621" s="10">
        <f t="shared" si="56"/>
        <v>2009.7</v>
      </c>
      <c r="H621" s="7">
        <f t="shared" si="57"/>
        <v>2.4347543413131607E-4</v>
      </c>
      <c r="I621" s="8">
        <f t="shared" si="59"/>
        <v>0.93063831925611418</v>
      </c>
      <c r="J621" s="3" t="s">
        <v>525</v>
      </c>
    </row>
    <row r="622" spans="1:10" x14ac:dyDescent="0.25">
      <c r="A622" s="3" t="s">
        <v>633</v>
      </c>
      <c r="B622" s="3" t="str">
        <f t="shared" si="54"/>
        <v>8</v>
      </c>
      <c r="C622" s="7">
        <f t="shared" si="55"/>
        <v>6.4432989690721648E-4</v>
      </c>
      <c r="D622" s="8">
        <f t="shared" si="58"/>
        <v>0.40012886597938019</v>
      </c>
      <c r="E622" s="4">
        <v>36</v>
      </c>
      <c r="F622" s="5">
        <v>55.8</v>
      </c>
      <c r="G622" s="10">
        <f t="shared" si="56"/>
        <v>2008.8</v>
      </c>
      <c r="H622" s="7">
        <f t="shared" si="57"/>
        <v>2.4336639900631322E-4</v>
      </c>
      <c r="I622" s="8">
        <f t="shared" si="59"/>
        <v>0.93088168565512053</v>
      </c>
      <c r="J622" s="3" t="s">
        <v>525</v>
      </c>
    </row>
    <row r="623" spans="1:10" x14ac:dyDescent="0.25">
      <c r="A623" s="3" t="s">
        <v>634</v>
      </c>
      <c r="B623" s="3" t="str">
        <f t="shared" si="54"/>
        <v>1</v>
      </c>
      <c r="C623" s="7">
        <f t="shared" si="55"/>
        <v>6.4432989690721648E-4</v>
      </c>
      <c r="D623" s="8">
        <f t="shared" si="58"/>
        <v>0.4007731958762874</v>
      </c>
      <c r="E623" s="4">
        <v>6</v>
      </c>
      <c r="F623" s="5">
        <v>334.79</v>
      </c>
      <c r="G623" s="10">
        <f t="shared" si="56"/>
        <v>2008.7400000000002</v>
      </c>
      <c r="H623" s="7">
        <f t="shared" si="57"/>
        <v>2.4335912999797973E-4</v>
      </c>
      <c r="I623" s="8">
        <f t="shared" si="59"/>
        <v>0.93112504478511848</v>
      </c>
      <c r="J623" s="3" t="s">
        <v>525</v>
      </c>
    </row>
    <row r="624" spans="1:10" x14ac:dyDescent="0.25">
      <c r="A624" s="3" t="s">
        <v>635</v>
      </c>
      <c r="B624" s="3" t="str">
        <f t="shared" si="54"/>
        <v>5</v>
      </c>
      <c r="C624" s="7">
        <f t="shared" si="55"/>
        <v>6.4432989690721648E-4</v>
      </c>
      <c r="D624" s="8">
        <f t="shared" si="58"/>
        <v>0.40141752577319462</v>
      </c>
      <c r="E624" s="4">
        <v>38</v>
      </c>
      <c r="F624" s="5">
        <v>52.7</v>
      </c>
      <c r="G624" s="10">
        <f t="shared" si="56"/>
        <v>2002.6000000000001</v>
      </c>
      <c r="H624" s="7">
        <f t="shared" si="57"/>
        <v>2.4261526814518266E-4</v>
      </c>
      <c r="I624" s="8">
        <f t="shared" si="59"/>
        <v>0.93136766005326366</v>
      </c>
      <c r="J624" s="3" t="s">
        <v>525</v>
      </c>
    </row>
    <row r="625" spans="1:10" x14ac:dyDescent="0.25">
      <c r="A625" s="3" t="s">
        <v>636</v>
      </c>
      <c r="B625" s="3" t="str">
        <f t="shared" si="54"/>
        <v>9</v>
      </c>
      <c r="C625" s="7">
        <f t="shared" si="55"/>
        <v>6.4432989690721648E-4</v>
      </c>
      <c r="D625" s="8">
        <f t="shared" si="58"/>
        <v>0.40206185567010183</v>
      </c>
      <c r="E625" s="4">
        <v>26</v>
      </c>
      <c r="F625" s="5">
        <v>76.930000000000007</v>
      </c>
      <c r="G625" s="10">
        <f t="shared" si="56"/>
        <v>2000.1800000000003</v>
      </c>
      <c r="H625" s="7">
        <f t="shared" si="57"/>
        <v>2.4232208480906396E-4</v>
      </c>
      <c r="I625" s="8">
        <f t="shared" si="59"/>
        <v>0.93160998213807267</v>
      </c>
      <c r="J625" s="3" t="s">
        <v>525</v>
      </c>
    </row>
    <row r="626" spans="1:10" x14ac:dyDescent="0.25">
      <c r="A626" s="3" t="s">
        <v>637</v>
      </c>
      <c r="B626" s="3" t="str">
        <f t="shared" si="54"/>
        <v>4</v>
      </c>
      <c r="C626" s="7">
        <f t="shared" si="55"/>
        <v>6.4432989690721648E-4</v>
      </c>
      <c r="D626" s="8">
        <f t="shared" si="58"/>
        <v>0.40270618556700905</v>
      </c>
      <c r="E626" s="4">
        <v>15</v>
      </c>
      <c r="F626" s="5">
        <v>132.63</v>
      </c>
      <c r="G626" s="10">
        <f t="shared" si="56"/>
        <v>1989.4499999999998</v>
      </c>
      <c r="H626" s="7">
        <f t="shared" si="57"/>
        <v>2.410221438187524E-4</v>
      </c>
      <c r="I626" s="8">
        <f t="shared" si="59"/>
        <v>0.93185100428189138</v>
      </c>
      <c r="J626" s="3" t="s">
        <v>525</v>
      </c>
    </row>
    <row r="627" spans="1:10" x14ac:dyDescent="0.25">
      <c r="A627" s="3" t="s">
        <v>638</v>
      </c>
      <c r="B627" s="3" t="str">
        <f t="shared" si="54"/>
        <v>4</v>
      </c>
      <c r="C627" s="7">
        <f t="shared" si="55"/>
        <v>6.4432989690721648E-4</v>
      </c>
      <c r="D627" s="8">
        <f t="shared" si="58"/>
        <v>0.40335051546391626</v>
      </c>
      <c r="E627" s="4">
        <v>4</v>
      </c>
      <c r="F627" s="5">
        <v>496.65</v>
      </c>
      <c r="G627" s="10">
        <f t="shared" si="56"/>
        <v>1986.6</v>
      </c>
      <c r="H627" s="7">
        <f t="shared" si="57"/>
        <v>2.4067686592291012E-4</v>
      </c>
      <c r="I627" s="8">
        <f t="shared" si="59"/>
        <v>0.93209168114781427</v>
      </c>
      <c r="J627" s="3" t="s">
        <v>525</v>
      </c>
    </row>
    <row r="628" spans="1:10" x14ac:dyDescent="0.25">
      <c r="A628" s="3" t="s">
        <v>639</v>
      </c>
      <c r="B628" s="3" t="str">
        <f t="shared" si="54"/>
        <v>1</v>
      </c>
      <c r="C628" s="7">
        <f t="shared" si="55"/>
        <v>6.4432989690721648E-4</v>
      </c>
      <c r="D628" s="8">
        <f t="shared" si="58"/>
        <v>0.40399484536082347</v>
      </c>
      <c r="E628" s="4">
        <v>6</v>
      </c>
      <c r="F628" s="5">
        <v>329.41</v>
      </c>
      <c r="G628" s="10">
        <f t="shared" si="56"/>
        <v>1976.46</v>
      </c>
      <c r="H628" s="7">
        <f t="shared" si="57"/>
        <v>2.3944840351454493E-4</v>
      </c>
      <c r="I628" s="8">
        <f t="shared" si="59"/>
        <v>0.9323311295513288</v>
      </c>
      <c r="J628" s="3" t="s">
        <v>525</v>
      </c>
    </row>
    <row r="629" spans="1:10" x14ac:dyDescent="0.25">
      <c r="A629" s="3" t="s">
        <v>640</v>
      </c>
      <c r="B629" s="3" t="str">
        <f t="shared" si="54"/>
        <v>4</v>
      </c>
      <c r="C629" s="7">
        <f t="shared" si="55"/>
        <v>6.4432989690721648E-4</v>
      </c>
      <c r="D629" s="8">
        <f t="shared" si="58"/>
        <v>0.40463917525773069</v>
      </c>
      <c r="E629" s="4">
        <v>7</v>
      </c>
      <c r="F629" s="5">
        <v>281.91000000000003</v>
      </c>
      <c r="G629" s="10">
        <f t="shared" si="56"/>
        <v>1973.3700000000001</v>
      </c>
      <c r="H629" s="7">
        <f t="shared" si="57"/>
        <v>2.3907404958536856E-4</v>
      </c>
      <c r="I629" s="8">
        <f t="shared" si="59"/>
        <v>0.93257020360091414</v>
      </c>
      <c r="J629" s="3" t="s">
        <v>525</v>
      </c>
    </row>
    <row r="630" spans="1:10" x14ac:dyDescent="0.25">
      <c r="A630" s="3" t="s">
        <v>641</v>
      </c>
      <c r="B630" s="3" t="str">
        <f t="shared" si="54"/>
        <v>1</v>
      </c>
      <c r="C630" s="7">
        <f t="shared" si="55"/>
        <v>6.4432989690721648E-4</v>
      </c>
      <c r="D630" s="8">
        <f t="shared" si="58"/>
        <v>0.4052835051546379</v>
      </c>
      <c r="E630" s="4">
        <v>4</v>
      </c>
      <c r="F630" s="5">
        <v>492.91</v>
      </c>
      <c r="G630" s="10">
        <f t="shared" si="56"/>
        <v>1971.64</v>
      </c>
      <c r="H630" s="7">
        <f t="shared" si="57"/>
        <v>2.3886445984508536E-4</v>
      </c>
      <c r="I630" s="8">
        <f t="shared" si="59"/>
        <v>0.93280906806075925</v>
      </c>
      <c r="J630" s="3" t="s">
        <v>525</v>
      </c>
    </row>
    <row r="631" spans="1:10" x14ac:dyDescent="0.25">
      <c r="A631" s="3" t="s">
        <v>642</v>
      </c>
      <c r="B631" s="3" t="str">
        <f t="shared" si="54"/>
        <v>8</v>
      </c>
      <c r="C631" s="7">
        <f t="shared" si="55"/>
        <v>6.4432989690721648E-4</v>
      </c>
      <c r="D631" s="8">
        <f t="shared" si="58"/>
        <v>0.40592783505154512</v>
      </c>
      <c r="E631" s="4">
        <v>67</v>
      </c>
      <c r="F631" s="5">
        <v>29.34</v>
      </c>
      <c r="G631" s="10">
        <f t="shared" si="56"/>
        <v>1965.78</v>
      </c>
      <c r="H631" s="7">
        <f t="shared" si="57"/>
        <v>2.3815452003117803E-4</v>
      </c>
      <c r="I631" s="8">
        <f t="shared" si="59"/>
        <v>0.93304722258079043</v>
      </c>
      <c r="J631" s="3" t="s">
        <v>525</v>
      </c>
    </row>
    <row r="632" spans="1:10" x14ac:dyDescent="0.25">
      <c r="A632" s="3" t="s">
        <v>643</v>
      </c>
      <c r="B632" s="3" t="str">
        <f t="shared" si="54"/>
        <v>9</v>
      </c>
      <c r="C632" s="7">
        <f t="shared" si="55"/>
        <v>6.4432989690721648E-4</v>
      </c>
      <c r="D632" s="8">
        <f t="shared" si="58"/>
        <v>0.40657216494845233</v>
      </c>
      <c r="E632" s="4">
        <v>7</v>
      </c>
      <c r="F632" s="5">
        <v>280.68</v>
      </c>
      <c r="G632" s="10">
        <f t="shared" si="56"/>
        <v>1964.76</v>
      </c>
      <c r="H632" s="7">
        <f t="shared" si="57"/>
        <v>2.3803094688950815E-4</v>
      </c>
      <c r="I632" s="8">
        <f t="shared" si="59"/>
        <v>0.93328525352767988</v>
      </c>
      <c r="J632" s="3" t="s">
        <v>525</v>
      </c>
    </row>
    <row r="633" spans="1:10" x14ac:dyDescent="0.25">
      <c r="A633" s="3" t="s">
        <v>644</v>
      </c>
      <c r="B633" s="3" t="str">
        <f t="shared" si="54"/>
        <v>1</v>
      </c>
      <c r="C633" s="7">
        <f t="shared" si="55"/>
        <v>6.4432989690721648E-4</v>
      </c>
      <c r="D633" s="8">
        <f t="shared" si="58"/>
        <v>0.40721649484535954</v>
      </c>
      <c r="E633" s="4">
        <v>5</v>
      </c>
      <c r="F633" s="5">
        <v>390.5</v>
      </c>
      <c r="G633" s="10">
        <f t="shared" si="56"/>
        <v>1952.5</v>
      </c>
      <c r="H633" s="7">
        <f t="shared" si="57"/>
        <v>2.3654564618669186E-4</v>
      </c>
      <c r="I633" s="8">
        <f t="shared" si="59"/>
        <v>0.93352179917386657</v>
      </c>
      <c r="J633" s="3" t="s">
        <v>525</v>
      </c>
    </row>
    <row r="634" spans="1:10" x14ac:dyDescent="0.25">
      <c r="A634" s="3" t="s">
        <v>645</v>
      </c>
      <c r="B634" s="3" t="str">
        <f t="shared" si="54"/>
        <v>1</v>
      </c>
      <c r="C634" s="7">
        <f t="shared" si="55"/>
        <v>6.4432989690721648E-4</v>
      </c>
      <c r="D634" s="8">
        <f t="shared" si="58"/>
        <v>0.40786082474226676</v>
      </c>
      <c r="E634" s="4">
        <v>4</v>
      </c>
      <c r="F634" s="5">
        <v>487.65</v>
      </c>
      <c r="G634" s="10">
        <f t="shared" si="56"/>
        <v>1950.6</v>
      </c>
      <c r="H634" s="7">
        <f t="shared" si="57"/>
        <v>2.3631546092279699E-4</v>
      </c>
      <c r="I634" s="8">
        <f t="shared" si="59"/>
        <v>0.93375811463478942</v>
      </c>
      <c r="J634" s="3" t="s">
        <v>525</v>
      </c>
    </row>
    <row r="635" spans="1:10" x14ac:dyDescent="0.25">
      <c r="A635" s="3" t="s">
        <v>646</v>
      </c>
      <c r="B635" s="3" t="str">
        <f t="shared" si="54"/>
        <v>5</v>
      </c>
      <c r="C635" s="7">
        <f t="shared" si="55"/>
        <v>6.4432989690721648E-4</v>
      </c>
      <c r="D635" s="8">
        <f t="shared" si="58"/>
        <v>0.40850515463917397</v>
      </c>
      <c r="E635" s="4">
        <v>10</v>
      </c>
      <c r="F635" s="5">
        <v>194.87</v>
      </c>
      <c r="G635" s="10">
        <f t="shared" si="56"/>
        <v>1948.7</v>
      </c>
      <c r="H635" s="7">
        <f t="shared" si="57"/>
        <v>2.3608527565890214E-4</v>
      </c>
      <c r="I635" s="8">
        <f t="shared" si="59"/>
        <v>0.9339941999104483</v>
      </c>
      <c r="J635" s="3" t="s">
        <v>525</v>
      </c>
    </row>
    <row r="636" spans="1:10" x14ac:dyDescent="0.25">
      <c r="A636" s="3" t="s">
        <v>647</v>
      </c>
      <c r="B636" s="3" t="str">
        <f t="shared" si="54"/>
        <v>9</v>
      </c>
      <c r="C636" s="7">
        <f t="shared" si="55"/>
        <v>6.4432989690721648E-4</v>
      </c>
      <c r="D636" s="8">
        <f t="shared" si="58"/>
        <v>0.40914948453608119</v>
      </c>
      <c r="E636" s="4">
        <v>5</v>
      </c>
      <c r="F636" s="5">
        <v>389.02</v>
      </c>
      <c r="G636" s="10">
        <f t="shared" si="56"/>
        <v>1945.1</v>
      </c>
      <c r="H636" s="7">
        <f t="shared" si="57"/>
        <v>2.356491351588908E-4</v>
      </c>
      <c r="I636" s="8">
        <f t="shared" si="59"/>
        <v>0.93422984904560724</v>
      </c>
      <c r="J636" s="3" t="s">
        <v>525</v>
      </c>
    </row>
    <row r="637" spans="1:10" x14ac:dyDescent="0.25">
      <c r="A637" s="3" t="s">
        <v>648</v>
      </c>
      <c r="B637" s="3" t="str">
        <f t="shared" si="54"/>
        <v>3</v>
      </c>
      <c r="C637" s="7">
        <f t="shared" si="55"/>
        <v>6.4432989690721648E-4</v>
      </c>
      <c r="D637" s="8">
        <f t="shared" si="58"/>
        <v>0.4097938144329884</v>
      </c>
      <c r="E637" s="4">
        <v>6</v>
      </c>
      <c r="F637" s="5">
        <v>321.5</v>
      </c>
      <c r="G637" s="10">
        <f t="shared" si="56"/>
        <v>1929</v>
      </c>
      <c r="H637" s="7">
        <f t="shared" si="57"/>
        <v>2.3369861792272911E-4</v>
      </c>
      <c r="I637" s="8">
        <f t="shared" si="59"/>
        <v>0.93446354766353001</v>
      </c>
      <c r="J637" s="3" t="s">
        <v>525</v>
      </c>
    </row>
    <row r="638" spans="1:10" x14ac:dyDescent="0.25">
      <c r="A638" s="3" t="s">
        <v>649</v>
      </c>
      <c r="B638" s="3" t="str">
        <f t="shared" si="54"/>
        <v>4</v>
      </c>
      <c r="C638" s="7">
        <f t="shared" si="55"/>
        <v>6.4432989690721648E-4</v>
      </c>
      <c r="D638" s="8">
        <f t="shared" si="58"/>
        <v>0.41043814432989562</v>
      </c>
      <c r="E638" s="4">
        <v>10</v>
      </c>
      <c r="F638" s="5">
        <v>191.78</v>
      </c>
      <c r="G638" s="10">
        <f t="shared" si="56"/>
        <v>1917.8</v>
      </c>
      <c r="H638" s="7">
        <f t="shared" si="57"/>
        <v>2.3234173636713836E-4</v>
      </c>
      <c r="I638" s="8">
        <f t="shared" si="59"/>
        <v>0.93469588939989712</v>
      </c>
      <c r="J638" s="3" t="s">
        <v>525</v>
      </c>
    </row>
    <row r="639" spans="1:10" x14ac:dyDescent="0.25">
      <c r="A639" s="3" t="s">
        <v>650</v>
      </c>
      <c r="B639" s="3" t="str">
        <f t="shared" si="54"/>
        <v>1</v>
      </c>
      <c r="C639" s="7">
        <f t="shared" si="55"/>
        <v>6.4432989690721648E-4</v>
      </c>
      <c r="D639" s="8">
        <f t="shared" si="58"/>
        <v>0.41108247422680283</v>
      </c>
      <c r="E639" s="4">
        <v>5</v>
      </c>
      <c r="F639" s="5">
        <v>382.82</v>
      </c>
      <c r="G639" s="10">
        <f t="shared" si="56"/>
        <v>1914.1</v>
      </c>
      <c r="H639" s="7">
        <f t="shared" si="57"/>
        <v>2.3189348085323781E-4</v>
      </c>
      <c r="I639" s="8">
        <f t="shared" si="59"/>
        <v>0.9349277828807504</v>
      </c>
      <c r="J639" s="3" t="s">
        <v>525</v>
      </c>
    </row>
    <row r="640" spans="1:10" x14ac:dyDescent="0.25">
      <c r="A640" s="3" t="s">
        <v>651</v>
      </c>
      <c r="B640" s="3" t="str">
        <f t="shared" si="54"/>
        <v>7</v>
      </c>
      <c r="C640" s="7">
        <f t="shared" si="55"/>
        <v>6.4432989690721648E-4</v>
      </c>
      <c r="D640" s="8">
        <f t="shared" si="58"/>
        <v>0.41172680412371004</v>
      </c>
      <c r="E640" s="4">
        <v>17</v>
      </c>
      <c r="F640" s="5">
        <v>112.48</v>
      </c>
      <c r="G640" s="10">
        <f t="shared" si="56"/>
        <v>1912.16</v>
      </c>
      <c r="H640" s="7">
        <f t="shared" si="57"/>
        <v>2.3165844958378731E-4</v>
      </c>
      <c r="I640" s="8">
        <f t="shared" si="59"/>
        <v>0.93515944133033424</v>
      </c>
      <c r="J640" s="3" t="s">
        <v>525</v>
      </c>
    </row>
    <row r="641" spans="1:10" x14ac:dyDescent="0.25">
      <c r="A641" s="3" t="s">
        <v>652</v>
      </c>
      <c r="B641" s="3" t="str">
        <f t="shared" si="54"/>
        <v>1</v>
      </c>
      <c r="C641" s="7">
        <f t="shared" si="55"/>
        <v>6.4432989690721648E-4</v>
      </c>
      <c r="D641" s="8">
        <f t="shared" si="58"/>
        <v>0.41237113402061726</v>
      </c>
      <c r="E641" s="4">
        <v>5</v>
      </c>
      <c r="F641" s="5">
        <v>381.65</v>
      </c>
      <c r="G641" s="10">
        <f t="shared" si="56"/>
        <v>1908.25</v>
      </c>
      <c r="H641" s="7">
        <f t="shared" si="57"/>
        <v>2.3118475254071944E-4</v>
      </c>
      <c r="I641" s="8">
        <f t="shared" si="59"/>
        <v>0.93539062608287493</v>
      </c>
      <c r="J641" s="3" t="s">
        <v>525</v>
      </c>
    </row>
    <row r="642" spans="1:10" x14ac:dyDescent="0.25">
      <c r="A642" s="3" t="s">
        <v>653</v>
      </c>
      <c r="B642" s="3" t="str">
        <f t="shared" ref="B642:B705" si="60">RIGHT(A642,1)</f>
        <v>8</v>
      </c>
      <c r="C642" s="7">
        <f t="shared" ref="C642:C705" si="61">1/COUNTA(A$2:A$1553)</f>
        <v>6.4432989690721648E-4</v>
      </c>
      <c r="D642" s="8">
        <f t="shared" si="58"/>
        <v>0.41301546391752447</v>
      </c>
      <c r="E642" s="4">
        <v>67</v>
      </c>
      <c r="F642" s="5">
        <v>28.42</v>
      </c>
      <c r="G642" s="10">
        <f t="shared" ref="G642:G705" si="62">E642*F642</f>
        <v>1904.14</v>
      </c>
      <c r="H642" s="7">
        <f t="shared" ref="H642:H705" si="63">G642/SUM(G$2:G$1553)</f>
        <v>2.3068682546987322E-4</v>
      </c>
      <c r="I642" s="8">
        <f t="shared" si="59"/>
        <v>0.93562131290834483</v>
      </c>
      <c r="J642" s="3" t="s">
        <v>525</v>
      </c>
    </row>
    <row r="643" spans="1:10" x14ac:dyDescent="0.25">
      <c r="A643" s="3" t="s">
        <v>654</v>
      </c>
      <c r="B643" s="3" t="str">
        <f t="shared" si="60"/>
        <v>3</v>
      </c>
      <c r="C643" s="7">
        <f t="shared" si="61"/>
        <v>6.4432989690721648E-4</v>
      </c>
      <c r="D643" s="8">
        <f t="shared" ref="D643:D706" si="64">D642+C643</f>
        <v>0.41365979381443169</v>
      </c>
      <c r="E643" s="4">
        <v>3</v>
      </c>
      <c r="F643" s="5">
        <v>633.63</v>
      </c>
      <c r="G643" s="10">
        <f t="shared" si="62"/>
        <v>1900.8899999999999</v>
      </c>
      <c r="H643" s="7">
        <f t="shared" si="63"/>
        <v>2.3029308751847409E-4</v>
      </c>
      <c r="I643" s="8">
        <f t="shared" ref="I643:I706" si="65">I642+H643</f>
        <v>0.93585160599586326</v>
      </c>
      <c r="J643" s="3" t="s">
        <v>525</v>
      </c>
    </row>
    <row r="644" spans="1:10" x14ac:dyDescent="0.25">
      <c r="A644" s="3" t="s">
        <v>655</v>
      </c>
      <c r="B644" s="3" t="str">
        <f t="shared" si="60"/>
        <v>1</v>
      </c>
      <c r="C644" s="7">
        <f t="shared" si="61"/>
        <v>6.4432989690721648E-4</v>
      </c>
      <c r="D644" s="8">
        <f t="shared" si="64"/>
        <v>0.4143041237113389</v>
      </c>
      <c r="E644" s="4">
        <v>2</v>
      </c>
      <c r="F644" s="5">
        <v>950.3</v>
      </c>
      <c r="G644" s="10">
        <f t="shared" si="62"/>
        <v>1900.6</v>
      </c>
      <c r="H644" s="7">
        <f t="shared" si="63"/>
        <v>2.3025795397819539E-4</v>
      </c>
      <c r="I644" s="8">
        <f t="shared" si="65"/>
        <v>0.9360818639498415</v>
      </c>
      <c r="J644" s="3" t="s">
        <v>525</v>
      </c>
    </row>
    <row r="645" spans="1:10" x14ac:dyDescent="0.25">
      <c r="A645" s="3" t="s">
        <v>656</v>
      </c>
      <c r="B645" s="3" t="str">
        <f t="shared" si="60"/>
        <v>9</v>
      </c>
      <c r="C645" s="7">
        <f t="shared" si="61"/>
        <v>6.4432989690721648E-4</v>
      </c>
      <c r="D645" s="8">
        <f t="shared" si="64"/>
        <v>0.41494845360824612</v>
      </c>
      <c r="E645" s="4">
        <v>5</v>
      </c>
      <c r="F645" s="5">
        <v>378.99</v>
      </c>
      <c r="G645" s="10">
        <f t="shared" si="62"/>
        <v>1894.95</v>
      </c>
      <c r="H645" s="7">
        <f t="shared" si="63"/>
        <v>2.2957345569345544E-4</v>
      </c>
      <c r="I645" s="8">
        <f t="shared" si="65"/>
        <v>0.93631143740553491</v>
      </c>
      <c r="J645" s="3" t="s">
        <v>525</v>
      </c>
    </row>
    <row r="646" spans="1:10" x14ac:dyDescent="0.25">
      <c r="A646" s="3" t="s">
        <v>657</v>
      </c>
      <c r="B646" s="3" t="str">
        <f t="shared" si="60"/>
        <v>4</v>
      </c>
      <c r="C646" s="7">
        <f t="shared" si="61"/>
        <v>6.4432989690721648E-4</v>
      </c>
      <c r="D646" s="8">
        <f t="shared" si="64"/>
        <v>0.41559278350515333</v>
      </c>
      <c r="E646" s="4">
        <v>10</v>
      </c>
      <c r="F646" s="5">
        <v>188.76</v>
      </c>
      <c r="G646" s="10">
        <f t="shared" si="62"/>
        <v>1887.6</v>
      </c>
      <c r="H646" s="7">
        <f t="shared" si="63"/>
        <v>2.2868300217259899E-4</v>
      </c>
      <c r="I646" s="8">
        <f t="shared" si="65"/>
        <v>0.93654012040770751</v>
      </c>
      <c r="J646" s="3" t="s">
        <v>525</v>
      </c>
    </row>
    <row r="647" spans="1:10" x14ac:dyDescent="0.25">
      <c r="A647" s="3" t="s">
        <v>658</v>
      </c>
      <c r="B647" s="3" t="str">
        <f t="shared" si="60"/>
        <v>1</v>
      </c>
      <c r="C647" s="7">
        <f t="shared" si="61"/>
        <v>6.4432989690721648E-4</v>
      </c>
      <c r="D647" s="8">
        <f t="shared" si="64"/>
        <v>0.41623711340206054</v>
      </c>
      <c r="E647" s="4">
        <v>4</v>
      </c>
      <c r="F647" s="5">
        <v>470.49</v>
      </c>
      <c r="G647" s="10">
        <f t="shared" si="62"/>
        <v>1881.96</v>
      </c>
      <c r="H647" s="7">
        <f t="shared" si="63"/>
        <v>2.2799971538924795E-4</v>
      </c>
      <c r="I647" s="8">
        <f t="shared" si="65"/>
        <v>0.93676812012309674</v>
      </c>
      <c r="J647" s="3" t="s">
        <v>525</v>
      </c>
    </row>
    <row r="648" spans="1:10" x14ac:dyDescent="0.25">
      <c r="A648" s="3" t="s">
        <v>659</v>
      </c>
      <c r="B648" s="3" t="str">
        <f t="shared" si="60"/>
        <v>1</v>
      </c>
      <c r="C648" s="7">
        <f t="shared" si="61"/>
        <v>6.4432989690721648E-4</v>
      </c>
      <c r="D648" s="8">
        <f t="shared" si="64"/>
        <v>0.41688144329896776</v>
      </c>
      <c r="E648" s="4">
        <v>4</v>
      </c>
      <c r="F648" s="5">
        <v>470.18</v>
      </c>
      <c r="G648" s="10">
        <f t="shared" si="62"/>
        <v>1880.72</v>
      </c>
      <c r="H648" s="7">
        <f t="shared" si="63"/>
        <v>2.2784948921702181E-4</v>
      </c>
      <c r="I648" s="8">
        <f t="shared" si="65"/>
        <v>0.93699596961231379</v>
      </c>
      <c r="J648" s="3" t="s">
        <v>525</v>
      </c>
    </row>
    <row r="649" spans="1:10" x14ac:dyDescent="0.25">
      <c r="A649" s="3" t="s">
        <v>660</v>
      </c>
      <c r="B649" s="3" t="str">
        <f t="shared" si="60"/>
        <v>2</v>
      </c>
      <c r="C649" s="7">
        <f t="shared" si="61"/>
        <v>6.4432989690721648E-4</v>
      </c>
      <c r="D649" s="8">
        <f t="shared" si="64"/>
        <v>0.41752577319587497</v>
      </c>
      <c r="E649" s="4">
        <v>30</v>
      </c>
      <c r="F649" s="5">
        <v>62.53</v>
      </c>
      <c r="G649" s="10">
        <f t="shared" si="62"/>
        <v>1875.9</v>
      </c>
      <c r="H649" s="7">
        <f t="shared" si="63"/>
        <v>2.2726554554756224E-4</v>
      </c>
      <c r="I649" s="8">
        <f t="shared" si="65"/>
        <v>0.93722323515786132</v>
      </c>
      <c r="J649" s="3" t="s">
        <v>525</v>
      </c>
    </row>
    <row r="650" spans="1:10" x14ac:dyDescent="0.25">
      <c r="A650" s="3" t="s">
        <v>661</v>
      </c>
      <c r="B650" s="3" t="str">
        <f t="shared" si="60"/>
        <v>7</v>
      </c>
      <c r="C650" s="7">
        <f t="shared" si="61"/>
        <v>6.4432989690721648E-4</v>
      </c>
      <c r="D650" s="8">
        <f t="shared" si="64"/>
        <v>0.41817010309278219</v>
      </c>
      <c r="E650" s="4">
        <v>104</v>
      </c>
      <c r="F650" s="5">
        <v>17.920000000000002</v>
      </c>
      <c r="G650" s="10">
        <f t="shared" si="62"/>
        <v>1863.6800000000003</v>
      </c>
      <c r="H650" s="7">
        <f t="shared" si="63"/>
        <v>2.2578509085030164E-4</v>
      </c>
      <c r="I650" s="8">
        <f t="shared" si="65"/>
        <v>0.93744902024871157</v>
      </c>
      <c r="J650" s="3" t="s">
        <v>525</v>
      </c>
    </row>
    <row r="651" spans="1:10" x14ac:dyDescent="0.25">
      <c r="A651" s="3" t="s">
        <v>662</v>
      </c>
      <c r="B651" s="3" t="str">
        <f t="shared" si="60"/>
        <v>8</v>
      </c>
      <c r="C651" s="7">
        <f t="shared" si="61"/>
        <v>6.4432989690721648E-4</v>
      </c>
      <c r="D651" s="8">
        <f t="shared" si="64"/>
        <v>0.4188144329896894</v>
      </c>
      <c r="E651" s="4">
        <v>51</v>
      </c>
      <c r="F651" s="5">
        <v>36.51</v>
      </c>
      <c r="G651" s="10">
        <f t="shared" si="62"/>
        <v>1862.01</v>
      </c>
      <c r="H651" s="7">
        <f t="shared" si="63"/>
        <v>2.255827701183519E-4</v>
      </c>
      <c r="I651" s="8">
        <f t="shared" si="65"/>
        <v>0.93767460301882988</v>
      </c>
      <c r="J651" s="3" t="s">
        <v>525</v>
      </c>
    </row>
    <row r="652" spans="1:10" x14ac:dyDescent="0.25">
      <c r="A652" s="3" t="s">
        <v>663</v>
      </c>
      <c r="B652" s="3" t="str">
        <f t="shared" si="60"/>
        <v>4</v>
      </c>
      <c r="C652" s="7">
        <f t="shared" si="61"/>
        <v>6.4432989690721648E-4</v>
      </c>
      <c r="D652" s="8">
        <f t="shared" si="64"/>
        <v>0.41945876288659661</v>
      </c>
      <c r="E652" s="4">
        <v>14</v>
      </c>
      <c r="F652" s="5">
        <v>132.91</v>
      </c>
      <c r="G652" s="10">
        <f t="shared" si="62"/>
        <v>1860.74</v>
      </c>
      <c r="H652" s="7">
        <f t="shared" si="63"/>
        <v>2.2542890944195903E-4</v>
      </c>
      <c r="I652" s="8">
        <f t="shared" si="65"/>
        <v>0.93790003192827187</v>
      </c>
      <c r="J652" s="3" t="s">
        <v>525</v>
      </c>
    </row>
    <row r="653" spans="1:10" x14ac:dyDescent="0.25">
      <c r="A653" s="3" t="s">
        <v>664</v>
      </c>
      <c r="B653" s="3" t="str">
        <f t="shared" si="60"/>
        <v>4</v>
      </c>
      <c r="C653" s="7">
        <f t="shared" si="61"/>
        <v>6.4432989690721648E-4</v>
      </c>
      <c r="D653" s="8">
        <f t="shared" si="64"/>
        <v>0.42010309278350383</v>
      </c>
      <c r="E653" s="4">
        <v>6</v>
      </c>
      <c r="F653" s="5">
        <v>309.56</v>
      </c>
      <c r="G653" s="10">
        <f t="shared" si="62"/>
        <v>1857.3600000000001</v>
      </c>
      <c r="H653" s="7">
        <f t="shared" si="63"/>
        <v>2.2501942197250397E-4</v>
      </c>
      <c r="I653" s="8">
        <f t="shared" si="65"/>
        <v>0.93812505135024438</v>
      </c>
      <c r="J653" s="3" t="s">
        <v>525</v>
      </c>
    </row>
    <row r="654" spans="1:10" x14ac:dyDescent="0.25">
      <c r="A654" s="3" t="s">
        <v>665</v>
      </c>
      <c r="B654" s="3" t="str">
        <f t="shared" si="60"/>
        <v>8</v>
      </c>
      <c r="C654" s="7">
        <f t="shared" si="61"/>
        <v>6.4432989690721648E-4</v>
      </c>
      <c r="D654" s="8">
        <f t="shared" si="64"/>
        <v>0.42074742268041104</v>
      </c>
      <c r="E654" s="4">
        <v>89</v>
      </c>
      <c r="F654" s="5">
        <v>20.85</v>
      </c>
      <c r="G654" s="10">
        <f t="shared" si="62"/>
        <v>1855.65</v>
      </c>
      <c r="H654" s="7">
        <f t="shared" si="63"/>
        <v>2.248122552349986E-4</v>
      </c>
      <c r="I654" s="8">
        <f t="shared" si="65"/>
        <v>0.93834986360547934</v>
      </c>
      <c r="J654" s="3" t="s">
        <v>525</v>
      </c>
    </row>
    <row r="655" spans="1:10" x14ac:dyDescent="0.25">
      <c r="A655" s="3" t="s">
        <v>666</v>
      </c>
      <c r="B655" s="3" t="str">
        <f t="shared" si="60"/>
        <v>1</v>
      </c>
      <c r="C655" s="7">
        <f t="shared" si="61"/>
        <v>6.4432989690721648E-4</v>
      </c>
      <c r="D655" s="8">
        <f t="shared" si="64"/>
        <v>0.42139175257731826</v>
      </c>
      <c r="E655" s="4">
        <v>2</v>
      </c>
      <c r="F655" s="5">
        <v>924.99</v>
      </c>
      <c r="G655" s="10">
        <f t="shared" si="62"/>
        <v>1849.98</v>
      </c>
      <c r="H655" s="7">
        <f t="shared" si="63"/>
        <v>2.2412533394748077E-4</v>
      </c>
      <c r="I655" s="8">
        <f t="shared" si="65"/>
        <v>0.93857398893942678</v>
      </c>
      <c r="J655" s="3" t="s">
        <v>525</v>
      </c>
    </row>
    <row r="656" spans="1:10" x14ac:dyDescent="0.25">
      <c r="A656" s="3" t="s">
        <v>667</v>
      </c>
      <c r="B656" s="3" t="str">
        <f t="shared" si="60"/>
        <v>4</v>
      </c>
      <c r="C656" s="7">
        <f t="shared" si="61"/>
        <v>6.4432989690721648E-4</v>
      </c>
      <c r="D656" s="8">
        <f t="shared" si="64"/>
        <v>0.42203608247422547</v>
      </c>
      <c r="E656" s="4">
        <v>8</v>
      </c>
      <c r="F656" s="5">
        <v>231.15</v>
      </c>
      <c r="G656" s="10">
        <f t="shared" si="62"/>
        <v>1849.2</v>
      </c>
      <c r="H656" s="7">
        <f t="shared" si="63"/>
        <v>2.24030836839145E-4</v>
      </c>
      <c r="I656" s="8">
        <f t="shared" si="65"/>
        <v>0.93879801977626598</v>
      </c>
      <c r="J656" s="3" t="s">
        <v>525</v>
      </c>
    </row>
    <row r="657" spans="1:10" x14ac:dyDescent="0.25">
      <c r="A657" s="3" t="s">
        <v>668</v>
      </c>
      <c r="B657" s="3" t="str">
        <f t="shared" si="60"/>
        <v>9</v>
      </c>
      <c r="C657" s="7">
        <f t="shared" si="61"/>
        <v>6.4432989690721648E-4</v>
      </c>
      <c r="D657" s="8">
        <f t="shared" si="64"/>
        <v>0.42268041237113269</v>
      </c>
      <c r="E657" s="4">
        <v>62</v>
      </c>
      <c r="F657" s="5">
        <v>29.79</v>
      </c>
      <c r="G657" s="10">
        <f t="shared" si="62"/>
        <v>1846.98</v>
      </c>
      <c r="H657" s="7">
        <f t="shared" si="63"/>
        <v>2.2376188353080467E-4</v>
      </c>
      <c r="I657" s="8">
        <f t="shared" si="65"/>
        <v>0.93902178165979677</v>
      </c>
      <c r="J657" s="3" t="s">
        <v>525</v>
      </c>
    </row>
    <row r="658" spans="1:10" x14ac:dyDescent="0.25">
      <c r="A658" s="3" t="s">
        <v>669</v>
      </c>
      <c r="B658" s="3" t="str">
        <f t="shared" si="60"/>
        <v>1</v>
      </c>
      <c r="C658" s="7">
        <f t="shared" si="61"/>
        <v>6.4432989690721648E-4</v>
      </c>
      <c r="D658" s="8">
        <f t="shared" si="64"/>
        <v>0.4233247422680399</v>
      </c>
      <c r="E658" s="4">
        <v>5</v>
      </c>
      <c r="F658" s="5">
        <v>367.49</v>
      </c>
      <c r="G658" s="10">
        <f t="shared" si="62"/>
        <v>1837.45</v>
      </c>
      <c r="H658" s="7">
        <f t="shared" si="63"/>
        <v>2.2260732270716361E-4</v>
      </c>
      <c r="I658" s="8">
        <f t="shared" si="65"/>
        <v>0.93924438898250395</v>
      </c>
      <c r="J658" s="3" t="s">
        <v>525</v>
      </c>
    </row>
    <row r="659" spans="1:10" x14ac:dyDescent="0.25">
      <c r="A659" s="3" t="s">
        <v>670</v>
      </c>
      <c r="B659" s="3" t="str">
        <f t="shared" si="60"/>
        <v>8</v>
      </c>
      <c r="C659" s="7">
        <f t="shared" si="61"/>
        <v>6.4432989690721648E-4</v>
      </c>
      <c r="D659" s="8">
        <f t="shared" si="64"/>
        <v>0.42396907216494711</v>
      </c>
      <c r="E659" s="4">
        <v>42</v>
      </c>
      <c r="F659" s="5">
        <v>43.68</v>
      </c>
      <c r="G659" s="10">
        <f t="shared" si="62"/>
        <v>1834.56</v>
      </c>
      <c r="H659" s="7">
        <f t="shared" si="63"/>
        <v>2.2225719880576564E-4</v>
      </c>
      <c r="I659" s="8">
        <f t="shared" si="65"/>
        <v>0.93946664618130971</v>
      </c>
      <c r="J659" s="3" t="s">
        <v>525</v>
      </c>
    </row>
    <row r="660" spans="1:10" x14ac:dyDescent="0.25">
      <c r="A660" s="3" t="s">
        <v>671</v>
      </c>
      <c r="B660" s="3" t="str">
        <f t="shared" si="60"/>
        <v>2</v>
      </c>
      <c r="C660" s="7">
        <f t="shared" si="61"/>
        <v>6.4432989690721648E-4</v>
      </c>
      <c r="D660" s="8">
        <f t="shared" si="64"/>
        <v>0.42461340206185433</v>
      </c>
      <c r="E660" s="4">
        <v>22</v>
      </c>
      <c r="F660" s="5">
        <v>83.12</v>
      </c>
      <c r="G660" s="10">
        <f t="shared" si="62"/>
        <v>1828.64</v>
      </c>
      <c r="H660" s="7">
        <f t="shared" si="63"/>
        <v>2.2153998998352483E-4</v>
      </c>
      <c r="I660" s="8">
        <f t="shared" si="65"/>
        <v>0.93968818617129324</v>
      </c>
      <c r="J660" s="3" t="s">
        <v>525</v>
      </c>
    </row>
    <row r="661" spans="1:10" x14ac:dyDescent="0.25">
      <c r="A661" s="3" t="s">
        <v>672</v>
      </c>
      <c r="B661" s="3" t="str">
        <f t="shared" si="60"/>
        <v>1</v>
      </c>
      <c r="C661" s="7">
        <f t="shared" si="61"/>
        <v>6.4432989690721648E-4</v>
      </c>
      <c r="D661" s="8">
        <f t="shared" si="64"/>
        <v>0.42525773195876154</v>
      </c>
      <c r="E661" s="4">
        <v>3</v>
      </c>
      <c r="F661" s="5">
        <v>607.6</v>
      </c>
      <c r="G661" s="10">
        <f t="shared" si="62"/>
        <v>1822.8000000000002</v>
      </c>
      <c r="H661" s="7">
        <f t="shared" si="63"/>
        <v>2.2083247317239538E-4</v>
      </c>
      <c r="I661" s="8">
        <f t="shared" si="65"/>
        <v>0.93990901864446563</v>
      </c>
      <c r="J661" s="3" t="s">
        <v>525</v>
      </c>
    </row>
    <row r="662" spans="1:10" x14ac:dyDescent="0.25">
      <c r="A662" s="3" t="s">
        <v>673</v>
      </c>
      <c r="B662" s="3" t="str">
        <f t="shared" si="60"/>
        <v>1</v>
      </c>
      <c r="C662" s="7">
        <f t="shared" si="61"/>
        <v>6.4432989690721648E-4</v>
      </c>
      <c r="D662" s="8">
        <f t="shared" si="64"/>
        <v>0.42590206185566876</v>
      </c>
      <c r="E662" s="4">
        <v>7</v>
      </c>
      <c r="F662" s="5">
        <v>260.11</v>
      </c>
      <c r="G662" s="10">
        <f t="shared" si="62"/>
        <v>1820.77</v>
      </c>
      <c r="H662" s="7">
        <f t="shared" si="63"/>
        <v>2.2058653839044452E-4</v>
      </c>
      <c r="I662" s="8">
        <f t="shared" si="65"/>
        <v>0.94012960518285604</v>
      </c>
      <c r="J662" s="3" t="s">
        <v>525</v>
      </c>
    </row>
    <row r="663" spans="1:10" x14ac:dyDescent="0.25">
      <c r="A663" s="3" t="s">
        <v>674</v>
      </c>
      <c r="B663" s="3" t="str">
        <f t="shared" si="60"/>
        <v>1</v>
      </c>
      <c r="C663" s="7">
        <f t="shared" si="61"/>
        <v>6.4432989690721648E-4</v>
      </c>
      <c r="D663" s="8">
        <f t="shared" si="64"/>
        <v>0.42654639175257597</v>
      </c>
      <c r="E663" s="4">
        <v>3</v>
      </c>
      <c r="F663" s="5">
        <v>605.38</v>
      </c>
      <c r="G663" s="10">
        <f t="shared" si="62"/>
        <v>1816.1399999999999</v>
      </c>
      <c r="H663" s="7">
        <f t="shared" si="63"/>
        <v>2.200256132473744E-4</v>
      </c>
      <c r="I663" s="8">
        <f t="shared" si="65"/>
        <v>0.94034963079610345</v>
      </c>
      <c r="J663" s="3" t="s">
        <v>525</v>
      </c>
    </row>
    <row r="664" spans="1:10" x14ac:dyDescent="0.25">
      <c r="A664" s="3" t="s">
        <v>675</v>
      </c>
      <c r="B664" s="3" t="str">
        <f t="shared" si="60"/>
        <v>1</v>
      </c>
      <c r="C664" s="7">
        <f t="shared" si="61"/>
        <v>6.4432989690721648E-4</v>
      </c>
      <c r="D664" s="8">
        <f t="shared" si="64"/>
        <v>0.42719072164948318</v>
      </c>
      <c r="E664" s="4">
        <v>2</v>
      </c>
      <c r="F664" s="5">
        <v>905.75</v>
      </c>
      <c r="G664" s="10">
        <f t="shared" si="62"/>
        <v>1811.5</v>
      </c>
      <c r="H664" s="7">
        <f t="shared" si="63"/>
        <v>2.1946347660291537E-4</v>
      </c>
      <c r="I664" s="8">
        <f t="shared" si="65"/>
        <v>0.94056909427270641</v>
      </c>
      <c r="J664" s="3" t="s">
        <v>525</v>
      </c>
    </row>
    <row r="665" spans="1:10" x14ac:dyDescent="0.25">
      <c r="A665" s="3" t="s">
        <v>676</v>
      </c>
      <c r="B665" s="3" t="str">
        <f t="shared" si="60"/>
        <v>9</v>
      </c>
      <c r="C665" s="7">
        <f t="shared" si="61"/>
        <v>6.4432989690721648E-4</v>
      </c>
      <c r="D665" s="8">
        <f t="shared" si="64"/>
        <v>0.4278350515463904</v>
      </c>
      <c r="E665" s="4">
        <v>13</v>
      </c>
      <c r="F665" s="5">
        <v>139.09</v>
      </c>
      <c r="G665" s="10">
        <f t="shared" si="62"/>
        <v>1808.17</v>
      </c>
      <c r="H665" s="7">
        <f t="shared" si="63"/>
        <v>2.1906004664040492E-4</v>
      </c>
      <c r="I665" s="8">
        <f t="shared" si="65"/>
        <v>0.94078815431934681</v>
      </c>
      <c r="J665" s="3" t="s">
        <v>525</v>
      </c>
    </row>
    <row r="666" spans="1:10" x14ac:dyDescent="0.25">
      <c r="A666" s="3" t="s">
        <v>677</v>
      </c>
      <c r="B666" s="3" t="str">
        <f t="shared" si="60"/>
        <v>8</v>
      </c>
      <c r="C666" s="7">
        <f t="shared" si="61"/>
        <v>6.4432989690721648E-4</v>
      </c>
      <c r="D666" s="8">
        <f t="shared" si="64"/>
        <v>0.42847938144329761</v>
      </c>
      <c r="E666" s="4">
        <v>43</v>
      </c>
      <c r="F666" s="5">
        <v>42.04</v>
      </c>
      <c r="G666" s="10">
        <f t="shared" si="62"/>
        <v>1807.72</v>
      </c>
      <c r="H666" s="7">
        <f t="shared" si="63"/>
        <v>2.1900552907790351E-4</v>
      </c>
      <c r="I666" s="8">
        <f t="shared" si="65"/>
        <v>0.94100715984842476</v>
      </c>
      <c r="J666" s="3" t="s">
        <v>525</v>
      </c>
    </row>
    <row r="667" spans="1:10" x14ac:dyDescent="0.25">
      <c r="A667" s="3" t="s">
        <v>678</v>
      </c>
      <c r="B667" s="3" t="str">
        <f t="shared" si="60"/>
        <v>8</v>
      </c>
      <c r="C667" s="7">
        <f t="shared" si="61"/>
        <v>6.4432989690721648E-4</v>
      </c>
      <c r="D667" s="8">
        <f t="shared" si="64"/>
        <v>0.42912371134020483</v>
      </c>
      <c r="E667" s="4">
        <v>40</v>
      </c>
      <c r="F667" s="5">
        <v>45.05</v>
      </c>
      <c r="G667" s="10">
        <f t="shared" si="62"/>
        <v>1802</v>
      </c>
      <c r="H667" s="7">
        <f t="shared" si="63"/>
        <v>2.1831255028344109E-4</v>
      </c>
      <c r="I667" s="8">
        <f t="shared" si="65"/>
        <v>0.94122547239870824</v>
      </c>
      <c r="J667" s="3" t="s">
        <v>525</v>
      </c>
    </row>
    <row r="668" spans="1:10" x14ac:dyDescent="0.25">
      <c r="A668" s="3" t="s">
        <v>679</v>
      </c>
      <c r="B668" s="3" t="str">
        <f t="shared" si="60"/>
        <v>4</v>
      </c>
      <c r="C668" s="7">
        <f t="shared" si="61"/>
        <v>6.4432989690721648E-4</v>
      </c>
      <c r="D668" s="8">
        <f t="shared" si="64"/>
        <v>0.42976804123711204</v>
      </c>
      <c r="E668" s="4">
        <v>6</v>
      </c>
      <c r="F668" s="5">
        <v>299.97000000000003</v>
      </c>
      <c r="G668" s="10">
        <f t="shared" si="62"/>
        <v>1799.8200000000002</v>
      </c>
      <c r="H668" s="7">
        <f t="shared" si="63"/>
        <v>2.1804844298065648E-4</v>
      </c>
      <c r="I668" s="8">
        <f t="shared" si="65"/>
        <v>0.94144352084168892</v>
      </c>
      <c r="J668" s="3" t="s">
        <v>525</v>
      </c>
    </row>
    <row r="669" spans="1:10" x14ac:dyDescent="0.25">
      <c r="A669" s="3" t="s">
        <v>680</v>
      </c>
      <c r="B669" s="3" t="str">
        <f t="shared" si="60"/>
        <v>1</v>
      </c>
      <c r="C669" s="7">
        <f t="shared" si="61"/>
        <v>6.4432989690721648E-4</v>
      </c>
      <c r="D669" s="8">
        <f t="shared" si="64"/>
        <v>0.43041237113401926</v>
      </c>
      <c r="E669" s="4">
        <v>2</v>
      </c>
      <c r="F669" s="5">
        <v>899.37</v>
      </c>
      <c r="G669" s="10">
        <f t="shared" si="62"/>
        <v>1798.74</v>
      </c>
      <c r="H669" s="7">
        <f t="shared" si="63"/>
        <v>2.1791760083065306E-4</v>
      </c>
      <c r="I669" s="8">
        <f t="shared" si="65"/>
        <v>0.94166143844251959</v>
      </c>
      <c r="J669" s="3" t="s">
        <v>525</v>
      </c>
    </row>
    <row r="670" spans="1:10" x14ac:dyDescent="0.25">
      <c r="A670" s="3" t="s">
        <v>681</v>
      </c>
      <c r="B670" s="3" t="str">
        <f t="shared" si="60"/>
        <v>3</v>
      </c>
      <c r="C670" s="7">
        <f t="shared" si="61"/>
        <v>6.4432989690721648E-4</v>
      </c>
      <c r="D670" s="8">
        <f t="shared" si="64"/>
        <v>0.43105670103092647</v>
      </c>
      <c r="E670" s="4">
        <v>2</v>
      </c>
      <c r="F670" s="5">
        <v>897.75</v>
      </c>
      <c r="G670" s="10">
        <f t="shared" si="62"/>
        <v>1795.5</v>
      </c>
      <c r="H670" s="7">
        <f t="shared" si="63"/>
        <v>2.1752507438064288E-4</v>
      </c>
      <c r="I670" s="8">
        <f t="shared" si="65"/>
        <v>0.94187896351690026</v>
      </c>
      <c r="J670" s="3" t="s">
        <v>525</v>
      </c>
    </row>
    <row r="671" spans="1:10" x14ac:dyDescent="0.25">
      <c r="A671" s="3" t="s">
        <v>682</v>
      </c>
      <c r="B671" s="3" t="str">
        <f t="shared" si="60"/>
        <v>1</v>
      </c>
      <c r="C671" s="7">
        <f t="shared" si="61"/>
        <v>6.4432989690721648E-4</v>
      </c>
      <c r="D671" s="8">
        <f t="shared" si="64"/>
        <v>0.43170103092783368</v>
      </c>
      <c r="E671" s="4">
        <v>2</v>
      </c>
      <c r="F671" s="5">
        <v>889.32</v>
      </c>
      <c r="G671" s="10">
        <f t="shared" si="62"/>
        <v>1778.64</v>
      </c>
      <c r="H671" s="7">
        <f t="shared" si="63"/>
        <v>2.1548248303892323E-4</v>
      </c>
      <c r="I671" s="8">
        <f t="shared" si="65"/>
        <v>0.94209444599993919</v>
      </c>
      <c r="J671" s="3" t="s">
        <v>525</v>
      </c>
    </row>
    <row r="672" spans="1:10" x14ac:dyDescent="0.25">
      <c r="A672" s="3" t="s">
        <v>683</v>
      </c>
      <c r="B672" s="3" t="str">
        <f t="shared" si="60"/>
        <v>9</v>
      </c>
      <c r="C672" s="7">
        <f t="shared" si="61"/>
        <v>6.4432989690721648E-4</v>
      </c>
      <c r="D672" s="8">
        <f t="shared" si="64"/>
        <v>0.4323453608247409</v>
      </c>
      <c r="E672" s="4">
        <v>7</v>
      </c>
      <c r="F672" s="5">
        <v>252.99</v>
      </c>
      <c r="G672" s="10">
        <f t="shared" si="62"/>
        <v>1770.93</v>
      </c>
      <c r="H672" s="7">
        <f t="shared" si="63"/>
        <v>2.1454841546806566E-4</v>
      </c>
      <c r="I672" s="8">
        <f t="shared" si="65"/>
        <v>0.94230899441540728</v>
      </c>
      <c r="J672" s="3" t="s">
        <v>525</v>
      </c>
    </row>
    <row r="673" spans="1:10" x14ac:dyDescent="0.25">
      <c r="A673" s="3" t="s">
        <v>684</v>
      </c>
      <c r="B673" s="3" t="str">
        <f t="shared" si="60"/>
        <v>9</v>
      </c>
      <c r="C673" s="7">
        <f t="shared" si="61"/>
        <v>6.4432989690721648E-4</v>
      </c>
      <c r="D673" s="8">
        <f t="shared" si="64"/>
        <v>0.43298969072164811</v>
      </c>
      <c r="E673" s="4">
        <v>54</v>
      </c>
      <c r="F673" s="5">
        <v>32.770000000000003</v>
      </c>
      <c r="G673" s="10">
        <f t="shared" si="62"/>
        <v>1769.5800000000002</v>
      </c>
      <c r="H673" s="7">
        <f t="shared" si="63"/>
        <v>2.1438486278056143E-4</v>
      </c>
      <c r="I673" s="8">
        <f t="shared" si="65"/>
        <v>0.94252337927818786</v>
      </c>
      <c r="J673" s="3" t="s">
        <v>525</v>
      </c>
    </row>
    <row r="674" spans="1:10" x14ac:dyDescent="0.25">
      <c r="A674" s="3" t="s">
        <v>685</v>
      </c>
      <c r="B674" s="3" t="str">
        <f t="shared" si="60"/>
        <v>8</v>
      </c>
      <c r="C674" s="7">
        <f t="shared" si="61"/>
        <v>6.4432989690721648E-4</v>
      </c>
      <c r="D674" s="8">
        <f t="shared" si="64"/>
        <v>0.43363402061855533</v>
      </c>
      <c r="E674" s="4">
        <v>84</v>
      </c>
      <c r="F674" s="5">
        <v>20.98</v>
      </c>
      <c r="G674" s="10">
        <f t="shared" si="62"/>
        <v>1762.32</v>
      </c>
      <c r="H674" s="7">
        <f t="shared" si="63"/>
        <v>2.1350531277220525E-4</v>
      </c>
      <c r="I674" s="8">
        <f t="shared" si="65"/>
        <v>0.94273688459096006</v>
      </c>
      <c r="J674" s="3" t="s">
        <v>525</v>
      </c>
    </row>
    <row r="675" spans="1:10" x14ac:dyDescent="0.25">
      <c r="A675" s="3" t="s">
        <v>686</v>
      </c>
      <c r="B675" s="3" t="str">
        <f t="shared" si="60"/>
        <v>8</v>
      </c>
      <c r="C675" s="7">
        <f t="shared" si="61"/>
        <v>6.4432989690721648E-4</v>
      </c>
      <c r="D675" s="8">
        <f t="shared" si="64"/>
        <v>0.43427835051546254</v>
      </c>
      <c r="E675" s="4">
        <v>35</v>
      </c>
      <c r="F675" s="5">
        <v>50.09</v>
      </c>
      <c r="G675" s="10">
        <f t="shared" si="62"/>
        <v>1753.15</v>
      </c>
      <c r="H675" s="7">
        <f t="shared" si="63"/>
        <v>2.1239436599856536E-4</v>
      </c>
      <c r="I675" s="8">
        <f t="shared" si="65"/>
        <v>0.94294927895695857</v>
      </c>
      <c r="J675" s="3" t="s">
        <v>525</v>
      </c>
    </row>
    <row r="676" spans="1:10" x14ac:dyDescent="0.25">
      <c r="A676" s="3" t="s">
        <v>687</v>
      </c>
      <c r="B676" s="3" t="str">
        <f t="shared" si="60"/>
        <v>1</v>
      </c>
      <c r="C676" s="7">
        <f t="shared" si="61"/>
        <v>6.4432989690721648E-4</v>
      </c>
      <c r="D676" s="8">
        <f t="shared" si="64"/>
        <v>0.43492268041236976</v>
      </c>
      <c r="E676" s="4">
        <v>2</v>
      </c>
      <c r="F676" s="5">
        <v>873.88</v>
      </c>
      <c r="G676" s="10">
        <f t="shared" si="62"/>
        <v>1747.76</v>
      </c>
      <c r="H676" s="7">
        <f t="shared" si="63"/>
        <v>2.117413667499373E-4</v>
      </c>
      <c r="I676" s="8">
        <f t="shared" si="65"/>
        <v>0.94316102032370852</v>
      </c>
      <c r="J676" s="3" t="s">
        <v>525</v>
      </c>
    </row>
    <row r="677" spans="1:10" x14ac:dyDescent="0.25">
      <c r="A677" s="3" t="s">
        <v>688</v>
      </c>
      <c r="B677" s="3" t="str">
        <f t="shared" si="60"/>
        <v>9</v>
      </c>
      <c r="C677" s="7">
        <f t="shared" si="61"/>
        <v>6.4432989690721648E-4</v>
      </c>
      <c r="D677" s="8">
        <f t="shared" si="64"/>
        <v>0.43556701030927697</v>
      </c>
      <c r="E677" s="4">
        <v>6</v>
      </c>
      <c r="F677" s="5">
        <v>291.2</v>
      </c>
      <c r="G677" s="10">
        <f t="shared" si="62"/>
        <v>1747.1999999999998</v>
      </c>
      <c r="H677" s="7">
        <f t="shared" si="63"/>
        <v>2.1167352267215773E-4</v>
      </c>
      <c r="I677" s="8">
        <f t="shared" si="65"/>
        <v>0.94337269384638067</v>
      </c>
      <c r="J677" s="3" t="s">
        <v>525</v>
      </c>
    </row>
    <row r="678" spans="1:10" x14ac:dyDescent="0.25">
      <c r="A678" s="3" t="s">
        <v>689</v>
      </c>
      <c r="B678" s="3" t="str">
        <f t="shared" si="60"/>
        <v>4</v>
      </c>
      <c r="C678" s="7">
        <f t="shared" si="61"/>
        <v>6.4432989690721648E-4</v>
      </c>
      <c r="D678" s="8">
        <f t="shared" si="64"/>
        <v>0.43621134020618418</v>
      </c>
      <c r="E678" s="4">
        <v>8</v>
      </c>
      <c r="F678" s="5">
        <v>218.1</v>
      </c>
      <c r="G678" s="10">
        <f t="shared" si="62"/>
        <v>1744.8</v>
      </c>
      <c r="H678" s="7">
        <f t="shared" si="63"/>
        <v>2.1138276233881686E-4</v>
      </c>
      <c r="I678" s="8">
        <f t="shared" si="65"/>
        <v>0.94358407660871946</v>
      </c>
      <c r="J678" s="3" t="s">
        <v>525</v>
      </c>
    </row>
    <row r="679" spans="1:10" x14ac:dyDescent="0.25">
      <c r="A679" s="3" t="s">
        <v>690</v>
      </c>
      <c r="B679" s="3" t="str">
        <f t="shared" si="60"/>
        <v>4</v>
      </c>
      <c r="C679" s="7">
        <f t="shared" si="61"/>
        <v>6.4432989690721648E-4</v>
      </c>
      <c r="D679" s="8">
        <f t="shared" si="64"/>
        <v>0.4368556701030914</v>
      </c>
      <c r="E679" s="4">
        <v>5</v>
      </c>
      <c r="F679" s="5">
        <v>348.47</v>
      </c>
      <c r="G679" s="10">
        <f t="shared" si="62"/>
        <v>1742.3500000000001</v>
      </c>
      <c r="H679" s="7">
        <f t="shared" si="63"/>
        <v>2.110859444985314E-4</v>
      </c>
      <c r="I679" s="8">
        <f t="shared" si="65"/>
        <v>0.94379516255321794</v>
      </c>
      <c r="J679" s="3" t="s">
        <v>525</v>
      </c>
    </row>
    <row r="680" spans="1:10" x14ac:dyDescent="0.25">
      <c r="A680" s="3" t="s">
        <v>691</v>
      </c>
      <c r="B680" s="3" t="str">
        <f t="shared" si="60"/>
        <v>1</v>
      </c>
      <c r="C680" s="7">
        <f t="shared" si="61"/>
        <v>6.4432989690721648E-4</v>
      </c>
      <c r="D680" s="8">
        <f t="shared" si="64"/>
        <v>0.43749999999999861</v>
      </c>
      <c r="E680" s="4">
        <v>3</v>
      </c>
      <c r="F680" s="5">
        <v>580.54</v>
      </c>
      <c r="G680" s="10">
        <f t="shared" si="62"/>
        <v>1741.62</v>
      </c>
      <c r="H680" s="7">
        <f t="shared" si="63"/>
        <v>2.109975048971402E-4</v>
      </c>
      <c r="I680" s="8">
        <f t="shared" si="65"/>
        <v>0.94400616005811511</v>
      </c>
      <c r="J680" s="3" t="s">
        <v>525</v>
      </c>
    </row>
    <row r="681" spans="1:10" x14ac:dyDescent="0.25">
      <c r="A681" s="3" t="s">
        <v>692</v>
      </c>
      <c r="B681" s="3" t="str">
        <f t="shared" si="60"/>
        <v>1</v>
      </c>
      <c r="C681" s="7">
        <f t="shared" si="61"/>
        <v>6.4432989690721648E-4</v>
      </c>
      <c r="D681" s="8">
        <f t="shared" si="64"/>
        <v>0.43814432989690583</v>
      </c>
      <c r="E681" s="4">
        <v>2</v>
      </c>
      <c r="F681" s="5">
        <v>860.91</v>
      </c>
      <c r="G681" s="10">
        <f t="shared" si="62"/>
        <v>1721.82</v>
      </c>
      <c r="H681" s="7">
        <f t="shared" si="63"/>
        <v>2.0859873214707799E-4</v>
      </c>
      <c r="I681" s="8">
        <f t="shared" si="65"/>
        <v>0.94421475879026218</v>
      </c>
      <c r="J681" s="3" t="s">
        <v>525</v>
      </c>
    </row>
    <row r="682" spans="1:10" x14ac:dyDescent="0.25">
      <c r="A682" s="3" t="s">
        <v>693</v>
      </c>
      <c r="B682" s="3" t="str">
        <f t="shared" si="60"/>
        <v>7</v>
      </c>
      <c r="C682" s="7">
        <f t="shared" si="61"/>
        <v>6.4432989690721648E-4</v>
      </c>
      <c r="D682" s="8">
        <f t="shared" si="64"/>
        <v>0.43878865979381304</v>
      </c>
      <c r="E682" s="4">
        <v>55</v>
      </c>
      <c r="F682" s="5">
        <v>31.24</v>
      </c>
      <c r="G682" s="10">
        <f t="shared" si="62"/>
        <v>1718.1999999999998</v>
      </c>
      <c r="H682" s="7">
        <f t="shared" si="63"/>
        <v>2.0816016864428881E-4</v>
      </c>
      <c r="I682" s="8">
        <f t="shared" si="65"/>
        <v>0.94442291895890651</v>
      </c>
      <c r="J682" s="3" t="s">
        <v>525</v>
      </c>
    </row>
    <row r="683" spans="1:10" x14ac:dyDescent="0.25">
      <c r="A683" s="3" t="s">
        <v>694</v>
      </c>
      <c r="B683" s="3" t="str">
        <f t="shared" si="60"/>
        <v>1</v>
      </c>
      <c r="C683" s="7">
        <f t="shared" si="61"/>
        <v>6.4432989690721648E-4</v>
      </c>
      <c r="D683" s="8">
        <f t="shared" si="64"/>
        <v>0.43943298969072025</v>
      </c>
      <c r="E683" s="4">
        <v>3</v>
      </c>
      <c r="F683" s="5">
        <v>571.41999999999996</v>
      </c>
      <c r="G683" s="10">
        <f t="shared" si="62"/>
        <v>1714.2599999999998</v>
      </c>
      <c r="H683" s="7">
        <f t="shared" si="63"/>
        <v>2.0768283709705418E-4</v>
      </c>
      <c r="I683" s="8">
        <f t="shared" si="65"/>
        <v>0.94463060179600356</v>
      </c>
      <c r="J683" s="3" t="s">
        <v>525</v>
      </c>
    </row>
    <row r="684" spans="1:10" x14ac:dyDescent="0.25">
      <c r="A684" s="3" t="s">
        <v>695</v>
      </c>
      <c r="B684" s="3" t="str">
        <f t="shared" si="60"/>
        <v>3</v>
      </c>
      <c r="C684" s="7">
        <f t="shared" si="61"/>
        <v>6.4432989690721648E-4</v>
      </c>
      <c r="D684" s="8">
        <f t="shared" si="64"/>
        <v>0.44007731958762747</v>
      </c>
      <c r="E684" s="4">
        <v>18</v>
      </c>
      <c r="F684" s="5">
        <v>94.99</v>
      </c>
      <c r="G684" s="10">
        <f t="shared" si="62"/>
        <v>1709.82</v>
      </c>
      <c r="H684" s="7">
        <f t="shared" si="63"/>
        <v>2.0714493048037359E-4</v>
      </c>
      <c r="I684" s="8">
        <f t="shared" si="65"/>
        <v>0.94483774672648391</v>
      </c>
      <c r="J684" s="3" t="s">
        <v>525</v>
      </c>
    </row>
    <row r="685" spans="1:10" x14ac:dyDescent="0.25">
      <c r="A685" s="3" t="s">
        <v>696</v>
      </c>
      <c r="B685" s="3" t="str">
        <f t="shared" si="60"/>
        <v>8</v>
      </c>
      <c r="C685" s="7">
        <f t="shared" si="61"/>
        <v>6.4432989690721648E-4</v>
      </c>
      <c r="D685" s="8">
        <f t="shared" si="64"/>
        <v>0.44072164948453468</v>
      </c>
      <c r="E685" s="4">
        <v>30</v>
      </c>
      <c r="F685" s="5">
        <v>56.88</v>
      </c>
      <c r="G685" s="10">
        <f t="shared" si="62"/>
        <v>1706.4</v>
      </c>
      <c r="H685" s="7">
        <f t="shared" si="63"/>
        <v>2.0673059700536286E-4</v>
      </c>
      <c r="I685" s="8">
        <f t="shared" si="65"/>
        <v>0.94504447732348928</v>
      </c>
      <c r="J685" s="3" t="s">
        <v>525</v>
      </c>
    </row>
    <row r="686" spans="1:10" x14ac:dyDescent="0.25">
      <c r="A686" s="3" t="s">
        <v>697</v>
      </c>
      <c r="B686" s="3" t="str">
        <f t="shared" si="60"/>
        <v>9</v>
      </c>
      <c r="C686" s="7">
        <f t="shared" si="61"/>
        <v>6.4432989690721648E-4</v>
      </c>
      <c r="D686" s="8">
        <f t="shared" si="64"/>
        <v>0.4413659793814419</v>
      </c>
      <c r="E686" s="4">
        <v>14</v>
      </c>
      <c r="F686" s="5">
        <v>121.84</v>
      </c>
      <c r="G686" s="10">
        <f t="shared" si="62"/>
        <v>1705.76</v>
      </c>
      <c r="H686" s="7">
        <f t="shared" si="63"/>
        <v>2.0665306091647196E-4</v>
      </c>
      <c r="I686" s="8">
        <f t="shared" si="65"/>
        <v>0.94525113038440578</v>
      </c>
      <c r="J686" s="3" t="s">
        <v>525</v>
      </c>
    </row>
    <row r="687" spans="1:10" x14ac:dyDescent="0.25">
      <c r="A687" s="3" t="s">
        <v>698</v>
      </c>
      <c r="B687" s="3" t="str">
        <f t="shared" si="60"/>
        <v>4</v>
      </c>
      <c r="C687" s="7">
        <f t="shared" si="61"/>
        <v>6.4432989690721648E-4</v>
      </c>
      <c r="D687" s="8">
        <f t="shared" si="64"/>
        <v>0.44201030927834911</v>
      </c>
      <c r="E687" s="4">
        <v>5</v>
      </c>
      <c r="F687" s="5">
        <v>339.35</v>
      </c>
      <c r="G687" s="10">
        <f t="shared" si="62"/>
        <v>1696.75</v>
      </c>
      <c r="H687" s="7">
        <f t="shared" si="63"/>
        <v>2.0556149816505475E-4</v>
      </c>
      <c r="I687" s="8">
        <f t="shared" si="65"/>
        <v>0.94545669188257087</v>
      </c>
      <c r="J687" s="3" t="s">
        <v>525</v>
      </c>
    </row>
    <row r="688" spans="1:10" x14ac:dyDescent="0.25">
      <c r="A688" s="3" t="s">
        <v>699</v>
      </c>
      <c r="B688" s="3" t="str">
        <f t="shared" si="60"/>
        <v>8</v>
      </c>
      <c r="C688" s="7">
        <f t="shared" si="61"/>
        <v>6.4432989690721648E-4</v>
      </c>
      <c r="D688" s="8">
        <f t="shared" si="64"/>
        <v>0.44265463917525633</v>
      </c>
      <c r="E688" s="4">
        <v>28</v>
      </c>
      <c r="F688" s="5">
        <v>60.37</v>
      </c>
      <c r="G688" s="10">
        <f t="shared" si="62"/>
        <v>1690.36</v>
      </c>
      <c r="H688" s="7">
        <f t="shared" si="63"/>
        <v>2.0478734877753466E-4</v>
      </c>
      <c r="I688" s="8">
        <f t="shared" si="65"/>
        <v>0.94566147923134836</v>
      </c>
      <c r="J688" s="3" t="s">
        <v>525</v>
      </c>
    </row>
    <row r="689" spans="1:10" x14ac:dyDescent="0.25">
      <c r="A689" s="3" t="s">
        <v>700</v>
      </c>
      <c r="B689" s="3" t="str">
        <f t="shared" si="60"/>
        <v>4</v>
      </c>
      <c r="C689" s="7">
        <f t="shared" si="61"/>
        <v>6.4432989690721648E-4</v>
      </c>
      <c r="D689" s="8">
        <f t="shared" si="64"/>
        <v>0.44329896907216354</v>
      </c>
      <c r="E689" s="4">
        <v>91</v>
      </c>
      <c r="F689" s="5">
        <v>18.559999999999999</v>
      </c>
      <c r="G689" s="10">
        <f t="shared" si="62"/>
        <v>1688.9599999999998</v>
      </c>
      <c r="H689" s="7">
        <f t="shared" si="63"/>
        <v>2.0461773858308581E-4</v>
      </c>
      <c r="I689" s="8">
        <f t="shared" si="65"/>
        <v>0.9458660969699314</v>
      </c>
      <c r="J689" s="3" t="s">
        <v>525</v>
      </c>
    </row>
    <row r="690" spans="1:10" x14ac:dyDescent="0.25">
      <c r="A690" s="3" t="s">
        <v>701</v>
      </c>
      <c r="B690" s="3" t="str">
        <f t="shared" si="60"/>
        <v>1</v>
      </c>
      <c r="C690" s="7">
        <f t="shared" si="61"/>
        <v>6.4432989690721648E-4</v>
      </c>
      <c r="D690" s="8">
        <f t="shared" si="64"/>
        <v>0.44394329896907075</v>
      </c>
      <c r="E690" s="4">
        <v>2</v>
      </c>
      <c r="F690" s="5">
        <v>843.85</v>
      </c>
      <c r="G690" s="10">
        <f t="shared" si="62"/>
        <v>1687.7</v>
      </c>
      <c r="H690" s="7">
        <f t="shared" si="63"/>
        <v>2.0446508940808188E-4</v>
      </c>
      <c r="I690" s="8">
        <f t="shared" si="65"/>
        <v>0.94607056205933948</v>
      </c>
      <c r="J690" s="3" t="s">
        <v>525</v>
      </c>
    </row>
    <row r="691" spans="1:10" x14ac:dyDescent="0.25">
      <c r="A691" s="3" t="s">
        <v>702</v>
      </c>
      <c r="B691" s="3" t="str">
        <f t="shared" si="60"/>
        <v>7</v>
      </c>
      <c r="C691" s="7">
        <f t="shared" si="61"/>
        <v>6.4432989690721648E-4</v>
      </c>
      <c r="D691" s="8">
        <f t="shared" si="64"/>
        <v>0.44458762886597797</v>
      </c>
      <c r="E691" s="4">
        <v>27</v>
      </c>
      <c r="F691" s="5">
        <v>61.89</v>
      </c>
      <c r="G691" s="10">
        <f t="shared" si="62"/>
        <v>1671.03</v>
      </c>
      <c r="H691" s="7">
        <f t="shared" si="63"/>
        <v>2.0244551659275169E-4</v>
      </c>
      <c r="I691" s="8">
        <f t="shared" si="65"/>
        <v>0.94627300757593225</v>
      </c>
      <c r="J691" s="3" t="s">
        <v>525</v>
      </c>
    </row>
    <row r="692" spans="1:10" x14ac:dyDescent="0.25">
      <c r="A692" s="3" t="s">
        <v>703</v>
      </c>
      <c r="B692" s="3" t="str">
        <f t="shared" si="60"/>
        <v>7</v>
      </c>
      <c r="C692" s="7">
        <f t="shared" si="61"/>
        <v>6.4432989690721648E-4</v>
      </c>
      <c r="D692" s="8">
        <f t="shared" si="64"/>
        <v>0.44523195876288518</v>
      </c>
      <c r="E692" s="4">
        <v>13</v>
      </c>
      <c r="F692" s="5">
        <v>128.54</v>
      </c>
      <c r="G692" s="10">
        <f t="shared" si="62"/>
        <v>1671.02</v>
      </c>
      <c r="H692" s="7">
        <f t="shared" si="63"/>
        <v>2.0244430509136277E-4</v>
      </c>
      <c r="I692" s="8">
        <f t="shared" si="65"/>
        <v>0.94647545188102356</v>
      </c>
      <c r="J692" s="3" t="s">
        <v>525</v>
      </c>
    </row>
    <row r="693" spans="1:10" x14ac:dyDescent="0.25">
      <c r="A693" s="3" t="s">
        <v>704</v>
      </c>
      <c r="B693" s="3" t="str">
        <f t="shared" si="60"/>
        <v>9</v>
      </c>
      <c r="C693" s="7">
        <f t="shared" si="61"/>
        <v>6.4432989690721648E-4</v>
      </c>
      <c r="D693" s="8">
        <f t="shared" si="64"/>
        <v>0.4458762886597924</v>
      </c>
      <c r="E693" s="4">
        <v>5</v>
      </c>
      <c r="F693" s="5">
        <v>328.67</v>
      </c>
      <c r="G693" s="10">
        <f t="shared" si="62"/>
        <v>1643.3500000000001</v>
      </c>
      <c r="H693" s="7">
        <f t="shared" si="63"/>
        <v>1.9909208074822028E-4</v>
      </c>
      <c r="I693" s="8">
        <f t="shared" si="65"/>
        <v>0.94667454396177175</v>
      </c>
      <c r="J693" s="3" t="s">
        <v>525</v>
      </c>
    </row>
    <row r="694" spans="1:10" x14ac:dyDescent="0.25">
      <c r="A694" s="3" t="s">
        <v>705</v>
      </c>
      <c r="B694" s="3" t="str">
        <f t="shared" si="60"/>
        <v>4</v>
      </c>
      <c r="C694" s="7">
        <f t="shared" si="61"/>
        <v>6.4432989690721648E-4</v>
      </c>
      <c r="D694" s="8">
        <f t="shared" si="64"/>
        <v>0.44652061855669961</v>
      </c>
      <c r="E694" s="4">
        <v>5</v>
      </c>
      <c r="F694" s="5">
        <v>327.33999999999997</v>
      </c>
      <c r="G694" s="10">
        <f t="shared" si="62"/>
        <v>1636.6999999999998</v>
      </c>
      <c r="H694" s="7">
        <f t="shared" si="63"/>
        <v>1.9828643232458823E-4</v>
      </c>
      <c r="I694" s="8">
        <f t="shared" si="65"/>
        <v>0.94687283039409631</v>
      </c>
      <c r="J694" s="3" t="s">
        <v>525</v>
      </c>
    </row>
    <row r="695" spans="1:10" x14ac:dyDescent="0.25">
      <c r="A695" s="3" t="s">
        <v>706</v>
      </c>
      <c r="B695" s="3" t="str">
        <f t="shared" si="60"/>
        <v>8</v>
      </c>
      <c r="C695" s="7">
        <f t="shared" si="61"/>
        <v>6.4432989690721648E-4</v>
      </c>
      <c r="D695" s="8">
        <f t="shared" si="64"/>
        <v>0.44716494845360683</v>
      </c>
      <c r="E695" s="4">
        <v>37</v>
      </c>
      <c r="F695" s="5">
        <v>44.23</v>
      </c>
      <c r="G695" s="10">
        <f t="shared" si="62"/>
        <v>1636.51</v>
      </c>
      <c r="H695" s="7">
        <f t="shared" si="63"/>
        <v>1.9826341379819876E-4</v>
      </c>
      <c r="I695" s="8">
        <f t="shared" si="65"/>
        <v>0.94707109380789456</v>
      </c>
      <c r="J695" s="3" t="s">
        <v>525</v>
      </c>
    </row>
    <row r="696" spans="1:10" x14ac:dyDescent="0.25">
      <c r="A696" s="3" t="s">
        <v>707</v>
      </c>
      <c r="B696" s="3" t="str">
        <f t="shared" si="60"/>
        <v>1</v>
      </c>
      <c r="C696" s="7">
        <f t="shared" si="61"/>
        <v>6.4432989690721648E-4</v>
      </c>
      <c r="D696" s="8">
        <f t="shared" si="64"/>
        <v>0.44780927835051404</v>
      </c>
      <c r="E696" s="4">
        <v>3</v>
      </c>
      <c r="F696" s="5">
        <v>545.44000000000005</v>
      </c>
      <c r="G696" s="10">
        <f t="shared" si="62"/>
        <v>1636.3200000000002</v>
      </c>
      <c r="H696" s="7">
        <f t="shared" si="63"/>
        <v>1.9824039527180929E-4</v>
      </c>
      <c r="I696" s="8">
        <f t="shared" si="65"/>
        <v>0.94726933420316639</v>
      </c>
      <c r="J696" s="3" t="s">
        <v>525</v>
      </c>
    </row>
    <row r="697" spans="1:10" x14ac:dyDescent="0.25">
      <c r="A697" s="3" t="s">
        <v>708</v>
      </c>
      <c r="B697" s="3" t="str">
        <f t="shared" si="60"/>
        <v>4</v>
      </c>
      <c r="C697" s="7">
        <f t="shared" si="61"/>
        <v>6.4432989690721648E-4</v>
      </c>
      <c r="D697" s="8">
        <f t="shared" si="64"/>
        <v>0.44845360824742125</v>
      </c>
      <c r="E697" s="4">
        <v>12</v>
      </c>
      <c r="F697" s="5">
        <v>134.91</v>
      </c>
      <c r="G697" s="10">
        <f t="shared" si="62"/>
        <v>1618.92</v>
      </c>
      <c r="H697" s="7">
        <f t="shared" si="63"/>
        <v>1.9613238285508792E-4</v>
      </c>
      <c r="I697" s="8">
        <f t="shared" si="65"/>
        <v>0.94746546658602149</v>
      </c>
      <c r="J697" s="3" t="s">
        <v>525</v>
      </c>
    </row>
    <row r="698" spans="1:10" x14ac:dyDescent="0.25">
      <c r="A698" s="3" t="s">
        <v>709</v>
      </c>
      <c r="B698" s="3" t="str">
        <f t="shared" si="60"/>
        <v>6</v>
      </c>
      <c r="C698" s="7">
        <f t="shared" si="61"/>
        <v>6.4432989690721648E-4</v>
      </c>
      <c r="D698" s="8">
        <f t="shared" si="64"/>
        <v>0.44909793814432847</v>
      </c>
      <c r="E698" s="4">
        <v>23</v>
      </c>
      <c r="F698" s="5">
        <v>69.72</v>
      </c>
      <c r="G698" s="10">
        <f t="shared" si="62"/>
        <v>1603.56</v>
      </c>
      <c r="H698" s="7">
        <f t="shared" si="63"/>
        <v>1.9427151672170631E-4</v>
      </c>
      <c r="I698" s="8">
        <f t="shared" si="65"/>
        <v>0.94765973810274318</v>
      </c>
      <c r="J698" s="3" t="s">
        <v>525</v>
      </c>
    </row>
    <row r="699" spans="1:10" x14ac:dyDescent="0.25">
      <c r="A699" s="3" t="s">
        <v>710</v>
      </c>
      <c r="B699" s="3" t="str">
        <f t="shared" si="60"/>
        <v>7</v>
      </c>
      <c r="C699" s="7">
        <f t="shared" si="61"/>
        <v>6.4432989690721648E-4</v>
      </c>
      <c r="D699" s="8">
        <f t="shared" si="64"/>
        <v>0.44974226804123568</v>
      </c>
      <c r="E699" s="4">
        <v>17</v>
      </c>
      <c r="F699" s="5">
        <v>94.17</v>
      </c>
      <c r="G699" s="10">
        <f t="shared" si="62"/>
        <v>1600.89</v>
      </c>
      <c r="H699" s="7">
        <f t="shared" si="63"/>
        <v>1.939480458508646E-4</v>
      </c>
      <c r="I699" s="8">
        <f t="shared" si="65"/>
        <v>0.947853686148594</v>
      </c>
      <c r="J699" s="3" t="s">
        <v>525</v>
      </c>
    </row>
    <row r="700" spans="1:10" x14ac:dyDescent="0.25">
      <c r="A700" s="3" t="s">
        <v>711</v>
      </c>
      <c r="B700" s="3" t="str">
        <f t="shared" si="60"/>
        <v>2</v>
      </c>
      <c r="C700" s="7">
        <f t="shared" si="61"/>
        <v>6.4432989690721648E-4</v>
      </c>
      <c r="D700" s="8">
        <f t="shared" si="64"/>
        <v>0.4503865979381429</v>
      </c>
      <c r="E700" s="4">
        <v>26</v>
      </c>
      <c r="F700" s="5">
        <v>61.41</v>
      </c>
      <c r="G700" s="10">
        <f t="shared" si="62"/>
        <v>1596.6599999999999</v>
      </c>
      <c r="H700" s="7">
        <f t="shared" si="63"/>
        <v>1.9343558076335128E-4</v>
      </c>
      <c r="I700" s="8">
        <f t="shared" si="65"/>
        <v>0.94804712172935734</v>
      </c>
      <c r="J700" s="3" t="s">
        <v>525</v>
      </c>
    </row>
    <row r="701" spans="1:10" x14ac:dyDescent="0.25">
      <c r="A701" s="3" t="s">
        <v>712</v>
      </c>
      <c r="B701" s="3" t="str">
        <f t="shared" si="60"/>
        <v>4</v>
      </c>
      <c r="C701" s="7">
        <f t="shared" si="61"/>
        <v>6.4432989690721648E-4</v>
      </c>
      <c r="D701" s="8">
        <f t="shared" si="64"/>
        <v>0.45103092783505011</v>
      </c>
      <c r="E701" s="4">
        <v>13</v>
      </c>
      <c r="F701" s="5">
        <v>122.45</v>
      </c>
      <c r="G701" s="10">
        <f t="shared" si="62"/>
        <v>1591.8500000000001</v>
      </c>
      <c r="H701" s="7">
        <f t="shared" si="63"/>
        <v>1.9285284859528064E-4</v>
      </c>
      <c r="I701" s="8">
        <f t="shared" si="65"/>
        <v>0.94823997457795262</v>
      </c>
      <c r="J701" s="3" t="s">
        <v>525</v>
      </c>
    </row>
    <row r="702" spans="1:10" x14ac:dyDescent="0.25">
      <c r="A702" s="3" t="s">
        <v>713</v>
      </c>
      <c r="B702" s="3" t="str">
        <f t="shared" si="60"/>
        <v>1</v>
      </c>
      <c r="C702" s="7">
        <f t="shared" si="61"/>
        <v>6.4432989690721648E-4</v>
      </c>
      <c r="D702" s="8">
        <f t="shared" si="64"/>
        <v>0.45167525773195732</v>
      </c>
      <c r="E702" s="4">
        <v>3</v>
      </c>
      <c r="F702" s="5">
        <v>527.39</v>
      </c>
      <c r="G702" s="10">
        <f t="shared" si="62"/>
        <v>1582.17</v>
      </c>
      <c r="H702" s="7">
        <f t="shared" si="63"/>
        <v>1.9168011525080576E-4</v>
      </c>
      <c r="I702" s="8">
        <f t="shared" si="65"/>
        <v>0.94843165469320345</v>
      </c>
      <c r="J702" s="3" t="s">
        <v>525</v>
      </c>
    </row>
    <row r="703" spans="1:10" x14ac:dyDescent="0.25">
      <c r="A703" s="3" t="s">
        <v>714</v>
      </c>
      <c r="B703" s="3" t="str">
        <f t="shared" si="60"/>
        <v>3</v>
      </c>
      <c r="C703" s="7">
        <f t="shared" si="61"/>
        <v>6.4432989690721648E-4</v>
      </c>
      <c r="D703" s="8">
        <f t="shared" si="64"/>
        <v>0.45231958762886454</v>
      </c>
      <c r="E703" s="4">
        <v>3</v>
      </c>
      <c r="F703" s="5">
        <v>526.70000000000005</v>
      </c>
      <c r="G703" s="10">
        <f t="shared" si="62"/>
        <v>1580.1000000000001</v>
      </c>
      <c r="H703" s="7">
        <f t="shared" si="63"/>
        <v>1.9142933446329927E-4</v>
      </c>
      <c r="I703" s="8">
        <f t="shared" si="65"/>
        <v>0.94862308402766671</v>
      </c>
      <c r="J703" s="3" t="s">
        <v>525</v>
      </c>
    </row>
    <row r="704" spans="1:10" x14ac:dyDescent="0.25">
      <c r="A704" s="3" t="s">
        <v>715</v>
      </c>
      <c r="B704" s="3" t="str">
        <f t="shared" si="60"/>
        <v>8</v>
      </c>
      <c r="C704" s="7">
        <f t="shared" si="61"/>
        <v>6.4432989690721648E-4</v>
      </c>
      <c r="D704" s="8">
        <f t="shared" si="64"/>
        <v>0.45296391752577175</v>
      </c>
      <c r="E704" s="4">
        <v>26</v>
      </c>
      <c r="F704" s="5">
        <v>60.44</v>
      </c>
      <c r="G704" s="10">
        <f t="shared" si="62"/>
        <v>1571.44</v>
      </c>
      <c r="H704" s="7">
        <f t="shared" si="63"/>
        <v>1.9038017426049428E-4</v>
      </c>
      <c r="I704" s="8">
        <f t="shared" si="65"/>
        <v>0.94881346420192725</v>
      </c>
      <c r="J704" s="3" t="s">
        <v>525</v>
      </c>
    </row>
    <row r="705" spans="1:10" x14ac:dyDescent="0.25">
      <c r="A705" s="3" t="s">
        <v>716</v>
      </c>
      <c r="B705" s="3" t="str">
        <f t="shared" si="60"/>
        <v>3</v>
      </c>
      <c r="C705" s="7">
        <f t="shared" si="61"/>
        <v>6.4432989690721648E-4</v>
      </c>
      <c r="D705" s="8">
        <f t="shared" si="64"/>
        <v>0.45360824742267897</v>
      </c>
      <c r="E705" s="4">
        <v>2</v>
      </c>
      <c r="F705" s="5">
        <v>780.79</v>
      </c>
      <c r="G705" s="10">
        <f t="shared" si="62"/>
        <v>1561.58</v>
      </c>
      <c r="H705" s="7">
        <f t="shared" si="63"/>
        <v>1.8918563389101883E-4</v>
      </c>
      <c r="I705" s="8">
        <f t="shared" si="65"/>
        <v>0.94900264983581828</v>
      </c>
      <c r="J705" s="3" t="s">
        <v>525</v>
      </c>
    </row>
    <row r="706" spans="1:10" x14ac:dyDescent="0.25">
      <c r="A706" s="3" t="s">
        <v>717</v>
      </c>
      <c r="B706" s="3" t="str">
        <f t="shared" ref="B706:B769" si="66">RIGHT(A706,1)</f>
        <v>9</v>
      </c>
      <c r="C706" s="7">
        <f t="shared" ref="C706:C769" si="67">1/COUNTA(A$2:A$1553)</f>
        <v>6.4432989690721648E-4</v>
      </c>
      <c r="D706" s="8">
        <f t="shared" si="64"/>
        <v>0.45425257731958618</v>
      </c>
      <c r="E706" s="4">
        <v>4</v>
      </c>
      <c r="F706" s="5">
        <v>390.2</v>
      </c>
      <c r="G706" s="10">
        <f t="shared" ref="G706:G769" si="68">E706*F706</f>
        <v>1560.8</v>
      </c>
      <c r="H706" s="7">
        <f t="shared" ref="H706:H769" si="69">G706/SUM(G$2:G$1553)</f>
        <v>1.8909113678268304E-4</v>
      </c>
      <c r="I706" s="8">
        <f t="shared" si="65"/>
        <v>0.94919174097260095</v>
      </c>
      <c r="J706" s="3" t="s">
        <v>525</v>
      </c>
    </row>
    <row r="707" spans="1:10" x14ac:dyDescent="0.25">
      <c r="A707" s="3" t="s">
        <v>718</v>
      </c>
      <c r="B707" s="3" t="str">
        <f t="shared" si="66"/>
        <v>3</v>
      </c>
      <c r="C707" s="7">
        <f t="shared" si="67"/>
        <v>6.4432989690721648E-4</v>
      </c>
      <c r="D707" s="8">
        <f t="shared" ref="D707:D770" si="70">D706+C707</f>
        <v>0.4548969072164934</v>
      </c>
      <c r="E707" s="4">
        <v>7</v>
      </c>
      <c r="F707" s="5">
        <v>222.73</v>
      </c>
      <c r="G707" s="10">
        <f t="shared" si="68"/>
        <v>1559.11</v>
      </c>
      <c r="H707" s="7">
        <f t="shared" si="69"/>
        <v>1.8888639304795549E-4</v>
      </c>
      <c r="I707" s="8">
        <f t="shared" ref="I707:I770" si="71">I706+H707</f>
        <v>0.94938062736564888</v>
      </c>
      <c r="J707" s="3" t="s">
        <v>525</v>
      </c>
    </row>
    <row r="708" spans="1:10" x14ac:dyDescent="0.25">
      <c r="A708" s="3" t="s">
        <v>719</v>
      </c>
      <c r="B708" s="3" t="str">
        <f t="shared" si="66"/>
        <v>4</v>
      </c>
      <c r="C708" s="7">
        <f t="shared" si="67"/>
        <v>6.4432989690721648E-4</v>
      </c>
      <c r="D708" s="8">
        <f t="shared" si="70"/>
        <v>0.45554123711340061</v>
      </c>
      <c r="E708" s="4">
        <v>3</v>
      </c>
      <c r="F708" s="5">
        <v>514.22</v>
      </c>
      <c r="G708" s="10">
        <f t="shared" si="68"/>
        <v>1542.66</v>
      </c>
      <c r="H708" s="7">
        <f t="shared" si="69"/>
        <v>1.8689347326318159E-4</v>
      </c>
      <c r="I708" s="8">
        <f t="shared" si="71"/>
        <v>0.94956752083891205</v>
      </c>
      <c r="J708" s="3" t="s">
        <v>525</v>
      </c>
    </row>
    <row r="709" spans="1:10" x14ac:dyDescent="0.25">
      <c r="A709" s="3" t="s">
        <v>720</v>
      </c>
      <c r="B709" s="3" t="str">
        <f t="shared" si="66"/>
        <v>8</v>
      </c>
      <c r="C709" s="7">
        <f t="shared" si="67"/>
        <v>6.4432989690721648E-4</v>
      </c>
      <c r="D709" s="8">
        <f t="shared" si="70"/>
        <v>0.45618556701030782</v>
      </c>
      <c r="E709" s="4">
        <v>54</v>
      </c>
      <c r="F709" s="5">
        <v>28.48</v>
      </c>
      <c r="G709" s="10">
        <f t="shared" si="68"/>
        <v>1537.92</v>
      </c>
      <c r="H709" s="7">
        <f t="shared" si="69"/>
        <v>1.8631922160483336E-4</v>
      </c>
      <c r="I709" s="8">
        <f t="shared" si="71"/>
        <v>0.94975384006051689</v>
      </c>
      <c r="J709" s="3" t="s">
        <v>525</v>
      </c>
    </row>
    <row r="710" spans="1:10" x14ac:dyDescent="0.25">
      <c r="A710" s="3" t="s">
        <v>721</v>
      </c>
      <c r="B710" s="3" t="str">
        <f t="shared" si="66"/>
        <v>2</v>
      </c>
      <c r="C710" s="7">
        <f t="shared" si="67"/>
        <v>6.4432989690721648E-4</v>
      </c>
      <c r="D710" s="8">
        <f t="shared" si="70"/>
        <v>0.45682989690721504</v>
      </c>
      <c r="E710" s="4">
        <v>17</v>
      </c>
      <c r="F710" s="5">
        <v>90.36</v>
      </c>
      <c r="G710" s="10">
        <f t="shared" si="68"/>
        <v>1536.12</v>
      </c>
      <c r="H710" s="7">
        <f t="shared" si="69"/>
        <v>1.8610115135482769E-4</v>
      </c>
      <c r="I710" s="8">
        <f t="shared" si="71"/>
        <v>0.94993994121187175</v>
      </c>
      <c r="J710" s="3" t="s">
        <v>525</v>
      </c>
    </row>
    <row r="711" spans="1:10" x14ac:dyDescent="0.25">
      <c r="A711" s="3" t="s">
        <v>722</v>
      </c>
      <c r="B711" s="3" t="str">
        <f t="shared" si="66"/>
        <v>3</v>
      </c>
      <c r="C711" s="7">
        <f t="shared" si="67"/>
        <v>6.4432989690721648E-4</v>
      </c>
      <c r="D711" s="8">
        <f t="shared" si="70"/>
        <v>0.45747422680412225</v>
      </c>
      <c r="E711" s="4">
        <v>4</v>
      </c>
      <c r="F711" s="5">
        <v>375.64</v>
      </c>
      <c r="G711" s="10">
        <f t="shared" si="68"/>
        <v>1502.56</v>
      </c>
      <c r="H711" s="7">
        <f t="shared" si="69"/>
        <v>1.8203535269361112E-4</v>
      </c>
      <c r="I711" s="8">
        <f t="shared" si="71"/>
        <v>0.95012197656456532</v>
      </c>
      <c r="J711" s="3" t="s">
        <v>525</v>
      </c>
    </row>
    <row r="712" spans="1:10" x14ac:dyDescent="0.25">
      <c r="A712" s="3" t="s">
        <v>723</v>
      </c>
      <c r="B712" s="3" t="str">
        <f t="shared" si="66"/>
        <v>4</v>
      </c>
      <c r="C712" s="7">
        <f t="shared" si="67"/>
        <v>6.4432989690721648E-4</v>
      </c>
      <c r="D712" s="8">
        <f t="shared" si="70"/>
        <v>0.45811855670102947</v>
      </c>
      <c r="E712" s="4">
        <v>5</v>
      </c>
      <c r="F712" s="5">
        <v>299.36</v>
      </c>
      <c r="G712" s="10">
        <f t="shared" si="68"/>
        <v>1496.8000000000002</v>
      </c>
      <c r="H712" s="7">
        <f t="shared" si="69"/>
        <v>1.8133752789359304E-4</v>
      </c>
      <c r="I712" s="8">
        <f t="shared" si="71"/>
        <v>0.95030331409245894</v>
      </c>
      <c r="J712" s="3" t="s">
        <v>525</v>
      </c>
    </row>
    <row r="713" spans="1:10" x14ac:dyDescent="0.25">
      <c r="A713" s="3" t="s">
        <v>724</v>
      </c>
      <c r="B713" s="3" t="str">
        <f t="shared" si="66"/>
        <v>8</v>
      </c>
      <c r="C713" s="7">
        <f t="shared" si="67"/>
        <v>6.4432989690721648E-4</v>
      </c>
      <c r="D713" s="8">
        <f t="shared" si="70"/>
        <v>0.45876288659793668</v>
      </c>
      <c r="E713" s="4">
        <v>137</v>
      </c>
      <c r="F713" s="5">
        <v>10.8</v>
      </c>
      <c r="G713" s="10">
        <f t="shared" si="68"/>
        <v>1479.6000000000001</v>
      </c>
      <c r="H713" s="7">
        <f t="shared" si="69"/>
        <v>1.7925374550465008E-4</v>
      </c>
      <c r="I713" s="8">
        <f t="shared" si="71"/>
        <v>0.95048256783796359</v>
      </c>
      <c r="J713" s="3" t="s">
        <v>525</v>
      </c>
    </row>
    <row r="714" spans="1:10" x14ac:dyDescent="0.25">
      <c r="A714" s="3" t="s">
        <v>725</v>
      </c>
      <c r="B714" s="3" t="str">
        <f t="shared" si="66"/>
        <v>1</v>
      </c>
      <c r="C714" s="7">
        <f t="shared" si="67"/>
        <v>6.4432989690721648E-4</v>
      </c>
      <c r="D714" s="8">
        <f t="shared" si="70"/>
        <v>0.4594072164948439</v>
      </c>
      <c r="E714" s="4">
        <v>4</v>
      </c>
      <c r="F714" s="5">
        <v>369.78</v>
      </c>
      <c r="G714" s="10">
        <f t="shared" si="68"/>
        <v>1479.12</v>
      </c>
      <c r="H714" s="7">
        <f t="shared" si="69"/>
        <v>1.7919559343798188E-4</v>
      </c>
      <c r="I714" s="8">
        <f t="shared" si="71"/>
        <v>0.95066176343140152</v>
      </c>
      <c r="J714" s="3" t="s">
        <v>525</v>
      </c>
    </row>
    <row r="715" spans="1:10" x14ac:dyDescent="0.25">
      <c r="A715" s="3" t="s">
        <v>726</v>
      </c>
      <c r="B715" s="3" t="str">
        <f t="shared" si="66"/>
        <v>1</v>
      </c>
      <c r="C715" s="7">
        <f t="shared" si="67"/>
        <v>6.4432989690721648E-4</v>
      </c>
      <c r="D715" s="8">
        <f t="shared" si="70"/>
        <v>0.46005154639175111</v>
      </c>
      <c r="E715" s="4">
        <v>2</v>
      </c>
      <c r="F715" s="5">
        <v>737.75</v>
      </c>
      <c r="G715" s="10">
        <f t="shared" si="68"/>
        <v>1475.5</v>
      </c>
      <c r="H715" s="7">
        <f t="shared" si="69"/>
        <v>1.7875702993519274E-4</v>
      </c>
      <c r="I715" s="8">
        <f t="shared" si="71"/>
        <v>0.95084052046133671</v>
      </c>
      <c r="J715" s="3" t="s">
        <v>525</v>
      </c>
    </row>
    <row r="716" spans="1:10" x14ac:dyDescent="0.25">
      <c r="A716" s="3" t="s">
        <v>727</v>
      </c>
      <c r="B716" s="3" t="str">
        <f t="shared" si="66"/>
        <v>1</v>
      </c>
      <c r="C716" s="7">
        <f t="shared" si="67"/>
        <v>6.4432989690721648E-4</v>
      </c>
      <c r="D716" s="8">
        <f t="shared" si="70"/>
        <v>0.46069587628865832</v>
      </c>
      <c r="E716" s="4">
        <v>2</v>
      </c>
      <c r="F716" s="5">
        <v>732.68</v>
      </c>
      <c r="G716" s="10">
        <f t="shared" si="68"/>
        <v>1465.36</v>
      </c>
      <c r="H716" s="7">
        <f t="shared" si="69"/>
        <v>1.7752856752682752E-4</v>
      </c>
      <c r="I716" s="8">
        <f t="shared" si="71"/>
        <v>0.95101804902886355</v>
      </c>
      <c r="J716" s="3" t="s">
        <v>525</v>
      </c>
    </row>
    <row r="717" spans="1:10" x14ac:dyDescent="0.25">
      <c r="A717" s="3" t="s">
        <v>728</v>
      </c>
      <c r="B717" s="3" t="str">
        <f t="shared" si="66"/>
        <v>8</v>
      </c>
      <c r="C717" s="7">
        <f t="shared" si="67"/>
        <v>6.4432989690721648E-4</v>
      </c>
      <c r="D717" s="8">
        <f t="shared" si="70"/>
        <v>0.46134020618556554</v>
      </c>
      <c r="E717" s="4">
        <v>50</v>
      </c>
      <c r="F717" s="5">
        <v>29.26</v>
      </c>
      <c r="G717" s="10">
        <f t="shared" si="68"/>
        <v>1463</v>
      </c>
      <c r="H717" s="7">
        <f t="shared" si="69"/>
        <v>1.7724265319904234E-4</v>
      </c>
      <c r="I717" s="8">
        <f t="shared" si="71"/>
        <v>0.95119529168206263</v>
      </c>
      <c r="J717" s="3" t="s">
        <v>525</v>
      </c>
    </row>
    <row r="718" spans="1:10" x14ac:dyDescent="0.25">
      <c r="A718" s="3" t="s">
        <v>729</v>
      </c>
      <c r="B718" s="3" t="str">
        <f t="shared" si="66"/>
        <v>8</v>
      </c>
      <c r="C718" s="7">
        <f t="shared" si="67"/>
        <v>6.4432989690721648E-4</v>
      </c>
      <c r="D718" s="8">
        <f t="shared" si="70"/>
        <v>0.46198453608247275</v>
      </c>
      <c r="E718" s="4">
        <v>37</v>
      </c>
      <c r="F718" s="5">
        <v>39.06</v>
      </c>
      <c r="G718" s="10">
        <f t="shared" si="68"/>
        <v>1445.22</v>
      </c>
      <c r="H718" s="7">
        <f t="shared" si="69"/>
        <v>1.7508860372954203E-4</v>
      </c>
      <c r="I718" s="8">
        <f t="shared" si="71"/>
        <v>0.95137038028579213</v>
      </c>
      <c r="J718" s="3" t="s">
        <v>525</v>
      </c>
    </row>
    <row r="719" spans="1:10" x14ac:dyDescent="0.25">
      <c r="A719" s="3" t="s">
        <v>730</v>
      </c>
      <c r="B719" s="3" t="str">
        <f t="shared" si="66"/>
        <v>9</v>
      </c>
      <c r="C719" s="7">
        <f t="shared" si="67"/>
        <v>6.4432989690721648E-4</v>
      </c>
      <c r="D719" s="8">
        <f t="shared" si="70"/>
        <v>0.46262886597937997</v>
      </c>
      <c r="E719" s="4">
        <v>3</v>
      </c>
      <c r="F719" s="5">
        <v>481.54</v>
      </c>
      <c r="G719" s="10">
        <f t="shared" si="68"/>
        <v>1444.6200000000001</v>
      </c>
      <c r="H719" s="7">
        <f t="shared" si="69"/>
        <v>1.7501591364620683E-4</v>
      </c>
      <c r="I719" s="8">
        <f t="shared" si="71"/>
        <v>0.95154539619943834</v>
      </c>
      <c r="J719" s="3" t="s">
        <v>525</v>
      </c>
    </row>
    <row r="720" spans="1:10" x14ac:dyDescent="0.25">
      <c r="A720" s="3" t="s">
        <v>731</v>
      </c>
      <c r="B720" s="3" t="str">
        <f t="shared" si="66"/>
        <v>3</v>
      </c>
      <c r="C720" s="7">
        <f t="shared" si="67"/>
        <v>6.4432989690721648E-4</v>
      </c>
      <c r="D720" s="8">
        <f t="shared" si="70"/>
        <v>0.46327319587628718</v>
      </c>
      <c r="E720" s="4">
        <v>6</v>
      </c>
      <c r="F720" s="5">
        <v>237.97</v>
      </c>
      <c r="G720" s="10">
        <f t="shared" si="68"/>
        <v>1427.82</v>
      </c>
      <c r="H720" s="7">
        <f t="shared" si="69"/>
        <v>1.7298059131282066E-4</v>
      </c>
      <c r="I720" s="8">
        <f t="shared" si="71"/>
        <v>0.95171837679075111</v>
      </c>
      <c r="J720" s="3" t="s">
        <v>525</v>
      </c>
    </row>
    <row r="721" spans="1:10" x14ac:dyDescent="0.25">
      <c r="A721" s="3" t="s">
        <v>732</v>
      </c>
      <c r="B721" s="3" t="str">
        <f t="shared" si="66"/>
        <v>9</v>
      </c>
      <c r="C721" s="7">
        <f t="shared" si="67"/>
        <v>6.4432989690721648E-4</v>
      </c>
      <c r="D721" s="8">
        <f t="shared" si="70"/>
        <v>0.46391752577319439</v>
      </c>
      <c r="E721" s="4">
        <v>6</v>
      </c>
      <c r="F721" s="5">
        <v>234.36</v>
      </c>
      <c r="G721" s="10">
        <f t="shared" si="68"/>
        <v>1406.16</v>
      </c>
      <c r="H721" s="7">
        <f t="shared" si="69"/>
        <v>1.7035647930441927E-4</v>
      </c>
      <c r="I721" s="8">
        <f t="shared" si="71"/>
        <v>0.95188873327005552</v>
      </c>
      <c r="J721" s="3" t="s">
        <v>525</v>
      </c>
    </row>
    <row r="722" spans="1:10" x14ac:dyDescent="0.25">
      <c r="A722" s="3" t="s">
        <v>733</v>
      </c>
      <c r="B722" s="3" t="str">
        <f t="shared" si="66"/>
        <v>9</v>
      </c>
      <c r="C722" s="7">
        <f t="shared" si="67"/>
        <v>6.4432989690721648E-4</v>
      </c>
      <c r="D722" s="8">
        <f t="shared" si="70"/>
        <v>0.46456185567010161</v>
      </c>
      <c r="E722" s="4">
        <v>5</v>
      </c>
      <c r="F722" s="5">
        <v>281.16000000000003</v>
      </c>
      <c r="G722" s="10">
        <f t="shared" si="68"/>
        <v>1405.8000000000002</v>
      </c>
      <c r="H722" s="7">
        <f t="shared" si="69"/>
        <v>1.7031286525441815E-4</v>
      </c>
      <c r="I722" s="8">
        <f t="shared" si="71"/>
        <v>0.95205904613530989</v>
      </c>
      <c r="J722" s="3" t="s">
        <v>525</v>
      </c>
    </row>
    <row r="723" spans="1:10" x14ac:dyDescent="0.25">
      <c r="A723" s="3" t="s">
        <v>734</v>
      </c>
      <c r="B723" s="3" t="str">
        <f t="shared" si="66"/>
        <v>4</v>
      </c>
      <c r="C723" s="7">
        <f t="shared" si="67"/>
        <v>6.4432989690721648E-4</v>
      </c>
      <c r="D723" s="8">
        <f t="shared" si="70"/>
        <v>0.46520618556700882</v>
      </c>
      <c r="E723" s="4">
        <v>41</v>
      </c>
      <c r="F723" s="5">
        <v>34.25</v>
      </c>
      <c r="G723" s="10">
        <f t="shared" si="68"/>
        <v>1404.25</v>
      </c>
      <c r="H723" s="7">
        <f t="shared" si="69"/>
        <v>1.7012508253913549E-4</v>
      </c>
      <c r="I723" s="8">
        <f t="shared" si="71"/>
        <v>0.952229171217849</v>
      </c>
      <c r="J723" s="3" t="s">
        <v>525</v>
      </c>
    </row>
    <row r="724" spans="1:10" x14ac:dyDescent="0.25">
      <c r="A724" s="3" t="s">
        <v>735</v>
      </c>
      <c r="B724" s="3" t="str">
        <f t="shared" si="66"/>
        <v>2</v>
      </c>
      <c r="C724" s="7">
        <f t="shared" si="67"/>
        <v>6.4432989690721648E-4</v>
      </c>
      <c r="D724" s="8">
        <f t="shared" si="70"/>
        <v>0.46585051546391604</v>
      </c>
      <c r="E724" s="4">
        <v>19</v>
      </c>
      <c r="F724" s="5">
        <v>73.14</v>
      </c>
      <c r="G724" s="10">
        <f t="shared" si="68"/>
        <v>1389.66</v>
      </c>
      <c r="H724" s="7">
        <f t="shared" si="69"/>
        <v>1.6835750201270075E-4</v>
      </c>
      <c r="I724" s="8">
        <f t="shared" si="71"/>
        <v>0.95239752871986172</v>
      </c>
      <c r="J724" s="3" t="s">
        <v>525</v>
      </c>
    </row>
    <row r="725" spans="1:10" x14ac:dyDescent="0.25">
      <c r="A725" s="3" t="s">
        <v>736</v>
      </c>
      <c r="B725" s="3" t="str">
        <f t="shared" si="66"/>
        <v>6</v>
      </c>
      <c r="C725" s="7">
        <f t="shared" si="67"/>
        <v>6.4432989690721648E-4</v>
      </c>
      <c r="D725" s="8">
        <f t="shared" si="70"/>
        <v>0.46649484536082325</v>
      </c>
      <c r="E725" s="4">
        <v>181</v>
      </c>
      <c r="F725" s="5">
        <v>7.66</v>
      </c>
      <c r="G725" s="10">
        <f t="shared" si="68"/>
        <v>1386.46</v>
      </c>
      <c r="H725" s="7">
        <f t="shared" si="69"/>
        <v>1.6796982156824626E-4</v>
      </c>
      <c r="I725" s="8">
        <f t="shared" si="71"/>
        <v>0.95256549854142991</v>
      </c>
      <c r="J725" s="3" t="s">
        <v>525</v>
      </c>
    </row>
    <row r="726" spans="1:10" x14ac:dyDescent="0.25">
      <c r="A726" s="3" t="s">
        <v>737</v>
      </c>
      <c r="B726" s="3" t="str">
        <f t="shared" si="66"/>
        <v>1</v>
      </c>
      <c r="C726" s="7">
        <f t="shared" si="67"/>
        <v>6.4432989690721648E-4</v>
      </c>
      <c r="D726" s="8">
        <f t="shared" si="70"/>
        <v>0.46713917525773047</v>
      </c>
      <c r="E726" s="4">
        <v>4</v>
      </c>
      <c r="F726" s="5">
        <v>343.99</v>
      </c>
      <c r="G726" s="10">
        <f t="shared" si="68"/>
        <v>1375.96</v>
      </c>
      <c r="H726" s="7">
        <f t="shared" si="69"/>
        <v>1.666977451098799E-4</v>
      </c>
      <c r="I726" s="8">
        <f t="shared" si="71"/>
        <v>0.95273219628653982</v>
      </c>
      <c r="J726" s="3" t="s">
        <v>525</v>
      </c>
    </row>
    <row r="727" spans="1:10" x14ac:dyDescent="0.25">
      <c r="A727" s="3" t="s">
        <v>738</v>
      </c>
      <c r="B727" s="3" t="str">
        <f t="shared" si="66"/>
        <v>8</v>
      </c>
      <c r="C727" s="7">
        <f t="shared" si="67"/>
        <v>6.4432989690721648E-4</v>
      </c>
      <c r="D727" s="8">
        <f t="shared" si="70"/>
        <v>0.46778350515463768</v>
      </c>
      <c r="E727" s="4">
        <v>31</v>
      </c>
      <c r="F727" s="5">
        <v>44.26</v>
      </c>
      <c r="G727" s="10">
        <f t="shared" si="68"/>
        <v>1372.06</v>
      </c>
      <c r="H727" s="7">
        <f t="shared" si="69"/>
        <v>1.6622525956820099E-4</v>
      </c>
      <c r="I727" s="8">
        <f t="shared" si="71"/>
        <v>0.95289842154610804</v>
      </c>
      <c r="J727" s="3" t="s">
        <v>525</v>
      </c>
    </row>
    <row r="728" spans="1:10" x14ac:dyDescent="0.25">
      <c r="A728" s="3" t="s">
        <v>739</v>
      </c>
      <c r="B728" s="3" t="str">
        <f t="shared" si="66"/>
        <v>1</v>
      </c>
      <c r="C728" s="7">
        <f t="shared" si="67"/>
        <v>6.4432989690721648E-4</v>
      </c>
      <c r="D728" s="8">
        <f t="shared" si="70"/>
        <v>0.46842783505154489</v>
      </c>
      <c r="E728" s="4">
        <v>2</v>
      </c>
      <c r="F728" s="5">
        <v>685.62</v>
      </c>
      <c r="G728" s="10">
        <f t="shared" si="68"/>
        <v>1371.24</v>
      </c>
      <c r="H728" s="7">
        <f t="shared" si="69"/>
        <v>1.6612591645430951E-4</v>
      </c>
      <c r="I728" s="8">
        <f t="shared" si="71"/>
        <v>0.95306454746256231</v>
      </c>
      <c r="J728" s="3" t="s">
        <v>525</v>
      </c>
    </row>
    <row r="729" spans="1:10" x14ac:dyDescent="0.25">
      <c r="A729" s="3" t="s">
        <v>740</v>
      </c>
      <c r="B729" s="3" t="str">
        <f t="shared" si="66"/>
        <v>8</v>
      </c>
      <c r="C729" s="7">
        <f t="shared" si="67"/>
        <v>6.4432989690721648E-4</v>
      </c>
      <c r="D729" s="8">
        <f t="shared" si="70"/>
        <v>0.46907216494845211</v>
      </c>
      <c r="E729" s="4">
        <v>46</v>
      </c>
      <c r="F729" s="5">
        <v>29.75</v>
      </c>
      <c r="G729" s="10">
        <f t="shared" si="68"/>
        <v>1368.5</v>
      </c>
      <c r="H729" s="7">
        <f t="shared" si="69"/>
        <v>1.6579396507374535E-4</v>
      </c>
      <c r="I729" s="8">
        <f t="shared" si="71"/>
        <v>0.95323034142763607</v>
      </c>
      <c r="J729" s="3" t="s">
        <v>525</v>
      </c>
    </row>
    <row r="730" spans="1:10" x14ac:dyDescent="0.25">
      <c r="A730" s="3" t="s">
        <v>741</v>
      </c>
      <c r="B730" s="3" t="str">
        <f t="shared" si="66"/>
        <v>5</v>
      </c>
      <c r="C730" s="7">
        <f t="shared" si="67"/>
        <v>6.4432989690721648E-4</v>
      </c>
      <c r="D730" s="8">
        <f t="shared" si="70"/>
        <v>0.46971649484535932</v>
      </c>
      <c r="E730" s="4">
        <v>115</v>
      </c>
      <c r="F730" s="5">
        <v>11.79</v>
      </c>
      <c r="G730" s="10">
        <f t="shared" si="68"/>
        <v>1355.85</v>
      </c>
      <c r="H730" s="7">
        <f t="shared" si="69"/>
        <v>1.6426141581676114E-4</v>
      </c>
      <c r="I730" s="8">
        <f t="shared" si="71"/>
        <v>0.95339460284345279</v>
      </c>
      <c r="J730" s="3" t="s">
        <v>525</v>
      </c>
    </row>
    <row r="731" spans="1:10" x14ac:dyDescent="0.25">
      <c r="A731" s="3" t="s">
        <v>742</v>
      </c>
      <c r="B731" s="3" t="str">
        <f t="shared" si="66"/>
        <v>1</v>
      </c>
      <c r="C731" s="7">
        <f t="shared" si="67"/>
        <v>6.4432989690721648E-4</v>
      </c>
      <c r="D731" s="8">
        <f t="shared" si="70"/>
        <v>0.47036082474226654</v>
      </c>
      <c r="E731" s="4">
        <v>4</v>
      </c>
      <c r="F731" s="5">
        <v>337.16</v>
      </c>
      <c r="G731" s="10">
        <f t="shared" si="68"/>
        <v>1348.64</v>
      </c>
      <c r="H731" s="7">
        <f t="shared" si="69"/>
        <v>1.633879233153496E-4</v>
      </c>
      <c r="I731" s="8">
        <f t="shared" si="71"/>
        <v>0.95355799076676817</v>
      </c>
      <c r="J731" s="3" t="s">
        <v>525</v>
      </c>
    </row>
    <row r="732" spans="1:10" x14ac:dyDescent="0.25">
      <c r="A732" s="3" t="s">
        <v>743</v>
      </c>
      <c r="B732" s="3" t="str">
        <f t="shared" si="66"/>
        <v>8</v>
      </c>
      <c r="C732" s="7">
        <f t="shared" si="67"/>
        <v>6.4432989690721648E-4</v>
      </c>
      <c r="D732" s="8">
        <f t="shared" si="70"/>
        <v>0.47100515463917375</v>
      </c>
      <c r="E732" s="4">
        <v>34</v>
      </c>
      <c r="F732" s="5">
        <v>39.46</v>
      </c>
      <c r="G732" s="10">
        <f t="shared" si="68"/>
        <v>1341.64</v>
      </c>
      <c r="H732" s="7">
        <f t="shared" si="69"/>
        <v>1.625398723431054E-4</v>
      </c>
      <c r="I732" s="8">
        <f t="shared" si="71"/>
        <v>0.95372053063911133</v>
      </c>
      <c r="J732" s="3" t="s">
        <v>525</v>
      </c>
    </row>
    <row r="733" spans="1:10" x14ac:dyDescent="0.25">
      <c r="A733" s="3" t="s">
        <v>744</v>
      </c>
      <c r="B733" s="3" t="str">
        <f t="shared" si="66"/>
        <v>9</v>
      </c>
      <c r="C733" s="7">
        <f t="shared" si="67"/>
        <v>6.4432989690721648E-4</v>
      </c>
      <c r="D733" s="8">
        <f t="shared" si="70"/>
        <v>0.47164948453608097</v>
      </c>
      <c r="E733" s="4">
        <v>49</v>
      </c>
      <c r="F733" s="5">
        <v>27.34</v>
      </c>
      <c r="G733" s="10">
        <f t="shared" si="68"/>
        <v>1339.66</v>
      </c>
      <c r="H733" s="7">
        <f t="shared" si="69"/>
        <v>1.6229999506809918E-4</v>
      </c>
      <c r="I733" s="8">
        <f t="shared" si="71"/>
        <v>0.95388283063417945</v>
      </c>
      <c r="J733" s="3" t="s">
        <v>525</v>
      </c>
    </row>
    <row r="734" spans="1:10" x14ac:dyDescent="0.25">
      <c r="A734" s="3" t="s">
        <v>745</v>
      </c>
      <c r="B734" s="3" t="str">
        <f t="shared" si="66"/>
        <v>4</v>
      </c>
      <c r="C734" s="7">
        <f t="shared" si="67"/>
        <v>6.4432989690721648E-4</v>
      </c>
      <c r="D734" s="8">
        <f t="shared" si="70"/>
        <v>0.47229381443298818</v>
      </c>
      <c r="E734" s="4">
        <v>5</v>
      </c>
      <c r="F734" s="5">
        <v>265.86</v>
      </c>
      <c r="G734" s="10">
        <f t="shared" si="68"/>
        <v>1329.3000000000002</v>
      </c>
      <c r="H734" s="7">
        <f t="shared" si="69"/>
        <v>1.6104487962917774E-4</v>
      </c>
      <c r="I734" s="8">
        <f t="shared" si="71"/>
        <v>0.95404387551380865</v>
      </c>
      <c r="J734" s="3" t="s">
        <v>525</v>
      </c>
    </row>
    <row r="735" spans="1:10" x14ac:dyDescent="0.25">
      <c r="A735" s="3" t="s">
        <v>746</v>
      </c>
      <c r="B735" s="3" t="str">
        <f t="shared" si="66"/>
        <v>1</v>
      </c>
      <c r="C735" s="7">
        <f t="shared" si="67"/>
        <v>6.4432989690721648E-4</v>
      </c>
      <c r="D735" s="8">
        <f t="shared" si="70"/>
        <v>0.47293814432989539</v>
      </c>
      <c r="E735" s="4">
        <v>2</v>
      </c>
      <c r="F735" s="5">
        <v>661.54</v>
      </c>
      <c r="G735" s="10">
        <f t="shared" si="68"/>
        <v>1323.08</v>
      </c>
      <c r="H735" s="7">
        <f t="shared" si="69"/>
        <v>1.6029132576526927E-4</v>
      </c>
      <c r="I735" s="8">
        <f t="shared" si="71"/>
        <v>0.95420416683957388</v>
      </c>
      <c r="J735" s="3" t="s">
        <v>525</v>
      </c>
    </row>
    <row r="736" spans="1:10" x14ac:dyDescent="0.25">
      <c r="A736" s="3" t="s">
        <v>747</v>
      </c>
      <c r="B736" s="3" t="str">
        <f t="shared" si="66"/>
        <v>3</v>
      </c>
      <c r="C736" s="7">
        <f t="shared" si="67"/>
        <v>6.4432989690721648E-4</v>
      </c>
      <c r="D736" s="8">
        <f t="shared" si="70"/>
        <v>0.47358247422680261</v>
      </c>
      <c r="E736" s="4">
        <v>2</v>
      </c>
      <c r="F736" s="5">
        <v>656.98</v>
      </c>
      <c r="G736" s="10">
        <f t="shared" si="68"/>
        <v>1313.96</v>
      </c>
      <c r="H736" s="7">
        <f t="shared" si="69"/>
        <v>1.5918643649857396E-4</v>
      </c>
      <c r="I736" s="8">
        <f t="shared" si="71"/>
        <v>0.95436335327607247</v>
      </c>
      <c r="J736" s="3" t="s">
        <v>525</v>
      </c>
    </row>
    <row r="737" spans="1:10" x14ac:dyDescent="0.25">
      <c r="A737" s="3" t="s">
        <v>748</v>
      </c>
      <c r="B737" s="3" t="str">
        <f t="shared" si="66"/>
        <v>9</v>
      </c>
      <c r="C737" s="7">
        <f t="shared" si="67"/>
        <v>6.4432989690721648E-4</v>
      </c>
      <c r="D737" s="8">
        <f t="shared" si="70"/>
        <v>0.47422680412370982</v>
      </c>
      <c r="E737" s="4">
        <v>4</v>
      </c>
      <c r="F737" s="5">
        <v>328.36</v>
      </c>
      <c r="G737" s="10">
        <f t="shared" si="68"/>
        <v>1313.44</v>
      </c>
      <c r="H737" s="7">
        <f t="shared" si="69"/>
        <v>1.591234384263501E-4</v>
      </c>
      <c r="I737" s="8">
        <f t="shared" si="71"/>
        <v>0.95452247671449886</v>
      </c>
      <c r="J737" s="3" t="s">
        <v>525</v>
      </c>
    </row>
    <row r="738" spans="1:10" x14ac:dyDescent="0.25">
      <c r="A738" s="3" t="s">
        <v>749</v>
      </c>
      <c r="B738" s="3" t="str">
        <f t="shared" si="66"/>
        <v>8</v>
      </c>
      <c r="C738" s="7">
        <f t="shared" si="67"/>
        <v>6.4432989690721648E-4</v>
      </c>
      <c r="D738" s="8">
        <f t="shared" si="70"/>
        <v>0.47487113402061704</v>
      </c>
      <c r="E738" s="4">
        <v>17</v>
      </c>
      <c r="F738" s="5">
        <v>77.03</v>
      </c>
      <c r="G738" s="10">
        <f t="shared" si="68"/>
        <v>1309.51</v>
      </c>
      <c r="H738" s="7">
        <f t="shared" si="69"/>
        <v>1.586473183805044E-4</v>
      </c>
      <c r="I738" s="8">
        <f t="shared" si="71"/>
        <v>0.95468112403287941</v>
      </c>
      <c r="J738" s="3" t="s">
        <v>525</v>
      </c>
    </row>
    <row r="739" spans="1:10" x14ac:dyDescent="0.25">
      <c r="A739" s="3" t="s">
        <v>750</v>
      </c>
      <c r="B739" s="3" t="str">
        <f t="shared" si="66"/>
        <v>1</v>
      </c>
      <c r="C739" s="7">
        <f t="shared" si="67"/>
        <v>6.4432989690721648E-4</v>
      </c>
      <c r="D739" s="8">
        <f t="shared" si="70"/>
        <v>0.47551546391752425</v>
      </c>
      <c r="E739" s="4">
        <v>2</v>
      </c>
      <c r="F739" s="5">
        <v>652.72</v>
      </c>
      <c r="G739" s="10">
        <f t="shared" si="68"/>
        <v>1305.44</v>
      </c>
      <c r="H739" s="7">
        <f t="shared" si="69"/>
        <v>1.5815423731521384E-4</v>
      </c>
      <c r="I739" s="8">
        <f t="shared" si="71"/>
        <v>0.95483927827019466</v>
      </c>
      <c r="J739" s="3" t="s">
        <v>525</v>
      </c>
    </row>
    <row r="740" spans="1:10" x14ac:dyDescent="0.25">
      <c r="A740" s="3" t="s">
        <v>751</v>
      </c>
      <c r="B740" s="3" t="str">
        <f t="shared" si="66"/>
        <v>1</v>
      </c>
      <c r="C740" s="7">
        <f t="shared" si="67"/>
        <v>6.4432989690721648E-4</v>
      </c>
      <c r="D740" s="8">
        <f t="shared" si="70"/>
        <v>0.47615979381443146</v>
      </c>
      <c r="E740" s="4">
        <v>5</v>
      </c>
      <c r="F740" s="5">
        <v>259.52999999999997</v>
      </c>
      <c r="G740" s="10">
        <f t="shared" si="68"/>
        <v>1297.6499999999999</v>
      </c>
      <c r="H740" s="7">
        <f t="shared" si="69"/>
        <v>1.5721047773324488E-4</v>
      </c>
      <c r="I740" s="8">
        <f t="shared" si="71"/>
        <v>0.95499648874792786</v>
      </c>
      <c r="J740" s="3" t="s">
        <v>525</v>
      </c>
    </row>
    <row r="741" spans="1:10" x14ac:dyDescent="0.25">
      <c r="A741" s="3" t="s">
        <v>752</v>
      </c>
      <c r="B741" s="3" t="str">
        <f t="shared" si="66"/>
        <v>1</v>
      </c>
      <c r="C741" s="7">
        <f t="shared" si="67"/>
        <v>6.4432989690721648E-4</v>
      </c>
      <c r="D741" s="8">
        <f t="shared" si="70"/>
        <v>0.47680412371133868</v>
      </c>
      <c r="E741" s="4">
        <v>5</v>
      </c>
      <c r="F741" s="5">
        <v>259.42</v>
      </c>
      <c r="G741" s="10">
        <f t="shared" si="68"/>
        <v>1297.1000000000001</v>
      </c>
      <c r="H741" s="7">
        <f t="shared" si="69"/>
        <v>1.571438451568543E-4</v>
      </c>
      <c r="I741" s="8">
        <f t="shared" si="71"/>
        <v>0.95515363259308472</v>
      </c>
      <c r="J741" s="3" t="s">
        <v>525</v>
      </c>
    </row>
    <row r="742" spans="1:10" x14ac:dyDescent="0.25">
      <c r="A742" s="3" t="s">
        <v>753</v>
      </c>
      <c r="B742" s="3" t="str">
        <f t="shared" si="66"/>
        <v>3</v>
      </c>
      <c r="C742" s="7">
        <f t="shared" si="67"/>
        <v>6.4432989690721648E-4</v>
      </c>
      <c r="D742" s="8">
        <f t="shared" si="70"/>
        <v>0.47744845360824589</v>
      </c>
      <c r="E742" s="4">
        <v>1</v>
      </c>
      <c r="F742" s="5">
        <v>1279.3399999999999</v>
      </c>
      <c r="G742" s="10">
        <f t="shared" si="68"/>
        <v>1279.3399999999999</v>
      </c>
      <c r="H742" s="7">
        <f t="shared" si="69"/>
        <v>1.549922186901318E-4</v>
      </c>
      <c r="I742" s="8">
        <f t="shared" si="71"/>
        <v>0.95530862481177481</v>
      </c>
      <c r="J742" s="3" t="s">
        <v>525</v>
      </c>
    </row>
    <row r="743" spans="1:10" x14ac:dyDescent="0.25">
      <c r="A743" s="3" t="s">
        <v>754</v>
      </c>
      <c r="B743" s="3" t="str">
        <f t="shared" si="66"/>
        <v>1</v>
      </c>
      <c r="C743" s="7">
        <f t="shared" si="67"/>
        <v>6.4432989690721648E-4</v>
      </c>
      <c r="D743" s="8">
        <f t="shared" si="70"/>
        <v>0.47809278350515311</v>
      </c>
      <c r="E743" s="4">
        <v>1</v>
      </c>
      <c r="F743" s="5">
        <v>1279.31</v>
      </c>
      <c r="G743" s="10">
        <f t="shared" si="68"/>
        <v>1279.31</v>
      </c>
      <c r="H743" s="7">
        <f t="shared" si="69"/>
        <v>1.5498858418596504E-4</v>
      </c>
      <c r="I743" s="8">
        <f t="shared" si="71"/>
        <v>0.95546361339596075</v>
      </c>
      <c r="J743" s="3" t="s">
        <v>525</v>
      </c>
    </row>
    <row r="744" spans="1:10" x14ac:dyDescent="0.25">
      <c r="A744" s="3" t="s">
        <v>755</v>
      </c>
      <c r="B744" s="3" t="str">
        <f t="shared" si="66"/>
        <v>3</v>
      </c>
      <c r="C744" s="7">
        <f t="shared" si="67"/>
        <v>6.4432989690721648E-4</v>
      </c>
      <c r="D744" s="8">
        <f t="shared" si="70"/>
        <v>0.47873711340206032</v>
      </c>
      <c r="E744" s="4">
        <v>1</v>
      </c>
      <c r="F744" s="5">
        <v>1269.06</v>
      </c>
      <c r="G744" s="10">
        <f t="shared" si="68"/>
        <v>1269.06</v>
      </c>
      <c r="H744" s="7">
        <f t="shared" si="69"/>
        <v>1.5374679526232172E-4</v>
      </c>
      <c r="I744" s="8">
        <f t="shared" si="71"/>
        <v>0.95561736019122312</v>
      </c>
      <c r="J744" s="3" t="s">
        <v>525</v>
      </c>
    </row>
    <row r="745" spans="1:10" x14ac:dyDescent="0.25">
      <c r="A745" s="3" t="s">
        <v>756</v>
      </c>
      <c r="B745" s="3" t="str">
        <f t="shared" si="66"/>
        <v>8</v>
      </c>
      <c r="C745" s="7">
        <f t="shared" si="67"/>
        <v>6.4432989690721648E-4</v>
      </c>
      <c r="D745" s="8">
        <f t="shared" si="70"/>
        <v>0.47938144329896754</v>
      </c>
      <c r="E745" s="4">
        <v>67</v>
      </c>
      <c r="F745" s="5">
        <v>18.93</v>
      </c>
      <c r="G745" s="10">
        <f t="shared" si="68"/>
        <v>1268.31</v>
      </c>
      <c r="H745" s="7">
        <f t="shared" si="69"/>
        <v>1.5365593265815269E-4</v>
      </c>
      <c r="I745" s="8">
        <f t="shared" si="71"/>
        <v>0.95577101612388127</v>
      </c>
      <c r="J745" s="3" t="s">
        <v>525</v>
      </c>
    </row>
    <row r="746" spans="1:10" x14ac:dyDescent="0.25">
      <c r="A746" s="3" t="s">
        <v>757</v>
      </c>
      <c r="B746" s="3" t="str">
        <f t="shared" si="66"/>
        <v>4</v>
      </c>
      <c r="C746" s="7">
        <f t="shared" si="67"/>
        <v>6.4432989690721648E-4</v>
      </c>
      <c r="D746" s="8">
        <f t="shared" si="70"/>
        <v>0.48002577319587475</v>
      </c>
      <c r="E746" s="4">
        <v>3</v>
      </c>
      <c r="F746" s="5">
        <v>421.12</v>
      </c>
      <c r="G746" s="10">
        <f t="shared" si="68"/>
        <v>1263.3600000000001</v>
      </c>
      <c r="H746" s="7">
        <f t="shared" si="69"/>
        <v>1.5305623947063716E-4</v>
      </c>
      <c r="I746" s="8">
        <f t="shared" si="71"/>
        <v>0.95592407236335186</v>
      </c>
      <c r="J746" s="3" t="s">
        <v>525</v>
      </c>
    </row>
    <row r="747" spans="1:10" x14ac:dyDescent="0.25">
      <c r="A747" s="3" t="s">
        <v>758</v>
      </c>
      <c r="B747" s="3" t="str">
        <f t="shared" si="66"/>
        <v>5</v>
      </c>
      <c r="C747" s="7">
        <f t="shared" si="67"/>
        <v>6.4432989690721648E-4</v>
      </c>
      <c r="D747" s="8">
        <f t="shared" si="70"/>
        <v>0.48067010309278196</v>
      </c>
      <c r="E747" s="4">
        <v>5</v>
      </c>
      <c r="F747" s="5">
        <v>252.32</v>
      </c>
      <c r="G747" s="10">
        <f t="shared" si="68"/>
        <v>1261.5999999999999</v>
      </c>
      <c r="H747" s="7">
        <f t="shared" si="69"/>
        <v>1.5284301522618715E-4</v>
      </c>
      <c r="I747" s="8">
        <f t="shared" si="71"/>
        <v>0.95607691537857808</v>
      </c>
      <c r="J747" s="3" t="s">
        <v>525</v>
      </c>
    </row>
    <row r="748" spans="1:10" x14ac:dyDescent="0.25">
      <c r="A748" s="3" t="s">
        <v>759</v>
      </c>
      <c r="B748" s="3" t="str">
        <f t="shared" si="66"/>
        <v>9</v>
      </c>
      <c r="C748" s="7">
        <f t="shared" si="67"/>
        <v>6.4432989690721648E-4</v>
      </c>
      <c r="D748" s="8">
        <f t="shared" si="70"/>
        <v>0.48131443298968918</v>
      </c>
      <c r="E748" s="4">
        <v>4</v>
      </c>
      <c r="F748" s="5">
        <v>314.17</v>
      </c>
      <c r="G748" s="10">
        <f t="shared" si="68"/>
        <v>1256.68</v>
      </c>
      <c r="H748" s="7">
        <f t="shared" si="69"/>
        <v>1.5224695654283838E-4</v>
      </c>
      <c r="I748" s="8">
        <f t="shared" si="71"/>
        <v>0.9562291623351209</v>
      </c>
      <c r="J748" s="3" t="s">
        <v>525</v>
      </c>
    </row>
    <row r="749" spans="1:10" x14ac:dyDescent="0.25">
      <c r="A749" s="3" t="s">
        <v>760</v>
      </c>
      <c r="B749" s="3" t="str">
        <f t="shared" si="66"/>
        <v>9</v>
      </c>
      <c r="C749" s="7">
        <f t="shared" si="67"/>
        <v>6.4432989690721648E-4</v>
      </c>
      <c r="D749" s="8">
        <f t="shared" si="70"/>
        <v>0.48195876288659639</v>
      </c>
      <c r="E749" s="4">
        <v>7</v>
      </c>
      <c r="F749" s="5">
        <v>179.04</v>
      </c>
      <c r="G749" s="10">
        <f t="shared" si="68"/>
        <v>1253.28</v>
      </c>
      <c r="H749" s="7">
        <f t="shared" si="69"/>
        <v>1.5183504607060546E-4</v>
      </c>
      <c r="I749" s="8">
        <f t="shared" si="71"/>
        <v>0.95638099738119153</v>
      </c>
      <c r="J749" s="3" t="s">
        <v>525</v>
      </c>
    </row>
    <row r="750" spans="1:10" x14ac:dyDescent="0.25">
      <c r="A750" s="3" t="s">
        <v>761</v>
      </c>
      <c r="B750" s="3" t="str">
        <f t="shared" si="66"/>
        <v>1</v>
      </c>
      <c r="C750" s="7">
        <f t="shared" si="67"/>
        <v>6.4432989690721648E-4</v>
      </c>
      <c r="D750" s="8">
        <f t="shared" si="70"/>
        <v>0.48260309278350361</v>
      </c>
      <c r="E750" s="4">
        <v>2</v>
      </c>
      <c r="F750" s="5">
        <v>626.6</v>
      </c>
      <c r="G750" s="10">
        <f t="shared" si="68"/>
        <v>1253.2</v>
      </c>
      <c r="H750" s="7">
        <f t="shared" si="69"/>
        <v>1.5182535405949412E-4</v>
      </c>
      <c r="I750" s="8">
        <f t="shared" si="71"/>
        <v>0.95653282273525098</v>
      </c>
      <c r="J750" s="3" t="s">
        <v>525</v>
      </c>
    </row>
    <row r="751" spans="1:10" x14ac:dyDescent="0.25">
      <c r="A751" s="3" t="s">
        <v>762</v>
      </c>
      <c r="B751" s="3" t="str">
        <f t="shared" si="66"/>
        <v>4</v>
      </c>
      <c r="C751" s="7">
        <f t="shared" si="67"/>
        <v>6.4432989690721648E-4</v>
      </c>
      <c r="D751" s="8">
        <f t="shared" si="70"/>
        <v>0.48324742268041082</v>
      </c>
      <c r="E751" s="4">
        <v>10</v>
      </c>
      <c r="F751" s="5">
        <v>124.53</v>
      </c>
      <c r="G751" s="10">
        <f t="shared" si="68"/>
        <v>1245.3</v>
      </c>
      <c r="H751" s="7">
        <f t="shared" si="69"/>
        <v>1.5086826796224706E-4</v>
      </c>
      <c r="I751" s="8">
        <f t="shared" si="71"/>
        <v>0.95668369100321327</v>
      </c>
      <c r="J751" s="3" t="s">
        <v>525</v>
      </c>
    </row>
    <row r="752" spans="1:10" x14ac:dyDescent="0.25">
      <c r="A752" s="3" t="s">
        <v>763</v>
      </c>
      <c r="B752" s="3" t="str">
        <f t="shared" si="66"/>
        <v>6</v>
      </c>
      <c r="C752" s="7">
        <f t="shared" si="67"/>
        <v>6.4432989690721648E-4</v>
      </c>
      <c r="D752" s="8">
        <f t="shared" si="70"/>
        <v>0.48389175257731804</v>
      </c>
      <c r="E752" s="4">
        <v>49</v>
      </c>
      <c r="F752" s="5">
        <v>25.4</v>
      </c>
      <c r="G752" s="10">
        <f t="shared" si="68"/>
        <v>1244.5999999999999</v>
      </c>
      <c r="H752" s="7">
        <f t="shared" si="69"/>
        <v>1.5078346286502261E-4</v>
      </c>
      <c r="I752" s="8">
        <f t="shared" si="71"/>
        <v>0.95683447446607828</v>
      </c>
      <c r="J752" s="3" t="s">
        <v>525</v>
      </c>
    </row>
    <row r="753" spans="1:10" x14ac:dyDescent="0.25">
      <c r="A753" s="3" t="s">
        <v>764</v>
      </c>
      <c r="B753" s="3" t="str">
        <f t="shared" si="66"/>
        <v>4</v>
      </c>
      <c r="C753" s="7">
        <f t="shared" si="67"/>
        <v>6.4432989690721648E-4</v>
      </c>
      <c r="D753" s="8">
        <f t="shared" si="70"/>
        <v>0.48453608247422525</v>
      </c>
      <c r="E753" s="4">
        <v>3</v>
      </c>
      <c r="F753" s="5">
        <v>412.39</v>
      </c>
      <c r="G753" s="10">
        <f t="shared" si="68"/>
        <v>1237.17</v>
      </c>
      <c r="H753" s="7">
        <f t="shared" si="69"/>
        <v>1.4988331733305484E-4</v>
      </c>
      <c r="I753" s="8">
        <f t="shared" si="71"/>
        <v>0.95698435778341129</v>
      </c>
      <c r="J753" s="3" t="s">
        <v>525</v>
      </c>
    </row>
    <row r="754" spans="1:10" x14ac:dyDescent="0.25">
      <c r="A754" s="3" t="s">
        <v>765</v>
      </c>
      <c r="B754" s="3" t="str">
        <f t="shared" si="66"/>
        <v>4</v>
      </c>
      <c r="C754" s="7">
        <f t="shared" si="67"/>
        <v>6.4432989690721648E-4</v>
      </c>
      <c r="D754" s="8">
        <f t="shared" si="70"/>
        <v>0.48518041237113246</v>
      </c>
      <c r="E754" s="4">
        <v>7</v>
      </c>
      <c r="F754" s="5">
        <v>176.39</v>
      </c>
      <c r="G754" s="10">
        <f t="shared" si="68"/>
        <v>1234.73</v>
      </c>
      <c r="H754" s="7">
        <f t="shared" si="69"/>
        <v>1.4958771099415829E-4</v>
      </c>
      <c r="I754" s="8">
        <f t="shared" si="71"/>
        <v>0.95713394549440545</v>
      </c>
      <c r="J754" s="3" t="s">
        <v>525</v>
      </c>
    </row>
    <row r="755" spans="1:10" x14ac:dyDescent="0.25">
      <c r="A755" s="3" t="s">
        <v>766</v>
      </c>
      <c r="B755" s="3" t="str">
        <f t="shared" si="66"/>
        <v>9</v>
      </c>
      <c r="C755" s="7">
        <f t="shared" si="67"/>
        <v>6.4432989690721648E-4</v>
      </c>
      <c r="D755" s="8">
        <f t="shared" si="70"/>
        <v>0.48582474226803968</v>
      </c>
      <c r="E755" s="4">
        <v>6</v>
      </c>
      <c r="F755" s="5">
        <v>204.58</v>
      </c>
      <c r="G755" s="10">
        <f t="shared" si="68"/>
        <v>1227.48</v>
      </c>
      <c r="H755" s="7">
        <f t="shared" si="69"/>
        <v>1.4870937248719104E-4</v>
      </c>
      <c r="I755" s="8">
        <f t="shared" si="71"/>
        <v>0.95728265486689268</v>
      </c>
      <c r="J755" s="3" t="s">
        <v>525</v>
      </c>
    </row>
    <row r="756" spans="1:10" x14ac:dyDescent="0.25">
      <c r="A756" s="3" t="s">
        <v>767</v>
      </c>
      <c r="B756" s="3" t="str">
        <f t="shared" si="66"/>
        <v>1</v>
      </c>
      <c r="C756" s="7">
        <f t="shared" si="67"/>
        <v>6.4432989690721648E-4</v>
      </c>
      <c r="D756" s="8">
        <f t="shared" si="70"/>
        <v>0.48646907216494689</v>
      </c>
      <c r="E756" s="4">
        <v>3</v>
      </c>
      <c r="F756" s="5">
        <v>407.65</v>
      </c>
      <c r="G756" s="10">
        <f t="shared" si="68"/>
        <v>1222.9499999999998</v>
      </c>
      <c r="H756" s="7">
        <f t="shared" si="69"/>
        <v>1.4816056235801011E-4</v>
      </c>
      <c r="I756" s="8">
        <f t="shared" si="71"/>
        <v>0.95743081542925068</v>
      </c>
      <c r="J756" s="3" t="s">
        <v>525</v>
      </c>
    </row>
    <row r="757" spans="1:10" x14ac:dyDescent="0.25">
      <c r="A757" s="3" t="s">
        <v>768</v>
      </c>
      <c r="B757" s="3" t="str">
        <f t="shared" si="66"/>
        <v>3</v>
      </c>
      <c r="C757" s="7">
        <f t="shared" si="67"/>
        <v>6.4432989690721648E-4</v>
      </c>
      <c r="D757" s="8">
        <f t="shared" si="70"/>
        <v>0.48711340206185411</v>
      </c>
      <c r="E757" s="4">
        <v>12</v>
      </c>
      <c r="F757" s="5">
        <v>101.63</v>
      </c>
      <c r="G757" s="10">
        <f t="shared" si="68"/>
        <v>1219.56</v>
      </c>
      <c r="H757" s="7">
        <f t="shared" si="69"/>
        <v>1.4774986338716615E-4</v>
      </c>
      <c r="I757" s="8">
        <f t="shared" si="71"/>
        <v>0.95757856529263785</v>
      </c>
      <c r="J757" s="3" t="s">
        <v>525</v>
      </c>
    </row>
    <row r="758" spans="1:10" x14ac:dyDescent="0.25">
      <c r="A758" s="3" t="s">
        <v>769</v>
      </c>
      <c r="B758" s="3" t="str">
        <f t="shared" si="66"/>
        <v>8</v>
      </c>
      <c r="C758" s="7">
        <f t="shared" si="67"/>
        <v>6.4432989690721648E-4</v>
      </c>
      <c r="D758" s="8">
        <f t="shared" si="70"/>
        <v>0.48775773195876132</v>
      </c>
      <c r="E758" s="4">
        <v>23</v>
      </c>
      <c r="F758" s="5">
        <v>52.93</v>
      </c>
      <c r="G758" s="10">
        <f t="shared" si="68"/>
        <v>1217.3900000000001</v>
      </c>
      <c r="H758" s="7">
        <f t="shared" si="69"/>
        <v>1.4748696758577046E-4</v>
      </c>
      <c r="I758" s="8">
        <f t="shared" si="71"/>
        <v>0.95772605226022367</v>
      </c>
      <c r="J758" s="3" t="s">
        <v>525</v>
      </c>
    </row>
    <row r="759" spans="1:10" x14ac:dyDescent="0.25">
      <c r="A759" s="3" t="s">
        <v>770</v>
      </c>
      <c r="B759" s="3" t="str">
        <f t="shared" si="66"/>
        <v>9</v>
      </c>
      <c r="C759" s="7">
        <f t="shared" si="67"/>
        <v>6.4432989690721648E-4</v>
      </c>
      <c r="D759" s="8">
        <f t="shared" si="70"/>
        <v>0.48840206185566853</v>
      </c>
      <c r="E759" s="4">
        <v>17</v>
      </c>
      <c r="F759" s="5">
        <v>71.34</v>
      </c>
      <c r="G759" s="10">
        <f t="shared" si="68"/>
        <v>1212.78</v>
      </c>
      <c r="H759" s="7">
        <f t="shared" si="69"/>
        <v>1.4692846544547817E-4</v>
      </c>
      <c r="I759" s="8">
        <f t="shared" si="71"/>
        <v>0.95787298072566918</v>
      </c>
      <c r="J759" s="3" t="s">
        <v>525</v>
      </c>
    </row>
    <row r="760" spans="1:10" x14ac:dyDescent="0.25">
      <c r="A760" s="3" t="s">
        <v>771</v>
      </c>
      <c r="B760" s="3" t="str">
        <f t="shared" si="66"/>
        <v>1</v>
      </c>
      <c r="C760" s="7">
        <f t="shared" si="67"/>
        <v>6.4432989690721648E-4</v>
      </c>
      <c r="D760" s="8">
        <f t="shared" si="70"/>
        <v>0.48904639175257575</v>
      </c>
      <c r="E760" s="4">
        <v>4</v>
      </c>
      <c r="F760" s="5">
        <v>302.27</v>
      </c>
      <c r="G760" s="10">
        <f t="shared" si="68"/>
        <v>1209.08</v>
      </c>
      <c r="H760" s="7">
        <f t="shared" si="69"/>
        <v>1.4648020993157765E-4</v>
      </c>
      <c r="I760" s="8">
        <f t="shared" si="71"/>
        <v>0.95801946093560075</v>
      </c>
      <c r="J760" s="3" t="s">
        <v>525</v>
      </c>
    </row>
    <row r="761" spans="1:10" x14ac:dyDescent="0.25">
      <c r="A761" s="3" t="s">
        <v>772</v>
      </c>
      <c r="B761" s="3" t="str">
        <f t="shared" si="66"/>
        <v>1</v>
      </c>
      <c r="C761" s="7">
        <f t="shared" si="67"/>
        <v>6.4432989690721648E-4</v>
      </c>
      <c r="D761" s="8">
        <f t="shared" si="70"/>
        <v>0.48969072164948296</v>
      </c>
      <c r="E761" s="4">
        <v>1</v>
      </c>
      <c r="F761" s="5">
        <v>1202.45</v>
      </c>
      <c r="G761" s="10">
        <f t="shared" si="68"/>
        <v>1202.45</v>
      </c>
      <c r="H761" s="7">
        <f t="shared" si="69"/>
        <v>1.4567698451072351E-4</v>
      </c>
      <c r="I761" s="8">
        <f t="shared" si="71"/>
        <v>0.95816513792011149</v>
      </c>
      <c r="J761" s="3" t="s">
        <v>525</v>
      </c>
    </row>
    <row r="762" spans="1:10" x14ac:dyDescent="0.25">
      <c r="A762" s="3" t="s">
        <v>773</v>
      </c>
      <c r="B762" s="3" t="str">
        <f t="shared" si="66"/>
        <v>4</v>
      </c>
      <c r="C762" s="7">
        <f t="shared" si="67"/>
        <v>6.4432989690721648E-4</v>
      </c>
      <c r="D762" s="8">
        <f t="shared" si="70"/>
        <v>0.49033505154639018</v>
      </c>
      <c r="E762" s="4">
        <v>3</v>
      </c>
      <c r="F762" s="5">
        <v>399.09</v>
      </c>
      <c r="G762" s="10">
        <f t="shared" si="68"/>
        <v>1197.27</v>
      </c>
      <c r="H762" s="7">
        <f t="shared" si="69"/>
        <v>1.4504942679126277E-4</v>
      </c>
      <c r="I762" s="8">
        <f t="shared" si="71"/>
        <v>0.95831018734690276</v>
      </c>
      <c r="J762" s="3" t="s">
        <v>525</v>
      </c>
    </row>
    <row r="763" spans="1:10" x14ac:dyDescent="0.25">
      <c r="A763" s="3" t="s">
        <v>774</v>
      </c>
      <c r="B763" s="3" t="str">
        <f t="shared" si="66"/>
        <v>1</v>
      </c>
      <c r="C763" s="7">
        <f t="shared" si="67"/>
        <v>6.4432989690721648E-4</v>
      </c>
      <c r="D763" s="8">
        <f t="shared" si="70"/>
        <v>0.49097938144329739</v>
      </c>
      <c r="E763" s="4">
        <v>2</v>
      </c>
      <c r="F763" s="5">
        <v>598.34</v>
      </c>
      <c r="G763" s="10">
        <f t="shared" si="68"/>
        <v>1196.68</v>
      </c>
      <c r="H763" s="7">
        <f t="shared" si="69"/>
        <v>1.4497794820931648E-4</v>
      </c>
      <c r="I763" s="8">
        <f t="shared" si="71"/>
        <v>0.9584551652951121</v>
      </c>
      <c r="J763" s="3" t="s">
        <v>525</v>
      </c>
    </row>
    <row r="764" spans="1:10" x14ac:dyDescent="0.25">
      <c r="A764" s="3" t="s">
        <v>775</v>
      </c>
      <c r="B764" s="3" t="str">
        <f t="shared" si="66"/>
        <v>3</v>
      </c>
      <c r="C764" s="7">
        <f t="shared" si="67"/>
        <v>6.4432989690721648E-4</v>
      </c>
      <c r="D764" s="8">
        <f t="shared" si="70"/>
        <v>0.49162371134020461</v>
      </c>
      <c r="E764" s="4">
        <v>2</v>
      </c>
      <c r="F764" s="5">
        <v>596.01</v>
      </c>
      <c r="G764" s="10">
        <f t="shared" si="68"/>
        <v>1192.02</v>
      </c>
      <c r="H764" s="7">
        <f t="shared" si="69"/>
        <v>1.4441338856207959E-4</v>
      </c>
      <c r="I764" s="8">
        <f t="shared" si="71"/>
        <v>0.95859957868367418</v>
      </c>
      <c r="J764" s="3" t="s">
        <v>525</v>
      </c>
    </row>
    <row r="765" spans="1:10" x14ac:dyDescent="0.25">
      <c r="A765" s="3" t="s">
        <v>776</v>
      </c>
      <c r="B765" s="3" t="str">
        <f t="shared" si="66"/>
        <v>7</v>
      </c>
      <c r="C765" s="7">
        <f t="shared" si="67"/>
        <v>6.4432989690721648E-4</v>
      </c>
      <c r="D765" s="8">
        <f t="shared" si="70"/>
        <v>0.49226804123711182</v>
      </c>
      <c r="E765" s="4">
        <v>76</v>
      </c>
      <c r="F765" s="5">
        <v>15.57</v>
      </c>
      <c r="G765" s="10">
        <f t="shared" si="68"/>
        <v>1183.32</v>
      </c>
      <c r="H765" s="7">
        <f t="shared" si="69"/>
        <v>1.4335938235371891E-4</v>
      </c>
      <c r="I765" s="8">
        <f t="shared" si="71"/>
        <v>0.95874293806602795</v>
      </c>
      <c r="J765" s="3" t="s">
        <v>525</v>
      </c>
    </row>
    <row r="766" spans="1:10" x14ac:dyDescent="0.25">
      <c r="A766" s="3" t="s">
        <v>777</v>
      </c>
      <c r="B766" s="3" t="str">
        <f t="shared" si="66"/>
        <v>1</v>
      </c>
      <c r="C766" s="7">
        <f t="shared" si="67"/>
        <v>6.4432989690721648E-4</v>
      </c>
      <c r="D766" s="8">
        <f t="shared" si="70"/>
        <v>0.49291237113401903</v>
      </c>
      <c r="E766" s="4">
        <v>1</v>
      </c>
      <c r="F766" s="5">
        <v>1182.6300000000001</v>
      </c>
      <c r="G766" s="10">
        <f t="shared" si="68"/>
        <v>1182.6300000000001</v>
      </c>
      <c r="H766" s="7">
        <f t="shared" si="69"/>
        <v>1.4327578875788344E-4</v>
      </c>
      <c r="I766" s="8">
        <f t="shared" si="71"/>
        <v>0.95888621385478578</v>
      </c>
      <c r="J766" s="3" t="s">
        <v>525</v>
      </c>
    </row>
    <row r="767" spans="1:10" x14ac:dyDescent="0.25">
      <c r="A767" s="3" t="s">
        <v>778</v>
      </c>
      <c r="B767" s="3" t="str">
        <f t="shared" si="66"/>
        <v>8</v>
      </c>
      <c r="C767" s="7">
        <f t="shared" si="67"/>
        <v>6.4432989690721648E-4</v>
      </c>
      <c r="D767" s="8">
        <f t="shared" si="70"/>
        <v>0.49355670103092625</v>
      </c>
      <c r="E767" s="4">
        <v>18</v>
      </c>
      <c r="F767" s="5">
        <v>65.510000000000005</v>
      </c>
      <c r="G767" s="10">
        <f t="shared" si="68"/>
        <v>1179.18</v>
      </c>
      <c r="H767" s="7">
        <f t="shared" si="69"/>
        <v>1.4285782077870591E-4</v>
      </c>
      <c r="I767" s="8">
        <f t="shared" si="71"/>
        <v>0.9590290716755645</v>
      </c>
      <c r="J767" s="3" t="s">
        <v>525</v>
      </c>
    </row>
    <row r="768" spans="1:10" x14ac:dyDescent="0.25">
      <c r="A768" s="3" t="s">
        <v>779</v>
      </c>
      <c r="B768" s="3" t="str">
        <f t="shared" si="66"/>
        <v>4</v>
      </c>
      <c r="C768" s="7">
        <f t="shared" si="67"/>
        <v>6.4432989690721648E-4</v>
      </c>
      <c r="D768" s="8">
        <f t="shared" si="70"/>
        <v>0.49420103092783346</v>
      </c>
      <c r="E768" s="4">
        <v>3</v>
      </c>
      <c r="F768" s="5">
        <v>388.7</v>
      </c>
      <c r="G768" s="10">
        <f t="shared" si="68"/>
        <v>1166.0999999999999</v>
      </c>
      <c r="H768" s="7">
        <f t="shared" si="69"/>
        <v>1.4127317696199814E-4</v>
      </c>
      <c r="I768" s="8">
        <f t="shared" si="71"/>
        <v>0.9591703448525265</v>
      </c>
      <c r="J768" s="3" t="s">
        <v>525</v>
      </c>
    </row>
    <row r="769" spans="1:10" x14ac:dyDescent="0.25">
      <c r="A769" s="3" t="s">
        <v>780</v>
      </c>
      <c r="B769" s="3" t="str">
        <f t="shared" si="66"/>
        <v>3</v>
      </c>
      <c r="C769" s="7">
        <f t="shared" si="67"/>
        <v>6.4432989690721648E-4</v>
      </c>
      <c r="D769" s="8">
        <f t="shared" si="70"/>
        <v>0.49484536082474068</v>
      </c>
      <c r="E769" s="4">
        <v>10</v>
      </c>
      <c r="F769" s="5">
        <v>116.4</v>
      </c>
      <c r="G769" s="10">
        <f t="shared" si="68"/>
        <v>1164</v>
      </c>
      <c r="H769" s="7">
        <f t="shared" si="69"/>
        <v>1.4101876167032487E-4</v>
      </c>
      <c r="I769" s="8">
        <f t="shared" si="71"/>
        <v>0.95931136361419678</v>
      </c>
      <c r="J769" s="3" t="s">
        <v>525</v>
      </c>
    </row>
    <row r="770" spans="1:10" x14ac:dyDescent="0.25">
      <c r="A770" s="3" t="s">
        <v>781</v>
      </c>
      <c r="B770" s="3" t="str">
        <f t="shared" ref="B770:B833" si="72">RIGHT(A770,1)</f>
        <v>1</v>
      </c>
      <c r="C770" s="7">
        <f t="shared" ref="C770:C833" si="73">1/COUNTA(A$2:A$1553)</f>
        <v>6.4432989690721648E-4</v>
      </c>
      <c r="D770" s="8">
        <f t="shared" si="70"/>
        <v>0.49548969072164789</v>
      </c>
      <c r="E770" s="4">
        <v>1</v>
      </c>
      <c r="F770" s="5">
        <v>1144.6600000000001</v>
      </c>
      <c r="G770" s="10">
        <f t="shared" ref="G770:G833" si="74">E770*F770</f>
        <v>1144.6600000000001</v>
      </c>
      <c r="H770" s="7">
        <f t="shared" ref="H770:H833" si="75">G770/SUM(G$2:G$1553)</f>
        <v>1.38675717984153E-4</v>
      </c>
      <c r="I770" s="8">
        <f t="shared" si="71"/>
        <v>0.95945003933218098</v>
      </c>
      <c r="J770" s="3" t="s">
        <v>525</v>
      </c>
    </row>
    <row r="771" spans="1:10" x14ac:dyDescent="0.25">
      <c r="A771" s="3" t="s">
        <v>782</v>
      </c>
      <c r="B771" s="3" t="str">
        <f t="shared" si="72"/>
        <v>2</v>
      </c>
      <c r="C771" s="7">
        <f t="shared" si="73"/>
        <v>6.4432989690721648E-4</v>
      </c>
      <c r="D771" s="8">
        <f t="shared" ref="D771:D834" si="76">D770+C771</f>
        <v>0.4961340206185551</v>
      </c>
      <c r="E771" s="4">
        <v>27</v>
      </c>
      <c r="F771" s="5">
        <v>42.04</v>
      </c>
      <c r="G771" s="10">
        <f t="shared" si="74"/>
        <v>1135.08</v>
      </c>
      <c r="H771" s="7">
        <f t="shared" si="75"/>
        <v>1.375150996535673E-4</v>
      </c>
      <c r="I771" s="8">
        <f t="shared" ref="I771:I834" si="77">I770+H771</f>
        <v>0.95958755443183452</v>
      </c>
      <c r="J771" s="3" t="s">
        <v>525</v>
      </c>
    </row>
    <row r="772" spans="1:10" x14ac:dyDescent="0.25">
      <c r="A772" s="3" t="s">
        <v>783</v>
      </c>
      <c r="B772" s="3" t="str">
        <f t="shared" si="72"/>
        <v>1</v>
      </c>
      <c r="C772" s="7">
        <f t="shared" si="73"/>
        <v>6.4432989690721648E-4</v>
      </c>
      <c r="D772" s="8">
        <f t="shared" si="76"/>
        <v>0.49677835051546232</v>
      </c>
      <c r="E772" s="4">
        <v>2</v>
      </c>
      <c r="F772" s="5">
        <v>566.62</v>
      </c>
      <c r="G772" s="10">
        <f t="shared" si="74"/>
        <v>1133.24</v>
      </c>
      <c r="H772" s="7">
        <f t="shared" si="75"/>
        <v>1.3729218339800597E-4</v>
      </c>
      <c r="I772" s="8">
        <f t="shared" si="77"/>
        <v>0.9597248466152325</v>
      </c>
      <c r="J772" s="3" t="s">
        <v>525</v>
      </c>
    </row>
    <row r="773" spans="1:10" x14ac:dyDescent="0.25">
      <c r="A773" s="3" t="s">
        <v>784</v>
      </c>
      <c r="B773" s="3" t="str">
        <f t="shared" si="72"/>
        <v>3</v>
      </c>
      <c r="C773" s="7">
        <f t="shared" si="73"/>
        <v>6.4432989690721648E-4</v>
      </c>
      <c r="D773" s="8">
        <f t="shared" si="76"/>
        <v>0.49742268041236953</v>
      </c>
      <c r="E773" s="4">
        <v>1</v>
      </c>
      <c r="F773" s="5">
        <v>1130.81</v>
      </c>
      <c r="G773" s="10">
        <f t="shared" si="74"/>
        <v>1130.81</v>
      </c>
      <c r="H773" s="7">
        <f t="shared" si="75"/>
        <v>1.3699778856049834E-4</v>
      </c>
      <c r="I773" s="8">
        <f t="shared" si="77"/>
        <v>0.95986184440379296</v>
      </c>
      <c r="J773" s="3" t="s">
        <v>525</v>
      </c>
    </row>
    <row r="774" spans="1:10" x14ac:dyDescent="0.25">
      <c r="A774" s="3" t="s">
        <v>785</v>
      </c>
      <c r="B774" s="3" t="str">
        <f t="shared" si="72"/>
        <v>1</v>
      </c>
      <c r="C774" s="7">
        <f t="shared" si="73"/>
        <v>6.4432989690721648E-4</v>
      </c>
      <c r="D774" s="8">
        <f t="shared" si="76"/>
        <v>0.49806701030927675</v>
      </c>
      <c r="E774" s="4">
        <v>3</v>
      </c>
      <c r="F774" s="5">
        <v>374.5</v>
      </c>
      <c r="G774" s="10">
        <f t="shared" si="74"/>
        <v>1123.5</v>
      </c>
      <c r="H774" s="7">
        <f t="shared" si="75"/>
        <v>1.3611218104519758E-4</v>
      </c>
      <c r="I774" s="8">
        <f t="shared" si="77"/>
        <v>0.95999795658483811</v>
      </c>
      <c r="J774" s="3" t="s">
        <v>525</v>
      </c>
    </row>
    <row r="775" spans="1:10" x14ac:dyDescent="0.25">
      <c r="A775" s="3" t="s">
        <v>786</v>
      </c>
      <c r="B775" s="3" t="str">
        <f t="shared" si="72"/>
        <v>1</v>
      </c>
      <c r="C775" s="7">
        <f t="shared" si="73"/>
        <v>6.4432989690721648E-4</v>
      </c>
      <c r="D775" s="8">
        <f t="shared" si="76"/>
        <v>0.49871134020618396</v>
      </c>
      <c r="E775" s="4">
        <v>2</v>
      </c>
      <c r="F775" s="5">
        <v>557.86</v>
      </c>
      <c r="G775" s="10">
        <f t="shared" si="74"/>
        <v>1115.72</v>
      </c>
      <c r="H775" s="7">
        <f t="shared" si="75"/>
        <v>1.3516963296461757E-4</v>
      </c>
      <c r="I775" s="8">
        <f t="shared" si="77"/>
        <v>0.96013312621780278</v>
      </c>
      <c r="J775" s="3" t="s">
        <v>525</v>
      </c>
    </row>
    <row r="776" spans="1:10" x14ac:dyDescent="0.25">
      <c r="A776" s="3" t="s">
        <v>787</v>
      </c>
      <c r="B776" s="3" t="str">
        <f t="shared" si="72"/>
        <v>4</v>
      </c>
      <c r="C776" s="7">
        <f t="shared" si="73"/>
        <v>6.4432989690721648E-4</v>
      </c>
      <c r="D776" s="8">
        <f t="shared" si="76"/>
        <v>0.49935567010309118</v>
      </c>
      <c r="E776" s="4">
        <v>5</v>
      </c>
      <c r="F776" s="5">
        <v>222.1</v>
      </c>
      <c r="G776" s="10">
        <f t="shared" si="74"/>
        <v>1110.5</v>
      </c>
      <c r="H776" s="7">
        <f t="shared" si="75"/>
        <v>1.3453722923960118E-4</v>
      </c>
      <c r="I776" s="8">
        <f t="shared" si="77"/>
        <v>0.9602676634470424</v>
      </c>
      <c r="J776" s="3" t="s">
        <v>525</v>
      </c>
    </row>
    <row r="777" spans="1:10" x14ac:dyDescent="0.25">
      <c r="A777" s="3" t="s">
        <v>788</v>
      </c>
      <c r="B777" s="3" t="str">
        <f t="shared" si="72"/>
        <v>3</v>
      </c>
      <c r="C777" s="7">
        <f t="shared" si="73"/>
        <v>6.4432989690721648E-4</v>
      </c>
      <c r="D777" s="8">
        <f t="shared" si="76"/>
        <v>0.49999999999999839</v>
      </c>
      <c r="E777" s="4">
        <v>1</v>
      </c>
      <c r="F777" s="5">
        <v>1109.07</v>
      </c>
      <c r="G777" s="10">
        <f t="shared" si="74"/>
        <v>1109.07</v>
      </c>
      <c r="H777" s="7">
        <f t="shared" si="75"/>
        <v>1.3436398454098558E-4</v>
      </c>
      <c r="I777" s="8">
        <f t="shared" si="77"/>
        <v>0.96040202743158343</v>
      </c>
      <c r="J777" s="3" t="s">
        <v>525</v>
      </c>
    </row>
    <row r="778" spans="1:10" x14ac:dyDescent="0.25">
      <c r="A778" s="3" t="s">
        <v>789</v>
      </c>
      <c r="B778" s="3" t="str">
        <f t="shared" si="72"/>
        <v>1</v>
      </c>
      <c r="C778" s="7">
        <f t="shared" si="73"/>
        <v>6.4432989690721648E-4</v>
      </c>
      <c r="D778" s="8">
        <f t="shared" si="76"/>
        <v>0.50064432989690566</v>
      </c>
      <c r="E778" s="4">
        <v>2</v>
      </c>
      <c r="F778" s="5">
        <v>551.75</v>
      </c>
      <c r="G778" s="10">
        <f t="shared" si="74"/>
        <v>1103.5</v>
      </c>
      <c r="H778" s="7">
        <f t="shared" si="75"/>
        <v>1.3368917826735694E-4</v>
      </c>
      <c r="I778" s="8">
        <f t="shared" si="77"/>
        <v>0.96053571660985082</v>
      </c>
      <c r="J778" s="3" t="s">
        <v>525</v>
      </c>
    </row>
    <row r="779" spans="1:10" x14ac:dyDescent="0.25">
      <c r="A779" s="3" t="s">
        <v>790</v>
      </c>
      <c r="B779" s="3" t="str">
        <f t="shared" si="72"/>
        <v>1</v>
      </c>
      <c r="C779" s="7">
        <f t="shared" si="73"/>
        <v>6.4432989690721648E-4</v>
      </c>
      <c r="D779" s="8">
        <f t="shared" si="76"/>
        <v>0.50128865979381287</v>
      </c>
      <c r="E779" s="4">
        <v>1</v>
      </c>
      <c r="F779" s="5">
        <v>1099.24</v>
      </c>
      <c r="G779" s="10">
        <f t="shared" si="74"/>
        <v>1099.24</v>
      </c>
      <c r="H779" s="7">
        <f t="shared" si="75"/>
        <v>1.3317307867567692E-4</v>
      </c>
      <c r="I779" s="8">
        <f t="shared" si="77"/>
        <v>0.96066888968852648</v>
      </c>
      <c r="J779" s="3" t="s">
        <v>525</v>
      </c>
    </row>
    <row r="780" spans="1:10" x14ac:dyDescent="0.25">
      <c r="A780" s="3" t="s">
        <v>791</v>
      </c>
      <c r="B780" s="3" t="str">
        <f t="shared" si="72"/>
        <v>3</v>
      </c>
      <c r="C780" s="7">
        <f t="shared" si="73"/>
        <v>6.4432989690721648E-4</v>
      </c>
      <c r="D780" s="8">
        <f t="shared" si="76"/>
        <v>0.50193298969072009</v>
      </c>
      <c r="E780" s="4">
        <v>1</v>
      </c>
      <c r="F780" s="5">
        <v>1098.5899999999999</v>
      </c>
      <c r="G780" s="10">
        <f t="shared" si="74"/>
        <v>1098.5899999999999</v>
      </c>
      <c r="H780" s="7">
        <f t="shared" si="75"/>
        <v>1.3309433108539708E-4</v>
      </c>
      <c r="I780" s="8">
        <f t="shared" si="77"/>
        <v>0.96080198401961192</v>
      </c>
      <c r="J780" s="3" t="s">
        <v>525</v>
      </c>
    </row>
    <row r="781" spans="1:10" x14ac:dyDescent="0.25">
      <c r="A781" s="3" t="s">
        <v>792</v>
      </c>
      <c r="B781" s="3" t="str">
        <f t="shared" si="72"/>
        <v>9</v>
      </c>
      <c r="C781" s="7">
        <f t="shared" si="73"/>
        <v>6.4432989690721648E-4</v>
      </c>
      <c r="D781" s="8">
        <f t="shared" si="76"/>
        <v>0.5025773195876273</v>
      </c>
      <c r="E781" s="4">
        <v>5</v>
      </c>
      <c r="F781" s="5">
        <v>218.82</v>
      </c>
      <c r="G781" s="10">
        <f t="shared" si="74"/>
        <v>1094.0999999999999</v>
      </c>
      <c r="H781" s="7">
        <f t="shared" si="75"/>
        <v>1.3255036696177184E-4</v>
      </c>
      <c r="I781" s="8">
        <f t="shared" si="77"/>
        <v>0.96093453438657372</v>
      </c>
      <c r="J781" s="3" t="s">
        <v>525</v>
      </c>
    </row>
    <row r="782" spans="1:10" x14ac:dyDescent="0.25">
      <c r="A782" s="3" t="s">
        <v>793</v>
      </c>
      <c r="B782" s="3" t="str">
        <f t="shared" si="72"/>
        <v>5</v>
      </c>
      <c r="C782" s="7">
        <f t="shared" si="73"/>
        <v>6.4432989690721648E-4</v>
      </c>
      <c r="D782" s="8">
        <f t="shared" si="76"/>
        <v>0.50322164948453452</v>
      </c>
      <c r="E782" s="4">
        <v>6</v>
      </c>
      <c r="F782" s="5">
        <v>182.32</v>
      </c>
      <c r="G782" s="10">
        <f t="shared" si="74"/>
        <v>1093.92</v>
      </c>
      <c r="H782" s="7">
        <f t="shared" si="75"/>
        <v>1.325285599367713E-4</v>
      </c>
      <c r="I782" s="8">
        <f t="shared" si="77"/>
        <v>0.96106706294651045</v>
      </c>
      <c r="J782" s="3" t="s">
        <v>525</v>
      </c>
    </row>
    <row r="783" spans="1:10" x14ac:dyDescent="0.25">
      <c r="A783" s="3" t="s">
        <v>794</v>
      </c>
      <c r="B783" s="3" t="str">
        <f t="shared" si="72"/>
        <v>1</v>
      </c>
      <c r="C783" s="7">
        <f t="shared" si="73"/>
        <v>6.4432989690721648E-4</v>
      </c>
      <c r="D783" s="8">
        <f t="shared" si="76"/>
        <v>0.50386597938144173</v>
      </c>
      <c r="E783" s="4">
        <v>1</v>
      </c>
      <c r="F783" s="5">
        <v>1086.3900000000001</v>
      </c>
      <c r="G783" s="10">
        <f t="shared" si="74"/>
        <v>1086.3900000000001</v>
      </c>
      <c r="H783" s="7">
        <f t="shared" si="75"/>
        <v>1.316162993909143E-4</v>
      </c>
      <c r="I783" s="8">
        <f t="shared" si="77"/>
        <v>0.96119867924590141</v>
      </c>
      <c r="J783" s="3" t="s">
        <v>525</v>
      </c>
    </row>
    <row r="784" spans="1:10" x14ac:dyDescent="0.25">
      <c r="A784" s="3" t="s">
        <v>795</v>
      </c>
      <c r="B784" s="3" t="str">
        <f t="shared" si="72"/>
        <v>5</v>
      </c>
      <c r="C784" s="7">
        <f t="shared" si="73"/>
        <v>6.4432989690721648E-4</v>
      </c>
      <c r="D784" s="8">
        <f t="shared" si="76"/>
        <v>0.50451030927834895</v>
      </c>
      <c r="E784" s="4">
        <v>9</v>
      </c>
      <c r="F784" s="5">
        <v>120.68</v>
      </c>
      <c r="G784" s="10">
        <f t="shared" si="74"/>
        <v>1086.1200000000001</v>
      </c>
      <c r="H784" s="7">
        <f t="shared" si="75"/>
        <v>1.3158358885341346E-4</v>
      </c>
      <c r="I784" s="8">
        <f t="shared" si="77"/>
        <v>0.96133026283475487</v>
      </c>
      <c r="J784" s="3" t="s">
        <v>525</v>
      </c>
    </row>
    <row r="785" spans="1:10" x14ac:dyDescent="0.25">
      <c r="A785" s="3" t="s">
        <v>796</v>
      </c>
      <c r="B785" s="3" t="str">
        <f t="shared" si="72"/>
        <v>5</v>
      </c>
      <c r="C785" s="7">
        <f t="shared" si="73"/>
        <v>6.4432989690721648E-4</v>
      </c>
      <c r="D785" s="8">
        <f t="shared" si="76"/>
        <v>0.50515463917525616</v>
      </c>
      <c r="E785" s="4">
        <v>6</v>
      </c>
      <c r="F785" s="5">
        <v>180.19</v>
      </c>
      <c r="G785" s="10">
        <f t="shared" si="74"/>
        <v>1081.1399999999999</v>
      </c>
      <c r="H785" s="7">
        <f t="shared" si="75"/>
        <v>1.3098026116173113E-4</v>
      </c>
      <c r="I785" s="8">
        <f t="shared" si="77"/>
        <v>0.96146124309591663</v>
      </c>
      <c r="J785" s="3" t="s">
        <v>525</v>
      </c>
    </row>
    <row r="786" spans="1:10" x14ac:dyDescent="0.25">
      <c r="A786" s="3" t="s">
        <v>797</v>
      </c>
      <c r="B786" s="3" t="str">
        <f t="shared" si="72"/>
        <v>6</v>
      </c>
      <c r="C786" s="7">
        <f t="shared" si="73"/>
        <v>6.4432989690721648E-4</v>
      </c>
      <c r="D786" s="8">
        <f t="shared" si="76"/>
        <v>0.50579896907216337</v>
      </c>
      <c r="E786" s="4">
        <v>15</v>
      </c>
      <c r="F786" s="5">
        <v>72.040000000000006</v>
      </c>
      <c r="G786" s="10">
        <f t="shared" si="74"/>
        <v>1080.6000000000001</v>
      </c>
      <c r="H786" s="7">
        <f t="shared" si="75"/>
        <v>1.3091484008672944E-4</v>
      </c>
      <c r="I786" s="8">
        <f t="shared" si="77"/>
        <v>0.96159215793600339</v>
      </c>
      <c r="J786" s="3" t="s">
        <v>525</v>
      </c>
    </row>
    <row r="787" spans="1:10" x14ac:dyDescent="0.25">
      <c r="A787" s="3" t="s">
        <v>798</v>
      </c>
      <c r="B787" s="3" t="str">
        <f t="shared" si="72"/>
        <v>1</v>
      </c>
      <c r="C787" s="7">
        <f t="shared" si="73"/>
        <v>6.4432989690721648E-4</v>
      </c>
      <c r="D787" s="8">
        <f t="shared" si="76"/>
        <v>0.50644329896907059</v>
      </c>
      <c r="E787" s="4">
        <v>1</v>
      </c>
      <c r="F787" s="5">
        <v>1079.05</v>
      </c>
      <c r="G787" s="10">
        <f t="shared" si="74"/>
        <v>1079.05</v>
      </c>
      <c r="H787" s="7">
        <f t="shared" si="75"/>
        <v>1.3072705737144678E-4</v>
      </c>
      <c r="I787" s="8">
        <f t="shared" si="77"/>
        <v>0.96172288499337488</v>
      </c>
      <c r="J787" s="3" t="s">
        <v>525</v>
      </c>
    </row>
    <row r="788" spans="1:10" x14ac:dyDescent="0.25">
      <c r="A788" s="3" t="s">
        <v>799</v>
      </c>
      <c r="B788" s="3" t="str">
        <f t="shared" si="72"/>
        <v>3</v>
      </c>
      <c r="C788" s="7">
        <f t="shared" si="73"/>
        <v>6.4432989690721648E-4</v>
      </c>
      <c r="D788" s="8">
        <f t="shared" si="76"/>
        <v>0.5070876288659778</v>
      </c>
      <c r="E788" s="4">
        <v>1</v>
      </c>
      <c r="F788" s="5">
        <v>1064.79</v>
      </c>
      <c r="G788" s="10">
        <f t="shared" si="74"/>
        <v>1064.79</v>
      </c>
      <c r="H788" s="7">
        <f t="shared" si="75"/>
        <v>1.289994563908464E-4</v>
      </c>
      <c r="I788" s="8">
        <f t="shared" si="77"/>
        <v>0.96185188444976577</v>
      </c>
      <c r="J788" s="3" t="s">
        <v>525</v>
      </c>
    </row>
    <row r="789" spans="1:10" x14ac:dyDescent="0.25">
      <c r="A789" s="3" t="s">
        <v>800</v>
      </c>
      <c r="B789" s="3" t="str">
        <f t="shared" si="72"/>
        <v>1</v>
      </c>
      <c r="C789" s="7">
        <f t="shared" si="73"/>
        <v>6.4432989690721648E-4</v>
      </c>
      <c r="D789" s="8">
        <f t="shared" si="76"/>
        <v>0.50773195876288502</v>
      </c>
      <c r="E789" s="4">
        <v>1</v>
      </c>
      <c r="F789" s="5">
        <v>1062.52</v>
      </c>
      <c r="G789" s="10">
        <f t="shared" si="74"/>
        <v>1062.52</v>
      </c>
      <c r="H789" s="7">
        <f t="shared" si="75"/>
        <v>1.2872444557556151E-4</v>
      </c>
      <c r="I789" s="8">
        <f t="shared" si="77"/>
        <v>0.96198060889534132</v>
      </c>
      <c r="J789" s="3" t="s">
        <v>525</v>
      </c>
    </row>
    <row r="790" spans="1:10" x14ac:dyDescent="0.25">
      <c r="A790" s="3" t="s">
        <v>801</v>
      </c>
      <c r="B790" s="3" t="str">
        <f t="shared" si="72"/>
        <v>3</v>
      </c>
      <c r="C790" s="7">
        <f t="shared" si="73"/>
        <v>6.4432989690721648E-4</v>
      </c>
      <c r="D790" s="8">
        <f t="shared" si="76"/>
        <v>0.50837628865979223</v>
      </c>
      <c r="E790" s="4">
        <v>8</v>
      </c>
      <c r="F790" s="5">
        <v>132.71</v>
      </c>
      <c r="G790" s="10">
        <f t="shared" si="74"/>
        <v>1061.68</v>
      </c>
      <c r="H790" s="7">
        <f t="shared" si="75"/>
        <v>1.286226794588922E-4</v>
      </c>
      <c r="I790" s="8">
        <f t="shared" si="77"/>
        <v>0.96210923157480022</v>
      </c>
      <c r="J790" s="3" t="s">
        <v>525</v>
      </c>
    </row>
    <row r="791" spans="1:10" x14ac:dyDescent="0.25">
      <c r="A791" s="3" t="s">
        <v>802</v>
      </c>
      <c r="B791" s="3" t="str">
        <f t="shared" si="72"/>
        <v>1</v>
      </c>
      <c r="C791" s="7">
        <f t="shared" si="73"/>
        <v>6.4432989690721648E-4</v>
      </c>
      <c r="D791" s="8">
        <f t="shared" si="76"/>
        <v>0.50902061855669944</v>
      </c>
      <c r="E791" s="4">
        <v>1</v>
      </c>
      <c r="F791" s="5">
        <v>1059.4000000000001</v>
      </c>
      <c r="G791" s="10">
        <f t="shared" si="74"/>
        <v>1059.4000000000001</v>
      </c>
      <c r="H791" s="7">
        <f t="shared" si="75"/>
        <v>1.2834645714221836E-4</v>
      </c>
      <c r="I791" s="8">
        <f t="shared" si="77"/>
        <v>0.96223757803194243</v>
      </c>
      <c r="J791" s="3" t="s">
        <v>525</v>
      </c>
    </row>
    <row r="792" spans="1:10" x14ac:dyDescent="0.25">
      <c r="A792" s="3" t="s">
        <v>803</v>
      </c>
      <c r="B792" s="3" t="str">
        <f t="shared" si="72"/>
        <v>7</v>
      </c>
      <c r="C792" s="7">
        <f t="shared" si="73"/>
        <v>6.4432989690721648E-4</v>
      </c>
      <c r="D792" s="8">
        <f t="shared" si="76"/>
        <v>0.50966494845360666</v>
      </c>
      <c r="E792" s="4">
        <v>14</v>
      </c>
      <c r="F792" s="5">
        <v>75.53</v>
      </c>
      <c r="G792" s="10">
        <f t="shared" si="74"/>
        <v>1057.42</v>
      </c>
      <c r="H792" s="7">
        <f t="shared" si="75"/>
        <v>1.2810657986721215E-4</v>
      </c>
      <c r="I792" s="8">
        <f t="shared" si="77"/>
        <v>0.9623656846118096</v>
      </c>
      <c r="J792" s="3" t="s">
        <v>525</v>
      </c>
    </row>
    <row r="793" spans="1:10" x14ac:dyDescent="0.25">
      <c r="A793" s="3" t="s">
        <v>804</v>
      </c>
      <c r="B793" s="3" t="str">
        <f t="shared" si="72"/>
        <v>1</v>
      </c>
      <c r="C793" s="7">
        <f t="shared" si="73"/>
        <v>6.4432989690721648E-4</v>
      </c>
      <c r="D793" s="8">
        <f t="shared" si="76"/>
        <v>0.51030927835051387</v>
      </c>
      <c r="E793" s="4">
        <v>2</v>
      </c>
      <c r="F793" s="5">
        <v>524.04999999999995</v>
      </c>
      <c r="G793" s="10">
        <f t="shared" si="74"/>
        <v>1048.0999999999999</v>
      </c>
      <c r="H793" s="7">
        <f t="shared" si="75"/>
        <v>1.2697746057273838E-4</v>
      </c>
      <c r="I793" s="8">
        <f t="shared" si="77"/>
        <v>0.96249266207238238</v>
      </c>
      <c r="J793" s="3" t="s">
        <v>525</v>
      </c>
    </row>
    <row r="794" spans="1:10" x14ac:dyDescent="0.25">
      <c r="A794" s="3" t="s">
        <v>805</v>
      </c>
      <c r="B794" s="3" t="str">
        <f t="shared" si="72"/>
        <v>3</v>
      </c>
      <c r="C794" s="7">
        <f t="shared" si="73"/>
        <v>6.4432989690721648E-4</v>
      </c>
      <c r="D794" s="8">
        <f t="shared" si="76"/>
        <v>0.51095360824742109</v>
      </c>
      <c r="E794" s="4">
        <v>8</v>
      </c>
      <c r="F794" s="5">
        <v>130.84</v>
      </c>
      <c r="G794" s="10">
        <f t="shared" si="74"/>
        <v>1046.72</v>
      </c>
      <c r="H794" s="7">
        <f t="shared" si="75"/>
        <v>1.2681027338106739E-4</v>
      </c>
      <c r="I794" s="8">
        <f t="shared" si="77"/>
        <v>0.96261947234576339</v>
      </c>
      <c r="J794" s="3" t="s">
        <v>525</v>
      </c>
    </row>
    <row r="795" spans="1:10" x14ac:dyDescent="0.25">
      <c r="A795" s="3" t="s">
        <v>806</v>
      </c>
      <c r="B795" s="3" t="str">
        <f t="shared" si="72"/>
        <v>3</v>
      </c>
      <c r="C795" s="7">
        <f t="shared" si="73"/>
        <v>6.4432989690721648E-4</v>
      </c>
      <c r="D795" s="8">
        <f t="shared" si="76"/>
        <v>0.5115979381443283</v>
      </c>
      <c r="E795" s="4">
        <v>1</v>
      </c>
      <c r="F795" s="5">
        <v>1034.3399999999999</v>
      </c>
      <c r="G795" s="10">
        <f t="shared" si="74"/>
        <v>1034.3399999999999</v>
      </c>
      <c r="H795" s="7">
        <f t="shared" si="75"/>
        <v>1.2531043466158405E-4</v>
      </c>
      <c r="I795" s="8">
        <f t="shared" si="77"/>
        <v>0.96274478278042497</v>
      </c>
      <c r="J795" s="3" t="s">
        <v>525</v>
      </c>
    </row>
    <row r="796" spans="1:10" x14ac:dyDescent="0.25">
      <c r="A796" s="3" t="s">
        <v>807</v>
      </c>
      <c r="B796" s="3" t="str">
        <f t="shared" si="72"/>
        <v>7</v>
      </c>
      <c r="C796" s="7">
        <f t="shared" si="73"/>
        <v>6.4432989690721648E-4</v>
      </c>
      <c r="D796" s="8">
        <f t="shared" si="76"/>
        <v>0.51224226804123552</v>
      </c>
      <c r="E796" s="4">
        <v>11</v>
      </c>
      <c r="F796" s="5">
        <v>94.02</v>
      </c>
      <c r="G796" s="10">
        <f t="shared" si="74"/>
        <v>1034.22</v>
      </c>
      <c r="H796" s="7">
        <f t="shared" si="75"/>
        <v>1.2529589664491702E-4</v>
      </c>
      <c r="I796" s="8">
        <f t="shared" si="77"/>
        <v>0.96287007867706986</v>
      </c>
      <c r="J796" s="3" t="s">
        <v>525</v>
      </c>
    </row>
    <row r="797" spans="1:10" x14ac:dyDescent="0.25">
      <c r="A797" s="3" t="s">
        <v>808</v>
      </c>
      <c r="B797" s="3" t="str">
        <f t="shared" si="72"/>
        <v>1</v>
      </c>
      <c r="C797" s="7">
        <f t="shared" si="73"/>
        <v>6.4432989690721648E-4</v>
      </c>
      <c r="D797" s="8">
        <f t="shared" si="76"/>
        <v>0.51288659793814273</v>
      </c>
      <c r="E797" s="4">
        <v>2</v>
      </c>
      <c r="F797" s="5">
        <v>516.76</v>
      </c>
      <c r="G797" s="10">
        <f t="shared" si="74"/>
        <v>1033.52</v>
      </c>
      <c r="H797" s="7">
        <f t="shared" si="75"/>
        <v>1.2521109154769257E-4</v>
      </c>
      <c r="I797" s="8">
        <f t="shared" si="77"/>
        <v>0.96299528976861759</v>
      </c>
      <c r="J797" s="3" t="s">
        <v>525</v>
      </c>
    </row>
    <row r="798" spans="1:10" x14ac:dyDescent="0.25">
      <c r="A798" s="3" t="s">
        <v>809</v>
      </c>
      <c r="B798" s="3" t="str">
        <f t="shared" si="72"/>
        <v>1</v>
      </c>
      <c r="C798" s="7">
        <f t="shared" si="73"/>
        <v>6.4432989690721648E-4</v>
      </c>
      <c r="D798" s="8">
        <f t="shared" si="76"/>
        <v>0.51353092783504994</v>
      </c>
      <c r="E798" s="4">
        <v>1</v>
      </c>
      <c r="F798" s="5">
        <v>1027.03</v>
      </c>
      <c r="G798" s="10">
        <f t="shared" si="74"/>
        <v>1027.03</v>
      </c>
      <c r="H798" s="7">
        <f t="shared" si="75"/>
        <v>1.2442482714628328E-4</v>
      </c>
      <c r="I798" s="8">
        <f t="shared" si="77"/>
        <v>0.96311971459576384</v>
      </c>
      <c r="J798" s="3" t="s">
        <v>525</v>
      </c>
    </row>
    <row r="799" spans="1:10" x14ac:dyDescent="0.25">
      <c r="A799" s="3" t="s">
        <v>810</v>
      </c>
      <c r="B799" s="3" t="str">
        <f t="shared" si="72"/>
        <v>3</v>
      </c>
      <c r="C799" s="7">
        <f t="shared" si="73"/>
        <v>6.4432989690721648E-4</v>
      </c>
      <c r="D799" s="8">
        <f t="shared" si="76"/>
        <v>0.51417525773195716</v>
      </c>
      <c r="E799" s="4">
        <v>18</v>
      </c>
      <c r="F799" s="5">
        <v>56.95</v>
      </c>
      <c r="G799" s="10">
        <f t="shared" si="74"/>
        <v>1025.1000000000001</v>
      </c>
      <c r="H799" s="7">
        <f t="shared" si="75"/>
        <v>1.2419100737822168E-4</v>
      </c>
      <c r="I799" s="8">
        <f t="shared" si="77"/>
        <v>0.9632439056031421</v>
      </c>
      <c r="J799" s="3" t="s">
        <v>525</v>
      </c>
    </row>
    <row r="800" spans="1:10" x14ac:dyDescent="0.25">
      <c r="A800" s="3" t="s">
        <v>811</v>
      </c>
      <c r="B800" s="3" t="str">
        <f t="shared" si="72"/>
        <v>3</v>
      </c>
      <c r="C800" s="7">
        <f t="shared" si="73"/>
        <v>6.4432989690721648E-4</v>
      </c>
      <c r="D800" s="8">
        <f t="shared" si="76"/>
        <v>0.51481958762886437</v>
      </c>
      <c r="E800" s="4">
        <v>1</v>
      </c>
      <c r="F800" s="5">
        <v>1019.23</v>
      </c>
      <c r="G800" s="10">
        <f t="shared" si="74"/>
        <v>1019.23</v>
      </c>
      <c r="H800" s="7">
        <f t="shared" si="75"/>
        <v>1.2347985606292545E-4</v>
      </c>
      <c r="I800" s="8">
        <f t="shared" si="77"/>
        <v>0.96336738545920508</v>
      </c>
      <c r="J800" s="3" t="s">
        <v>525</v>
      </c>
    </row>
    <row r="801" spans="1:10" x14ac:dyDescent="0.25">
      <c r="A801" s="3" t="s">
        <v>812</v>
      </c>
      <c r="B801" s="3" t="str">
        <f t="shared" si="72"/>
        <v>8</v>
      </c>
      <c r="C801" s="7">
        <f t="shared" si="73"/>
        <v>6.4432989690721648E-4</v>
      </c>
      <c r="D801" s="8">
        <f t="shared" si="76"/>
        <v>0.51546391752577159</v>
      </c>
      <c r="E801" s="4">
        <v>21</v>
      </c>
      <c r="F801" s="5">
        <v>48.53</v>
      </c>
      <c r="G801" s="10">
        <f t="shared" si="74"/>
        <v>1019.13</v>
      </c>
      <c r="H801" s="7">
        <f t="shared" si="75"/>
        <v>1.2346774104903625E-4</v>
      </c>
      <c r="I801" s="8">
        <f t="shared" si="77"/>
        <v>0.96349085320025407</v>
      </c>
      <c r="J801" s="3" t="s">
        <v>525</v>
      </c>
    </row>
    <row r="802" spans="1:10" x14ac:dyDescent="0.25">
      <c r="A802" s="3" t="s">
        <v>813</v>
      </c>
      <c r="B802" s="3" t="str">
        <f t="shared" si="72"/>
        <v>4</v>
      </c>
      <c r="C802" s="7">
        <f t="shared" si="73"/>
        <v>6.4432989690721648E-4</v>
      </c>
      <c r="D802" s="8">
        <f t="shared" si="76"/>
        <v>0.5161082474226788</v>
      </c>
      <c r="E802" s="4">
        <v>12</v>
      </c>
      <c r="F802" s="5">
        <v>84.66</v>
      </c>
      <c r="G802" s="10">
        <f t="shared" si="74"/>
        <v>1015.92</v>
      </c>
      <c r="H802" s="7">
        <f t="shared" si="75"/>
        <v>1.2307884910319283E-4</v>
      </c>
      <c r="I802" s="8">
        <f t="shared" si="77"/>
        <v>0.9636139320493573</v>
      </c>
      <c r="J802" s="3" t="s">
        <v>525</v>
      </c>
    </row>
    <row r="803" spans="1:10" x14ac:dyDescent="0.25">
      <c r="A803" s="3" t="s">
        <v>814</v>
      </c>
      <c r="B803" s="3" t="str">
        <f t="shared" si="72"/>
        <v>9</v>
      </c>
      <c r="C803" s="7">
        <f t="shared" si="73"/>
        <v>6.4432989690721648E-4</v>
      </c>
      <c r="D803" s="8">
        <f t="shared" si="76"/>
        <v>0.51675257731958602</v>
      </c>
      <c r="E803" s="4">
        <v>9</v>
      </c>
      <c r="F803" s="5">
        <v>112.52</v>
      </c>
      <c r="G803" s="10">
        <f t="shared" si="74"/>
        <v>1012.68</v>
      </c>
      <c r="H803" s="7">
        <f t="shared" si="75"/>
        <v>1.2268632265318262E-4</v>
      </c>
      <c r="I803" s="8">
        <f t="shared" si="77"/>
        <v>0.96373661837201052</v>
      </c>
      <c r="J803" s="3" t="s">
        <v>525</v>
      </c>
    </row>
    <row r="804" spans="1:10" x14ac:dyDescent="0.25">
      <c r="A804" s="3" t="s">
        <v>815</v>
      </c>
      <c r="B804" s="3" t="str">
        <f t="shared" si="72"/>
        <v>8</v>
      </c>
      <c r="C804" s="7">
        <f t="shared" si="73"/>
        <v>6.4432989690721648E-4</v>
      </c>
      <c r="D804" s="8">
        <f t="shared" si="76"/>
        <v>0.51739690721649323</v>
      </c>
      <c r="E804" s="4">
        <v>44</v>
      </c>
      <c r="F804" s="5">
        <v>23.01</v>
      </c>
      <c r="G804" s="10">
        <f t="shared" si="74"/>
        <v>1012.44</v>
      </c>
      <c r="H804" s="7">
        <f t="shared" si="75"/>
        <v>1.2265724661984857E-4</v>
      </c>
      <c r="I804" s="8">
        <f t="shared" si="77"/>
        <v>0.96385927561863038</v>
      </c>
      <c r="J804" s="3" t="s">
        <v>525</v>
      </c>
    </row>
    <row r="805" spans="1:10" x14ac:dyDescent="0.25">
      <c r="A805" s="3" t="s">
        <v>816</v>
      </c>
      <c r="B805" s="3" t="str">
        <f t="shared" si="72"/>
        <v>1</v>
      </c>
      <c r="C805" s="7">
        <f t="shared" si="73"/>
        <v>6.4432989690721648E-4</v>
      </c>
      <c r="D805" s="8">
        <f t="shared" si="76"/>
        <v>0.51804123711340044</v>
      </c>
      <c r="E805" s="4">
        <v>1</v>
      </c>
      <c r="F805" s="5">
        <v>1010.88</v>
      </c>
      <c r="G805" s="10">
        <f t="shared" si="74"/>
        <v>1010.88</v>
      </c>
      <c r="H805" s="7">
        <f t="shared" si="75"/>
        <v>1.2246825240317698E-4</v>
      </c>
      <c r="I805" s="8">
        <f t="shared" si="77"/>
        <v>0.96398174387103353</v>
      </c>
      <c r="J805" s="3" t="s">
        <v>525</v>
      </c>
    </row>
    <row r="806" spans="1:10" x14ac:dyDescent="0.25">
      <c r="A806" s="3" t="s">
        <v>817</v>
      </c>
      <c r="B806" s="3" t="str">
        <f t="shared" si="72"/>
        <v>3</v>
      </c>
      <c r="C806" s="7">
        <f t="shared" si="73"/>
        <v>6.4432989690721648E-4</v>
      </c>
      <c r="D806" s="8">
        <f t="shared" si="76"/>
        <v>0.51868556701030766</v>
      </c>
      <c r="E806" s="4">
        <v>1</v>
      </c>
      <c r="F806" s="5">
        <v>1006.71</v>
      </c>
      <c r="G806" s="10">
        <f t="shared" si="74"/>
        <v>1006.71</v>
      </c>
      <c r="H806" s="7">
        <f t="shared" si="75"/>
        <v>1.2196305632399722E-4</v>
      </c>
      <c r="I806" s="8">
        <f t="shared" si="77"/>
        <v>0.96410370692735747</v>
      </c>
      <c r="J806" s="3" t="s">
        <v>525</v>
      </c>
    </row>
    <row r="807" spans="1:10" x14ac:dyDescent="0.25">
      <c r="A807" s="3" t="s">
        <v>818</v>
      </c>
      <c r="B807" s="3" t="str">
        <f t="shared" si="72"/>
        <v>8</v>
      </c>
      <c r="C807" s="7">
        <f t="shared" si="73"/>
        <v>6.4432989690721648E-4</v>
      </c>
      <c r="D807" s="8">
        <f t="shared" si="76"/>
        <v>0.51932989690721487</v>
      </c>
      <c r="E807" s="4">
        <v>15</v>
      </c>
      <c r="F807" s="5">
        <v>66.87</v>
      </c>
      <c r="G807" s="10">
        <f t="shared" si="74"/>
        <v>1003.0500000000001</v>
      </c>
      <c r="H807" s="7">
        <f t="shared" si="75"/>
        <v>1.2151964681565239E-4</v>
      </c>
      <c r="I807" s="8">
        <f t="shared" si="77"/>
        <v>0.96422522657417309</v>
      </c>
      <c r="J807" s="3" t="s">
        <v>525</v>
      </c>
    </row>
    <row r="808" spans="1:10" x14ac:dyDescent="0.25">
      <c r="A808" s="3" t="s">
        <v>819</v>
      </c>
      <c r="B808" s="3" t="str">
        <f t="shared" si="72"/>
        <v>5</v>
      </c>
      <c r="C808" s="7">
        <f t="shared" si="73"/>
        <v>6.4432989690721648E-4</v>
      </c>
      <c r="D808" s="8">
        <f t="shared" si="76"/>
        <v>0.51997422680412209</v>
      </c>
      <c r="E808" s="4">
        <v>8</v>
      </c>
      <c r="F808" s="5">
        <v>125.21</v>
      </c>
      <c r="G808" s="10">
        <f t="shared" si="74"/>
        <v>1001.68</v>
      </c>
      <c r="H808" s="7">
        <f t="shared" si="75"/>
        <v>1.2135367112537029E-4</v>
      </c>
      <c r="I808" s="8">
        <f t="shared" si="77"/>
        <v>0.96434658024529851</v>
      </c>
      <c r="J808" s="3" t="s">
        <v>525</v>
      </c>
    </row>
    <row r="809" spans="1:10" x14ac:dyDescent="0.25">
      <c r="A809" s="3" t="s">
        <v>820</v>
      </c>
      <c r="B809" s="3" t="str">
        <f t="shared" si="72"/>
        <v>1</v>
      </c>
      <c r="C809" s="7">
        <f t="shared" si="73"/>
        <v>6.4432989690721648E-4</v>
      </c>
      <c r="D809" s="8">
        <f t="shared" si="76"/>
        <v>0.5206185567010293</v>
      </c>
      <c r="E809" s="4">
        <v>1</v>
      </c>
      <c r="F809" s="5">
        <v>998.66</v>
      </c>
      <c r="G809" s="10">
        <f t="shared" si="74"/>
        <v>998.66</v>
      </c>
      <c r="H809" s="7">
        <f t="shared" si="75"/>
        <v>1.2098779770591635E-4</v>
      </c>
      <c r="I809" s="8">
        <f t="shared" si="77"/>
        <v>0.96446756804300438</v>
      </c>
      <c r="J809" s="3" t="s">
        <v>525</v>
      </c>
    </row>
    <row r="810" spans="1:10" x14ac:dyDescent="0.25">
      <c r="A810" s="3" t="s">
        <v>821</v>
      </c>
      <c r="B810" s="3" t="str">
        <f t="shared" si="72"/>
        <v>9</v>
      </c>
      <c r="C810" s="7">
        <f t="shared" si="73"/>
        <v>6.4432989690721648E-4</v>
      </c>
      <c r="D810" s="8">
        <f t="shared" si="76"/>
        <v>0.52126288659793651</v>
      </c>
      <c r="E810" s="4">
        <v>3</v>
      </c>
      <c r="F810" s="5">
        <v>331.3</v>
      </c>
      <c r="G810" s="10">
        <f t="shared" si="74"/>
        <v>993.90000000000009</v>
      </c>
      <c r="H810" s="7">
        <f t="shared" si="75"/>
        <v>1.204111230447903E-4</v>
      </c>
      <c r="I810" s="8">
        <f t="shared" si="77"/>
        <v>0.96458797916604921</v>
      </c>
      <c r="J810" s="3" t="s">
        <v>525</v>
      </c>
    </row>
    <row r="811" spans="1:10" x14ac:dyDescent="0.25">
      <c r="A811" s="3" t="s">
        <v>822</v>
      </c>
      <c r="B811" s="3" t="str">
        <f t="shared" si="72"/>
        <v>1</v>
      </c>
      <c r="C811" s="7">
        <f t="shared" si="73"/>
        <v>6.4432989690721648E-4</v>
      </c>
      <c r="D811" s="8">
        <f t="shared" si="76"/>
        <v>0.52190721649484373</v>
      </c>
      <c r="E811" s="4">
        <v>3</v>
      </c>
      <c r="F811" s="5">
        <v>331.26</v>
      </c>
      <c r="G811" s="10">
        <f t="shared" si="74"/>
        <v>993.78</v>
      </c>
      <c r="H811" s="7">
        <f t="shared" si="75"/>
        <v>1.2039658502812324E-4</v>
      </c>
      <c r="I811" s="8">
        <f t="shared" si="77"/>
        <v>0.96470837575107737</v>
      </c>
      <c r="J811" s="3" t="s">
        <v>525</v>
      </c>
    </row>
    <row r="812" spans="1:10" x14ac:dyDescent="0.25">
      <c r="A812" s="3" t="s">
        <v>823</v>
      </c>
      <c r="B812" s="3" t="str">
        <f t="shared" si="72"/>
        <v>8</v>
      </c>
      <c r="C812" s="7">
        <f t="shared" si="73"/>
        <v>6.4432989690721648E-4</v>
      </c>
      <c r="D812" s="8">
        <f t="shared" si="76"/>
        <v>0.52255154639175094</v>
      </c>
      <c r="E812" s="4">
        <v>20</v>
      </c>
      <c r="F812" s="5">
        <v>49.56</v>
      </c>
      <c r="G812" s="10">
        <f t="shared" si="74"/>
        <v>991.2</v>
      </c>
      <c r="H812" s="7">
        <f t="shared" si="75"/>
        <v>1.200840176697818E-4</v>
      </c>
      <c r="I812" s="8">
        <f t="shared" si="77"/>
        <v>0.9648284597687472</v>
      </c>
      <c r="J812" s="3" t="s">
        <v>525</v>
      </c>
    </row>
    <row r="813" spans="1:10" x14ac:dyDescent="0.25">
      <c r="A813" s="3" t="s">
        <v>824</v>
      </c>
      <c r="B813" s="3" t="str">
        <f t="shared" si="72"/>
        <v>8</v>
      </c>
      <c r="C813" s="7">
        <f t="shared" si="73"/>
        <v>6.4432989690721648E-4</v>
      </c>
      <c r="D813" s="8">
        <f t="shared" si="76"/>
        <v>0.52319587628865816</v>
      </c>
      <c r="E813" s="4">
        <v>47</v>
      </c>
      <c r="F813" s="5">
        <v>20.9</v>
      </c>
      <c r="G813" s="10">
        <f t="shared" si="74"/>
        <v>982.3</v>
      </c>
      <c r="H813" s="7">
        <f t="shared" si="75"/>
        <v>1.1900578143364272E-4</v>
      </c>
      <c r="I813" s="8">
        <f t="shared" si="77"/>
        <v>0.96494746555018085</v>
      </c>
      <c r="J813" s="3" t="s">
        <v>525</v>
      </c>
    </row>
    <row r="814" spans="1:10" x14ac:dyDescent="0.25">
      <c r="A814" s="3" t="s">
        <v>825</v>
      </c>
      <c r="B814" s="3" t="str">
        <f t="shared" si="72"/>
        <v>3</v>
      </c>
      <c r="C814" s="7">
        <f t="shared" si="73"/>
        <v>6.4432989690721648E-4</v>
      </c>
      <c r="D814" s="8">
        <f t="shared" si="76"/>
        <v>0.52384020618556537</v>
      </c>
      <c r="E814" s="4">
        <v>1</v>
      </c>
      <c r="F814" s="5">
        <v>979.4</v>
      </c>
      <c r="G814" s="10">
        <f t="shared" si="74"/>
        <v>979.4</v>
      </c>
      <c r="H814" s="7">
        <f t="shared" si="75"/>
        <v>1.1865444603085582E-4</v>
      </c>
      <c r="I814" s="8">
        <f t="shared" si="77"/>
        <v>0.96506611999621172</v>
      </c>
      <c r="J814" s="3" t="s">
        <v>525</v>
      </c>
    </row>
    <row r="815" spans="1:10" x14ac:dyDescent="0.25">
      <c r="A815" s="3" t="s">
        <v>826</v>
      </c>
      <c r="B815" s="3" t="str">
        <f t="shared" si="72"/>
        <v>1</v>
      </c>
      <c r="C815" s="7">
        <f t="shared" si="73"/>
        <v>6.4432989690721648E-4</v>
      </c>
      <c r="D815" s="8">
        <f t="shared" si="76"/>
        <v>0.52448453608247259</v>
      </c>
      <c r="E815" s="4">
        <v>1</v>
      </c>
      <c r="F815" s="5">
        <v>978.04</v>
      </c>
      <c r="G815" s="10">
        <f t="shared" si="74"/>
        <v>978.04</v>
      </c>
      <c r="H815" s="7">
        <f t="shared" si="75"/>
        <v>1.1848968184196266E-4</v>
      </c>
      <c r="I815" s="8">
        <f t="shared" si="77"/>
        <v>0.96518460967805364</v>
      </c>
      <c r="J815" s="3" t="s">
        <v>525</v>
      </c>
    </row>
    <row r="816" spans="1:10" x14ac:dyDescent="0.25">
      <c r="A816" s="3" t="s">
        <v>827</v>
      </c>
      <c r="B816" s="3" t="str">
        <f t="shared" si="72"/>
        <v>8</v>
      </c>
      <c r="C816" s="7">
        <f t="shared" si="73"/>
        <v>6.4432989690721648E-4</v>
      </c>
      <c r="D816" s="8">
        <f t="shared" si="76"/>
        <v>0.5251288659793798</v>
      </c>
      <c r="E816" s="4">
        <v>28</v>
      </c>
      <c r="F816" s="5">
        <v>34.83</v>
      </c>
      <c r="G816" s="10">
        <f t="shared" si="74"/>
        <v>975.24</v>
      </c>
      <c r="H816" s="7">
        <f t="shared" si="75"/>
        <v>1.1815046145306498E-4</v>
      </c>
      <c r="I816" s="8">
        <f t="shared" si="77"/>
        <v>0.96530276013950667</v>
      </c>
      <c r="J816" s="3" t="s">
        <v>525</v>
      </c>
    </row>
    <row r="817" spans="1:10" x14ac:dyDescent="0.25">
      <c r="A817" s="3" t="s">
        <v>828</v>
      </c>
      <c r="B817" s="3" t="str">
        <f t="shared" si="72"/>
        <v>3</v>
      </c>
      <c r="C817" s="7">
        <f t="shared" si="73"/>
        <v>6.4432989690721648E-4</v>
      </c>
      <c r="D817" s="8">
        <f t="shared" si="76"/>
        <v>0.52577319587628701</v>
      </c>
      <c r="E817" s="4">
        <v>5</v>
      </c>
      <c r="F817" s="5">
        <v>194.69</v>
      </c>
      <c r="G817" s="10">
        <f t="shared" si="74"/>
        <v>973.45</v>
      </c>
      <c r="H817" s="7">
        <f t="shared" si="75"/>
        <v>1.1793360270444825E-4</v>
      </c>
      <c r="I817" s="8">
        <f t="shared" si="77"/>
        <v>0.96542069374221107</v>
      </c>
      <c r="J817" s="3" t="s">
        <v>525</v>
      </c>
    </row>
    <row r="818" spans="1:10" x14ac:dyDescent="0.25">
      <c r="A818" s="3" t="s">
        <v>829</v>
      </c>
      <c r="B818" s="3" t="str">
        <f t="shared" si="72"/>
        <v>9</v>
      </c>
      <c r="C818" s="7">
        <f t="shared" si="73"/>
        <v>6.4432989690721648E-4</v>
      </c>
      <c r="D818" s="8">
        <f t="shared" si="76"/>
        <v>0.52641752577319423</v>
      </c>
      <c r="E818" s="4">
        <v>4</v>
      </c>
      <c r="F818" s="5">
        <v>242.76</v>
      </c>
      <c r="G818" s="10">
        <f t="shared" si="74"/>
        <v>971.04</v>
      </c>
      <c r="H818" s="7">
        <f t="shared" si="75"/>
        <v>1.1764163086971844E-4</v>
      </c>
      <c r="I818" s="8">
        <f t="shared" si="77"/>
        <v>0.96553833537308076</v>
      </c>
      <c r="J818" s="3" t="s">
        <v>525</v>
      </c>
    </row>
    <row r="819" spans="1:10" x14ac:dyDescent="0.25">
      <c r="A819" s="3" t="s">
        <v>830</v>
      </c>
      <c r="B819" s="3" t="str">
        <f t="shared" si="72"/>
        <v>3</v>
      </c>
      <c r="C819" s="7">
        <f t="shared" si="73"/>
        <v>6.4432989690721648E-4</v>
      </c>
      <c r="D819" s="8">
        <f t="shared" si="76"/>
        <v>0.52706185567010144</v>
      </c>
      <c r="E819" s="4">
        <v>1</v>
      </c>
      <c r="F819" s="5">
        <v>967.84</v>
      </c>
      <c r="G819" s="10">
        <f t="shared" si="74"/>
        <v>967.84</v>
      </c>
      <c r="H819" s="7">
        <f t="shared" si="75"/>
        <v>1.1725395042526395E-4</v>
      </c>
      <c r="I819" s="8">
        <f t="shared" si="77"/>
        <v>0.96565558932350604</v>
      </c>
      <c r="J819" s="3" t="s">
        <v>525</v>
      </c>
    </row>
    <row r="820" spans="1:10" x14ac:dyDescent="0.25">
      <c r="A820" s="3" t="s">
        <v>831</v>
      </c>
      <c r="B820" s="3" t="str">
        <f t="shared" si="72"/>
        <v>2</v>
      </c>
      <c r="C820" s="7">
        <f t="shared" si="73"/>
        <v>6.4432989690721648E-4</v>
      </c>
      <c r="D820" s="8">
        <f t="shared" si="76"/>
        <v>0.52770618556700866</v>
      </c>
      <c r="E820" s="4">
        <v>18</v>
      </c>
      <c r="F820" s="5">
        <v>53.61</v>
      </c>
      <c r="G820" s="10">
        <f t="shared" si="74"/>
        <v>964.98</v>
      </c>
      <c r="H820" s="7">
        <f t="shared" si="75"/>
        <v>1.1690746102803274E-4</v>
      </c>
      <c r="I820" s="8">
        <f t="shared" si="77"/>
        <v>0.96577249678453403</v>
      </c>
      <c r="J820" s="3" t="s">
        <v>525</v>
      </c>
    </row>
    <row r="821" spans="1:10" x14ac:dyDescent="0.25">
      <c r="A821" s="3" t="s">
        <v>832</v>
      </c>
      <c r="B821" s="3" t="str">
        <f t="shared" si="72"/>
        <v>3</v>
      </c>
      <c r="C821" s="7">
        <f t="shared" si="73"/>
        <v>6.4432989690721648E-4</v>
      </c>
      <c r="D821" s="8">
        <f t="shared" si="76"/>
        <v>0.52835051546391587</v>
      </c>
      <c r="E821" s="4">
        <v>7</v>
      </c>
      <c r="F821" s="5">
        <v>137.72999999999999</v>
      </c>
      <c r="G821" s="10">
        <f t="shared" si="74"/>
        <v>964.1099999999999</v>
      </c>
      <c r="H821" s="7">
        <f t="shared" si="75"/>
        <v>1.1680206040719664E-4</v>
      </c>
      <c r="I821" s="8">
        <f t="shared" si="77"/>
        <v>0.96588929884494124</v>
      </c>
      <c r="J821" s="3" t="s">
        <v>525</v>
      </c>
    </row>
    <row r="822" spans="1:10" x14ac:dyDescent="0.25">
      <c r="A822" s="3" t="s">
        <v>833</v>
      </c>
      <c r="B822" s="3" t="str">
        <f t="shared" si="72"/>
        <v>9</v>
      </c>
      <c r="C822" s="7">
        <f t="shared" si="73"/>
        <v>6.4432989690721648E-4</v>
      </c>
      <c r="D822" s="8">
        <f t="shared" si="76"/>
        <v>0.52899484536082308</v>
      </c>
      <c r="E822" s="4">
        <v>4</v>
      </c>
      <c r="F822" s="5">
        <v>240.95</v>
      </c>
      <c r="G822" s="10">
        <f t="shared" si="74"/>
        <v>963.8</v>
      </c>
      <c r="H822" s="7">
        <f t="shared" si="75"/>
        <v>1.1676450386414013E-4</v>
      </c>
      <c r="I822" s="8">
        <f t="shared" si="77"/>
        <v>0.96600606334880534</v>
      </c>
      <c r="J822" s="3" t="s">
        <v>525</v>
      </c>
    </row>
    <row r="823" spans="1:10" x14ac:dyDescent="0.25">
      <c r="A823" s="3" t="s">
        <v>834</v>
      </c>
      <c r="B823" s="3" t="str">
        <f t="shared" si="72"/>
        <v>3</v>
      </c>
      <c r="C823" s="7">
        <f t="shared" si="73"/>
        <v>6.4432989690721648E-4</v>
      </c>
      <c r="D823" s="8">
        <f t="shared" si="76"/>
        <v>0.5296391752577303</v>
      </c>
      <c r="E823" s="4">
        <v>1</v>
      </c>
      <c r="F823" s="5">
        <v>962.82</v>
      </c>
      <c r="G823" s="10">
        <f t="shared" si="74"/>
        <v>962.82</v>
      </c>
      <c r="H823" s="7">
        <f t="shared" si="75"/>
        <v>1.1664577672802595E-4</v>
      </c>
      <c r="I823" s="8">
        <f t="shared" si="77"/>
        <v>0.96612270912553333</v>
      </c>
      <c r="J823" s="3" t="s">
        <v>525</v>
      </c>
    </row>
    <row r="824" spans="1:10" x14ac:dyDescent="0.25">
      <c r="A824" s="3" t="s">
        <v>835</v>
      </c>
      <c r="B824" s="3" t="str">
        <f t="shared" si="72"/>
        <v>3</v>
      </c>
      <c r="C824" s="7">
        <f t="shared" si="73"/>
        <v>6.4432989690721648E-4</v>
      </c>
      <c r="D824" s="8">
        <f t="shared" si="76"/>
        <v>0.53028350515463751</v>
      </c>
      <c r="E824" s="4">
        <v>1</v>
      </c>
      <c r="F824" s="5">
        <v>960.84</v>
      </c>
      <c r="G824" s="10">
        <f t="shared" si="74"/>
        <v>960.84</v>
      </c>
      <c r="H824" s="7">
        <f t="shared" si="75"/>
        <v>1.1640589945301972E-4</v>
      </c>
      <c r="I824" s="8">
        <f t="shared" si="77"/>
        <v>0.96623911502498638</v>
      </c>
      <c r="J824" s="3" t="s">
        <v>525</v>
      </c>
    </row>
    <row r="825" spans="1:10" x14ac:dyDescent="0.25">
      <c r="A825" s="3" t="s">
        <v>836</v>
      </c>
      <c r="B825" s="3" t="str">
        <f t="shared" si="72"/>
        <v>7</v>
      </c>
      <c r="C825" s="7">
        <f t="shared" si="73"/>
        <v>6.4432989690721648E-4</v>
      </c>
      <c r="D825" s="8">
        <f t="shared" si="76"/>
        <v>0.53092783505154473</v>
      </c>
      <c r="E825" s="4">
        <v>9</v>
      </c>
      <c r="F825" s="5">
        <v>105.91</v>
      </c>
      <c r="G825" s="10">
        <f t="shared" si="74"/>
        <v>953.18999999999994</v>
      </c>
      <c r="H825" s="7">
        <f t="shared" si="75"/>
        <v>1.1547910089049568E-4</v>
      </c>
      <c r="I825" s="8">
        <f t="shared" si="77"/>
        <v>0.96635459412587688</v>
      </c>
      <c r="J825" s="3" t="s">
        <v>525</v>
      </c>
    </row>
    <row r="826" spans="1:10" x14ac:dyDescent="0.25">
      <c r="A826" s="3" t="s">
        <v>837</v>
      </c>
      <c r="B826" s="3" t="str">
        <f t="shared" si="72"/>
        <v>7</v>
      </c>
      <c r="C826" s="7">
        <f t="shared" si="73"/>
        <v>6.4432989690721648E-4</v>
      </c>
      <c r="D826" s="8">
        <f t="shared" si="76"/>
        <v>0.53157216494845194</v>
      </c>
      <c r="E826" s="4">
        <v>9</v>
      </c>
      <c r="F826" s="5">
        <v>105.81</v>
      </c>
      <c r="G826" s="10">
        <f t="shared" si="74"/>
        <v>952.29</v>
      </c>
      <c r="H826" s="7">
        <f t="shared" si="75"/>
        <v>1.1537006576549284E-4</v>
      </c>
      <c r="I826" s="8">
        <f t="shared" si="77"/>
        <v>0.96646996419164233</v>
      </c>
      <c r="J826" s="3" t="s">
        <v>525</v>
      </c>
    </row>
    <row r="827" spans="1:10" x14ac:dyDescent="0.25">
      <c r="A827" s="3" t="s">
        <v>838</v>
      </c>
      <c r="B827" s="3" t="str">
        <f t="shared" si="72"/>
        <v>1</v>
      </c>
      <c r="C827" s="7">
        <f t="shared" si="73"/>
        <v>6.4432989690721648E-4</v>
      </c>
      <c r="D827" s="8">
        <f t="shared" si="76"/>
        <v>0.53221649484535916</v>
      </c>
      <c r="E827" s="4">
        <v>1</v>
      </c>
      <c r="F827" s="5">
        <v>947.84</v>
      </c>
      <c r="G827" s="10">
        <f t="shared" si="74"/>
        <v>947.84</v>
      </c>
      <c r="H827" s="7">
        <f t="shared" si="75"/>
        <v>1.1483094764742331E-4</v>
      </c>
      <c r="I827" s="8">
        <f t="shared" si="77"/>
        <v>0.96658479513928974</v>
      </c>
      <c r="J827" s="3" t="s">
        <v>525</v>
      </c>
    </row>
    <row r="828" spans="1:10" x14ac:dyDescent="0.25">
      <c r="A828" s="3" t="s">
        <v>839</v>
      </c>
      <c r="B828" s="3" t="str">
        <f t="shared" si="72"/>
        <v>3</v>
      </c>
      <c r="C828" s="7">
        <f t="shared" si="73"/>
        <v>6.4432989690721648E-4</v>
      </c>
      <c r="D828" s="8">
        <f t="shared" si="76"/>
        <v>0.53286082474226637</v>
      </c>
      <c r="E828" s="4">
        <v>2</v>
      </c>
      <c r="F828" s="5">
        <v>470.98</v>
      </c>
      <c r="G828" s="10">
        <f t="shared" si="74"/>
        <v>941.96</v>
      </c>
      <c r="H828" s="7">
        <f t="shared" si="75"/>
        <v>1.1411858483073817E-4</v>
      </c>
      <c r="I828" s="8">
        <f t="shared" si="77"/>
        <v>0.96669891372412053</v>
      </c>
      <c r="J828" s="3" t="s">
        <v>525</v>
      </c>
    </row>
    <row r="829" spans="1:10" x14ac:dyDescent="0.25">
      <c r="A829" s="3" t="s">
        <v>840</v>
      </c>
      <c r="B829" s="3" t="str">
        <f t="shared" si="72"/>
        <v>9</v>
      </c>
      <c r="C829" s="7">
        <f t="shared" si="73"/>
        <v>6.4432989690721648E-4</v>
      </c>
      <c r="D829" s="8">
        <f t="shared" si="76"/>
        <v>0.53350515463917358</v>
      </c>
      <c r="E829" s="4">
        <v>2</v>
      </c>
      <c r="F829" s="5">
        <v>469.77</v>
      </c>
      <c r="G829" s="10">
        <f t="shared" si="74"/>
        <v>939.54</v>
      </c>
      <c r="H829" s="7">
        <f t="shared" si="75"/>
        <v>1.1382540149461944E-4</v>
      </c>
      <c r="I829" s="8">
        <f t="shared" si="77"/>
        <v>0.96681273912561516</v>
      </c>
      <c r="J829" s="3" t="s">
        <v>525</v>
      </c>
    </row>
    <row r="830" spans="1:10" x14ac:dyDescent="0.25">
      <c r="A830" s="3" t="s">
        <v>841</v>
      </c>
      <c r="B830" s="3" t="str">
        <f t="shared" si="72"/>
        <v>1</v>
      </c>
      <c r="C830" s="7">
        <f t="shared" si="73"/>
        <v>6.4432989690721648E-4</v>
      </c>
      <c r="D830" s="8">
        <f t="shared" si="76"/>
        <v>0.5341494845360808</v>
      </c>
      <c r="E830" s="4">
        <v>1</v>
      </c>
      <c r="F830" s="5">
        <v>938.99</v>
      </c>
      <c r="G830" s="10">
        <f t="shared" si="74"/>
        <v>938.99</v>
      </c>
      <c r="H830" s="7">
        <f t="shared" si="75"/>
        <v>1.1375876891822883E-4</v>
      </c>
      <c r="I830" s="8">
        <f t="shared" si="77"/>
        <v>0.96692649789453344</v>
      </c>
      <c r="J830" s="3" t="s">
        <v>525</v>
      </c>
    </row>
    <row r="831" spans="1:10" x14ac:dyDescent="0.25">
      <c r="A831" s="3" t="s">
        <v>842</v>
      </c>
      <c r="B831" s="3" t="str">
        <f t="shared" si="72"/>
        <v>1</v>
      </c>
      <c r="C831" s="7">
        <f t="shared" si="73"/>
        <v>6.4432989690721648E-4</v>
      </c>
      <c r="D831" s="8">
        <f t="shared" si="76"/>
        <v>0.53479381443298801</v>
      </c>
      <c r="E831" s="4">
        <v>1</v>
      </c>
      <c r="F831" s="5">
        <v>931.57</v>
      </c>
      <c r="G831" s="10">
        <f t="shared" si="74"/>
        <v>931.57</v>
      </c>
      <c r="H831" s="7">
        <f t="shared" si="75"/>
        <v>1.1285983488764995E-4</v>
      </c>
      <c r="I831" s="8">
        <f t="shared" si="77"/>
        <v>0.96703935772942107</v>
      </c>
      <c r="J831" s="3" t="s">
        <v>525</v>
      </c>
    </row>
    <row r="832" spans="1:10" x14ac:dyDescent="0.25">
      <c r="A832" s="3" t="s">
        <v>843</v>
      </c>
      <c r="B832" s="3" t="str">
        <f t="shared" si="72"/>
        <v>8</v>
      </c>
      <c r="C832" s="7">
        <f t="shared" si="73"/>
        <v>6.4432989690721648E-4</v>
      </c>
      <c r="D832" s="8">
        <f t="shared" si="76"/>
        <v>0.53543814432989523</v>
      </c>
      <c r="E832" s="4">
        <v>29</v>
      </c>
      <c r="F832" s="5">
        <v>31.82</v>
      </c>
      <c r="G832" s="10">
        <f t="shared" si="74"/>
        <v>922.78</v>
      </c>
      <c r="H832" s="7">
        <f t="shared" si="75"/>
        <v>1.1179492516678898E-4</v>
      </c>
      <c r="I832" s="8">
        <f t="shared" si="77"/>
        <v>0.96715115265458784</v>
      </c>
      <c r="J832" s="3" t="s">
        <v>525</v>
      </c>
    </row>
    <row r="833" spans="1:10" x14ac:dyDescent="0.25">
      <c r="A833" s="3" t="s">
        <v>844</v>
      </c>
      <c r="B833" s="3" t="str">
        <f t="shared" si="72"/>
        <v>3</v>
      </c>
      <c r="C833" s="7">
        <f t="shared" si="73"/>
        <v>6.4432989690721648E-4</v>
      </c>
      <c r="D833" s="8">
        <f t="shared" si="76"/>
        <v>0.53608247422680244</v>
      </c>
      <c r="E833" s="4">
        <v>1</v>
      </c>
      <c r="F833" s="5">
        <v>914.1</v>
      </c>
      <c r="G833" s="10">
        <f t="shared" si="74"/>
        <v>914.1</v>
      </c>
      <c r="H833" s="7">
        <f t="shared" si="75"/>
        <v>1.1074334196120616E-4</v>
      </c>
      <c r="I833" s="8">
        <f t="shared" si="77"/>
        <v>0.9672618959965491</v>
      </c>
      <c r="J833" s="3" t="s">
        <v>525</v>
      </c>
    </row>
    <row r="834" spans="1:10" x14ac:dyDescent="0.25">
      <c r="A834" s="3" t="s">
        <v>845</v>
      </c>
      <c r="B834" s="3" t="str">
        <f t="shared" ref="B834:B897" si="78">RIGHT(A834,1)</f>
        <v>8</v>
      </c>
      <c r="C834" s="7">
        <f t="shared" ref="C834:C897" si="79">1/COUNTA(A$2:A$1553)</f>
        <v>6.4432989690721648E-4</v>
      </c>
      <c r="D834" s="8">
        <f t="shared" si="76"/>
        <v>0.53672680412370966</v>
      </c>
      <c r="E834" s="4">
        <v>84</v>
      </c>
      <c r="F834" s="5">
        <v>10.82</v>
      </c>
      <c r="G834" s="10">
        <f t="shared" ref="G834:G897" si="80">E834*F834</f>
        <v>908.88</v>
      </c>
      <c r="H834" s="7">
        <f t="shared" ref="H834:H897" si="81">G834/SUM(G$2:G$1553)</f>
        <v>1.1011093823618975E-4</v>
      </c>
      <c r="I834" s="8">
        <f t="shared" si="77"/>
        <v>0.96737200693478531</v>
      </c>
      <c r="J834" s="3" t="s">
        <v>525</v>
      </c>
    </row>
    <row r="835" spans="1:10" x14ac:dyDescent="0.25">
      <c r="A835" s="3" t="s">
        <v>846</v>
      </c>
      <c r="B835" s="3" t="str">
        <f t="shared" si="78"/>
        <v>7</v>
      </c>
      <c r="C835" s="7">
        <f t="shared" si="79"/>
        <v>6.4432989690721648E-4</v>
      </c>
      <c r="D835" s="8">
        <f t="shared" ref="D835:D898" si="82">D834+C835</f>
        <v>0.53737113402061687</v>
      </c>
      <c r="E835" s="4">
        <v>5</v>
      </c>
      <c r="F835" s="5">
        <v>181.17</v>
      </c>
      <c r="G835" s="10">
        <f t="shared" si="80"/>
        <v>905.84999999999991</v>
      </c>
      <c r="H835" s="7">
        <f t="shared" si="81"/>
        <v>1.0974385331534689E-4</v>
      </c>
      <c r="I835" s="8">
        <f t="shared" ref="I835:I898" si="83">I834+H835</f>
        <v>0.96748175078810061</v>
      </c>
      <c r="J835" s="3" t="s">
        <v>525</v>
      </c>
    </row>
    <row r="836" spans="1:10" x14ac:dyDescent="0.25">
      <c r="A836" s="3" t="s">
        <v>847</v>
      </c>
      <c r="B836" s="3" t="str">
        <f t="shared" si="78"/>
        <v>1</v>
      </c>
      <c r="C836" s="7">
        <f t="shared" si="79"/>
        <v>6.4432989690721648E-4</v>
      </c>
      <c r="D836" s="8">
        <f t="shared" si="82"/>
        <v>0.53801546391752408</v>
      </c>
      <c r="E836" s="4">
        <v>1</v>
      </c>
      <c r="F836" s="5">
        <v>905.8</v>
      </c>
      <c r="G836" s="10">
        <f t="shared" si="80"/>
        <v>905.8</v>
      </c>
      <c r="H836" s="7">
        <f t="shared" si="81"/>
        <v>1.0973779580840229E-4</v>
      </c>
      <c r="I836" s="8">
        <f t="shared" si="83"/>
        <v>0.96759148858390898</v>
      </c>
      <c r="J836" s="3" t="s">
        <v>525</v>
      </c>
    </row>
    <row r="837" spans="1:10" x14ac:dyDescent="0.25">
      <c r="A837" s="3" t="s">
        <v>848</v>
      </c>
      <c r="B837" s="3" t="str">
        <f t="shared" si="78"/>
        <v>1</v>
      </c>
      <c r="C837" s="7">
        <f t="shared" si="79"/>
        <v>6.4432989690721648E-4</v>
      </c>
      <c r="D837" s="8">
        <f t="shared" si="82"/>
        <v>0.5386597938144313</v>
      </c>
      <c r="E837" s="4">
        <v>1</v>
      </c>
      <c r="F837" s="5">
        <v>904.46</v>
      </c>
      <c r="G837" s="10">
        <f t="shared" si="80"/>
        <v>904.46</v>
      </c>
      <c r="H837" s="7">
        <f t="shared" si="81"/>
        <v>1.0957545462228698E-4</v>
      </c>
      <c r="I837" s="8">
        <f t="shared" si="83"/>
        <v>0.96770106403853129</v>
      </c>
      <c r="J837" s="3" t="s">
        <v>525</v>
      </c>
    </row>
    <row r="838" spans="1:10" x14ac:dyDescent="0.25">
      <c r="A838" s="3" t="s">
        <v>849</v>
      </c>
      <c r="B838" s="3" t="str">
        <f t="shared" si="78"/>
        <v>1</v>
      </c>
      <c r="C838" s="7">
        <f t="shared" si="79"/>
        <v>6.4432989690721648E-4</v>
      </c>
      <c r="D838" s="8">
        <f t="shared" si="82"/>
        <v>0.53930412371133851</v>
      </c>
      <c r="E838" s="4">
        <v>1</v>
      </c>
      <c r="F838" s="5">
        <v>902.04</v>
      </c>
      <c r="G838" s="10">
        <f t="shared" si="80"/>
        <v>902.04</v>
      </c>
      <c r="H838" s="7">
        <f t="shared" si="81"/>
        <v>1.0928227128616825E-4</v>
      </c>
      <c r="I838" s="8">
        <f t="shared" si="83"/>
        <v>0.96781034630981744</v>
      </c>
      <c r="J838" s="3" t="s">
        <v>525</v>
      </c>
    </row>
    <row r="839" spans="1:10" x14ac:dyDescent="0.25">
      <c r="A839" s="3" t="s">
        <v>850</v>
      </c>
      <c r="B839" s="3" t="str">
        <f t="shared" si="78"/>
        <v>3</v>
      </c>
      <c r="C839" s="7">
        <f t="shared" si="79"/>
        <v>6.4432989690721648E-4</v>
      </c>
      <c r="D839" s="8">
        <f t="shared" si="82"/>
        <v>0.53994845360824573</v>
      </c>
      <c r="E839" s="4">
        <v>2</v>
      </c>
      <c r="F839" s="5">
        <v>449.89</v>
      </c>
      <c r="G839" s="10">
        <f t="shared" si="80"/>
        <v>899.78</v>
      </c>
      <c r="H839" s="7">
        <f t="shared" si="81"/>
        <v>1.0900847197227226E-4</v>
      </c>
      <c r="I839" s="8">
        <f t="shared" si="83"/>
        <v>0.9679193547817897</v>
      </c>
      <c r="J839" s="3" t="s">
        <v>525</v>
      </c>
    </row>
    <row r="840" spans="1:10" x14ac:dyDescent="0.25">
      <c r="A840" s="3" t="s">
        <v>851</v>
      </c>
      <c r="B840" s="3" t="str">
        <f t="shared" si="78"/>
        <v>9</v>
      </c>
      <c r="C840" s="7">
        <f t="shared" si="79"/>
        <v>6.4432989690721648E-4</v>
      </c>
      <c r="D840" s="8">
        <f t="shared" si="82"/>
        <v>0.54059278350515294</v>
      </c>
      <c r="E840" s="4">
        <v>3</v>
      </c>
      <c r="F840" s="5">
        <v>299.86</v>
      </c>
      <c r="G840" s="10">
        <f t="shared" si="80"/>
        <v>899.58</v>
      </c>
      <c r="H840" s="7">
        <f t="shared" si="81"/>
        <v>1.0898424194449386E-4</v>
      </c>
      <c r="I840" s="8">
        <f t="shared" si="83"/>
        <v>0.9680283390237342</v>
      </c>
      <c r="J840" s="3" t="s">
        <v>525</v>
      </c>
    </row>
    <row r="841" spans="1:10" x14ac:dyDescent="0.25">
      <c r="A841" s="3" t="s">
        <v>852</v>
      </c>
      <c r="B841" s="3" t="str">
        <f t="shared" si="78"/>
        <v>9</v>
      </c>
      <c r="C841" s="7">
        <f t="shared" si="79"/>
        <v>6.4432989690721648E-4</v>
      </c>
      <c r="D841" s="8">
        <f t="shared" si="82"/>
        <v>0.54123711340206015</v>
      </c>
      <c r="E841" s="4">
        <v>33</v>
      </c>
      <c r="F841" s="5">
        <v>27.09</v>
      </c>
      <c r="G841" s="10">
        <f t="shared" si="80"/>
        <v>893.97</v>
      </c>
      <c r="H841" s="7">
        <f t="shared" si="81"/>
        <v>1.0830458966530957E-4</v>
      </c>
      <c r="I841" s="8">
        <f t="shared" si="83"/>
        <v>0.96813664361339946</v>
      </c>
      <c r="J841" s="3" t="s">
        <v>525</v>
      </c>
    </row>
    <row r="842" spans="1:10" x14ac:dyDescent="0.25">
      <c r="A842" s="3" t="s">
        <v>853</v>
      </c>
      <c r="B842" s="3" t="str">
        <f t="shared" si="78"/>
        <v>9</v>
      </c>
      <c r="C842" s="7">
        <f t="shared" si="79"/>
        <v>6.4432989690721648E-4</v>
      </c>
      <c r="D842" s="8">
        <f t="shared" si="82"/>
        <v>0.54188144329896737</v>
      </c>
      <c r="E842" s="4">
        <v>3</v>
      </c>
      <c r="F842" s="5">
        <v>297.41000000000003</v>
      </c>
      <c r="G842" s="10">
        <f t="shared" si="80"/>
        <v>892.23</v>
      </c>
      <c r="H842" s="7">
        <f t="shared" si="81"/>
        <v>1.0809378842363742E-4</v>
      </c>
      <c r="I842" s="8">
        <f t="shared" si="83"/>
        <v>0.96824473740182315</v>
      </c>
      <c r="J842" s="3" t="s">
        <v>525</v>
      </c>
    </row>
    <row r="843" spans="1:10" x14ac:dyDescent="0.25">
      <c r="A843" s="3" t="s">
        <v>854</v>
      </c>
      <c r="B843" s="3" t="str">
        <f t="shared" si="78"/>
        <v>9</v>
      </c>
      <c r="C843" s="7">
        <f t="shared" si="79"/>
        <v>6.4432989690721648E-4</v>
      </c>
      <c r="D843" s="8">
        <f t="shared" si="82"/>
        <v>0.54252577319587458</v>
      </c>
      <c r="E843" s="4">
        <v>2</v>
      </c>
      <c r="F843" s="5">
        <v>444.5</v>
      </c>
      <c r="G843" s="10">
        <f t="shared" si="80"/>
        <v>889</v>
      </c>
      <c r="H843" s="7">
        <f t="shared" si="81"/>
        <v>1.0770247347501616E-4</v>
      </c>
      <c r="I843" s="8">
        <f t="shared" si="83"/>
        <v>0.96835243987529818</v>
      </c>
      <c r="J843" s="3" t="s">
        <v>525</v>
      </c>
    </row>
    <row r="844" spans="1:10" x14ac:dyDescent="0.25">
      <c r="A844" s="3" t="s">
        <v>855</v>
      </c>
      <c r="B844" s="3" t="str">
        <f t="shared" si="78"/>
        <v>8</v>
      </c>
      <c r="C844" s="7">
        <f t="shared" si="79"/>
        <v>6.4432989690721648E-4</v>
      </c>
      <c r="D844" s="8">
        <f t="shared" si="82"/>
        <v>0.5431701030927818</v>
      </c>
      <c r="E844" s="4">
        <v>12</v>
      </c>
      <c r="F844" s="5">
        <v>74.05</v>
      </c>
      <c r="G844" s="10">
        <f t="shared" si="80"/>
        <v>888.59999999999991</v>
      </c>
      <c r="H844" s="7">
        <f t="shared" si="81"/>
        <v>1.0765401341945933E-4</v>
      </c>
      <c r="I844" s="8">
        <f t="shared" si="83"/>
        <v>0.96846009388871768</v>
      </c>
      <c r="J844" s="3" t="s">
        <v>525</v>
      </c>
    </row>
    <row r="845" spans="1:10" x14ac:dyDescent="0.25">
      <c r="A845" s="3" t="s">
        <v>856</v>
      </c>
      <c r="B845" s="3" t="str">
        <f t="shared" si="78"/>
        <v>8</v>
      </c>
      <c r="C845" s="7">
        <f t="shared" si="79"/>
        <v>6.4432989690721648E-4</v>
      </c>
      <c r="D845" s="8">
        <f t="shared" si="82"/>
        <v>0.54381443298968901</v>
      </c>
      <c r="E845" s="4">
        <v>17</v>
      </c>
      <c r="F845" s="5">
        <v>51.92</v>
      </c>
      <c r="G845" s="10">
        <f t="shared" si="80"/>
        <v>882.64</v>
      </c>
      <c r="H845" s="7">
        <f t="shared" si="81"/>
        <v>1.0693195859166284E-4</v>
      </c>
      <c r="I845" s="8">
        <f t="shared" si="83"/>
        <v>0.96856702584730936</v>
      </c>
      <c r="J845" s="3" t="s">
        <v>525</v>
      </c>
    </row>
    <row r="846" spans="1:10" x14ac:dyDescent="0.25">
      <c r="A846" s="3" t="s">
        <v>857</v>
      </c>
      <c r="B846" s="3" t="str">
        <f t="shared" si="78"/>
        <v>1</v>
      </c>
      <c r="C846" s="7">
        <f t="shared" si="79"/>
        <v>6.4432989690721648E-4</v>
      </c>
      <c r="D846" s="8">
        <f t="shared" si="82"/>
        <v>0.54445876288659623</v>
      </c>
      <c r="E846" s="4">
        <v>1</v>
      </c>
      <c r="F846" s="5">
        <v>875.12</v>
      </c>
      <c r="G846" s="10">
        <f t="shared" si="80"/>
        <v>875.12</v>
      </c>
      <c r="H846" s="7">
        <f t="shared" si="81"/>
        <v>1.0602090954719477E-4</v>
      </c>
      <c r="I846" s="8">
        <f t="shared" si="83"/>
        <v>0.9686730467568565</v>
      </c>
      <c r="J846" s="3" t="s">
        <v>525</v>
      </c>
    </row>
    <row r="847" spans="1:10" x14ac:dyDescent="0.25">
      <c r="A847" s="3" t="s">
        <v>858</v>
      </c>
      <c r="B847" s="3" t="str">
        <f t="shared" si="78"/>
        <v>8</v>
      </c>
      <c r="C847" s="7">
        <f t="shared" si="79"/>
        <v>6.4432989690721648E-4</v>
      </c>
      <c r="D847" s="8">
        <f t="shared" si="82"/>
        <v>0.54510309278350344</v>
      </c>
      <c r="E847" s="4">
        <v>34</v>
      </c>
      <c r="F847" s="5">
        <v>25.73</v>
      </c>
      <c r="G847" s="10">
        <f t="shared" si="80"/>
        <v>874.82</v>
      </c>
      <c r="H847" s="7">
        <f t="shared" si="81"/>
        <v>1.0598456450552716E-4</v>
      </c>
      <c r="I847" s="8">
        <f t="shared" si="83"/>
        <v>0.96877903132136201</v>
      </c>
      <c r="J847" s="3" t="s">
        <v>525</v>
      </c>
    </row>
    <row r="848" spans="1:10" x14ac:dyDescent="0.25">
      <c r="A848" s="3" t="s">
        <v>859</v>
      </c>
      <c r="B848" s="3" t="str">
        <f t="shared" si="78"/>
        <v>3</v>
      </c>
      <c r="C848" s="7">
        <f t="shared" si="79"/>
        <v>6.4432989690721648E-4</v>
      </c>
      <c r="D848" s="8">
        <f t="shared" si="82"/>
        <v>0.54574742268041065</v>
      </c>
      <c r="E848" s="4">
        <v>1</v>
      </c>
      <c r="F848" s="5">
        <v>872.08</v>
      </c>
      <c r="G848" s="10">
        <f t="shared" si="80"/>
        <v>872.08</v>
      </c>
      <c r="H848" s="7">
        <f t="shared" si="81"/>
        <v>1.0565261312496299E-4</v>
      </c>
      <c r="I848" s="8">
        <f t="shared" si="83"/>
        <v>0.96888468393448701</v>
      </c>
      <c r="J848" s="3" t="s">
        <v>525</v>
      </c>
    </row>
    <row r="849" spans="1:10" x14ac:dyDescent="0.25">
      <c r="A849" s="3" t="s">
        <v>860</v>
      </c>
      <c r="B849" s="3" t="str">
        <f t="shared" si="78"/>
        <v>1</v>
      </c>
      <c r="C849" s="7">
        <f t="shared" si="79"/>
        <v>6.4432989690721648E-4</v>
      </c>
      <c r="D849" s="8">
        <f t="shared" si="82"/>
        <v>0.54639175257731787</v>
      </c>
      <c r="E849" s="4">
        <v>1</v>
      </c>
      <c r="F849" s="5">
        <v>870.99</v>
      </c>
      <c r="G849" s="10">
        <f t="shared" si="80"/>
        <v>870.99</v>
      </c>
      <c r="H849" s="7">
        <f t="shared" si="81"/>
        <v>1.0552055947357067E-4</v>
      </c>
      <c r="I849" s="8">
        <f t="shared" si="83"/>
        <v>0.96899020449396056</v>
      </c>
      <c r="J849" s="3" t="s">
        <v>525</v>
      </c>
    </row>
    <row r="850" spans="1:10" x14ac:dyDescent="0.25">
      <c r="A850" s="3" t="s">
        <v>861</v>
      </c>
      <c r="B850" s="3" t="str">
        <f t="shared" si="78"/>
        <v>4</v>
      </c>
      <c r="C850" s="7">
        <f t="shared" si="79"/>
        <v>6.4432989690721648E-4</v>
      </c>
      <c r="D850" s="8">
        <f t="shared" si="82"/>
        <v>0.54703608247422508</v>
      </c>
      <c r="E850" s="4">
        <v>3</v>
      </c>
      <c r="F850" s="5">
        <v>289.63</v>
      </c>
      <c r="G850" s="10">
        <f t="shared" si="80"/>
        <v>868.89</v>
      </c>
      <c r="H850" s="7">
        <f t="shared" si="81"/>
        <v>1.0526614418189741E-4</v>
      </c>
      <c r="I850" s="8">
        <f t="shared" si="83"/>
        <v>0.9690954706381425</v>
      </c>
      <c r="J850" s="3" t="s">
        <v>525</v>
      </c>
    </row>
    <row r="851" spans="1:10" x14ac:dyDescent="0.25">
      <c r="A851" s="3" t="s">
        <v>862</v>
      </c>
      <c r="B851" s="3" t="str">
        <f t="shared" si="78"/>
        <v>8</v>
      </c>
      <c r="C851" s="7">
        <f t="shared" si="79"/>
        <v>6.4432989690721648E-4</v>
      </c>
      <c r="D851" s="8">
        <f t="shared" si="82"/>
        <v>0.5476804123711323</v>
      </c>
      <c r="E851" s="4">
        <v>158</v>
      </c>
      <c r="F851" s="5">
        <v>5.48</v>
      </c>
      <c r="G851" s="10">
        <f t="shared" si="80"/>
        <v>865.84</v>
      </c>
      <c r="H851" s="7">
        <f t="shared" si="81"/>
        <v>1.0489663625827672E-4</v>
      </c>
      <c r="I851" s="8">
        <f t="shared" si="83"/>
        <v>0.96920036727440073</v>
      </c>
      <c r="J851" s="3" t="s">
        <v>525</v>
      </c>
    </row>
    <row r="852" spans="1:10" x14ac:dyDescent="0.25">
      <c r="A852" s="3" t="s">
        <v>863</v>
      </c>
      <c r="B852" s="3" t="str">
        <f t="shared" si="78"/>
        <v>3</v>
      </c>
      <c r="C852" s="7">
        <f t="shared" si="79"/>
        <v>6.4432989690721648E-4</v>
      </c>
      <c r="D852" s="8">
        <f t="shared" si="82"/>
        <v>0.54832474226803951</v>
      </c>
      <c r="E852" s="4">
        <v>1</v>
      </c>
      <c r="F852" s="5">
        <v>864.82</v>
      </c>
      <c r="G852" s="10">
        <f t="shared" si="80"/>
        <v>864.82</v>
      </c>
      <c r="H852" s="7">
        <f t="shared" si="81"/>
        <v>1.0477306311660684E-4</v>
      </c>
      <c r="I852" s="8">
        <f t="shared" si="83"/>
        <v>0.96930514033751736</v>
      </c>
      <c r="J852" s="3" t="s">
        <v>525</v>
      </c>
    </row>
    <row r="853" spans="1:10" x14ac:dyDescent="0.25">
      <c r="A853" s="3" t="s">
        <v>864</v>
      </c>
      <c r="B853" s="3" t="str">
        <f t="shared" si="78"/>
        <v>1</v>
      </c>
      <c r="C853" s="7">
        <f t="shared" si="79"/>
        <v>6.4432989690721648E-4</v>
      </c>
      <c r="D853" s="8">
        <f t="shared" si="82"/>
        <v>0.54896907216494673</v>
      </c>
      <c r="E853" s="4">
        <v>2</v>
      </c>
      <c r="F853" s="5">
        <v>432.31</v>
      </c>
      <c r="G853" s="10">
        <f t="shared" si="80"/>
        <v>864.62</v>
      </c>
      <c r="H853" s="7">
        <f t="shared" si="81"/>
        <v>1.0474883308882843E-4</v>
      </c>
      <c r="I853" s="8">
        <f t="shared" si="83"/>
        <v>0.96940988917060622</v>
      </c>
      <c r="J853" s="3" t="s">
        <v>525</v>
      </c>
    </row>
    <row r="854" spans="1:10" x14ac:dyDescent="0.25">
      <c r="A854" s="3" t="s">
        <v>865</v>
      </c>
      <c r="B854" s="3" t="str">
        <f t="shared" si="78"/>
        <v>3</v>
      </c>
      <c r="C854" s="7">
        <f t="shared" si="79"/>
        <v>6.4432989690721648E-4</v>
      </c>
      <c r="D854" s="8">
        <f t="shared" si="82"/>
        <v>0.54961340206185394</v>
      </c>
      <c r="E854" s="4">
        <v>6</v>
      </c>
      <c r="F854" s="5">
        <v>144.02000000000001</v>
      </c>
      <c r="G854" s="10">
        <f t="shared" si="80"/>
        <v>864.12000000000012</v>
      </c>
      <c r="H854" s="7">
        <f t="shared" si="81"/>
        <v>1.0468825801938243E-4</v>
      </c>
      <c r="I854" s="8">
        <f t="shared" si="83"/>
        <v>0.96951457742862557</v>
      </c>
      <c r="J854" s="3" t="s">
        <v>525</v>
      </c>
    </row>
    <row r="855" spans="1:10" x14ac:dyDescent="0.25">
      <c r="A855" s="3" t="s">
        <v>866</v>
      </c>
      <c r="B855" s="3" t="str">
        <f t="shared" si="78"/>
        <v>3</v>
      </c>
      <c r="C855" s="7">
        <f t="shared" si="79"/>
        <v>6.4432989690721648E-4</v>
      </c>
      <c r="D855" s="8">
        <f t="shared" si="82"/>
        <v>0.55025773195876115</v>
      </c>
      <c r="E855" s="4">
        <v>1</v>
      </c>
      <c r="F855" s="5">
        <v>861.92</v>
      </c>
      <c r="G855" s="10">
        <f t="shared" si="80"/>
        <v>861.92</v>
      </c>
      <c r="H855" s="7">
        <f t="shared" si="81"/>
        <v>1.0442172771381994E-4</v>
      </c>
      <c r="I855" s="8">
        <f t="shared" si="83"/>
        <v>0.96961899915633942</v>
      </c>
      <c r="J855" s="3" t="s">
        <v>525</v>
      </c>
    </row>
    <row r="856" spans="1:10" x14ac:dyDescent="0.25">
      <c r="A856" s="3" t="s">
        <v>867</v>
      </c>
      <c r="B856" s="3" t="str">
        <f t="shared" si="78"/>
        <v>1</v>
      </c>
      <c r="C856" s="7">
        <f t="shared" si="79"/>
        <v>6.4432989690721648E-4</v>
      </c>
      <c r="D856" s="8">
        <f t="shared" si="82"/>
        <v>0.55090206185566837</v>
      </c>
      <c r="E856" s="4">
        <v>1</v>
      </c>
      <c r="F856" s="5">
        <v>859.04</v>
      </c>
      <c r="G856" s="10">
        <f t="shared" si="80"/>
        <v>859.04</v>
      </c>
      <c r="H856" s="7">
        <f t="shared" si="81"/>
        <v>1.0407281531381089E-4</v>
      </c>
      <c r="I856" s="8">
        <f t="shared" si="83"/>
        <v>0.96972307197165319</v>
      </c>
      <c r="J856" s="3" t="s">
        <v>525</v>
      </c>
    </row>
    <row r="857" spans="1:10" x14ac:dyDescent="0.25">
      <c r="A857" s="3" t="s">
        <v>868</v>
      </c>
      <c r="B857" s="3" t="str">
        <f t="shared" si="78"/>
        <v>5</v>
      </c>
      <c r="C857" s="7">
        <f t="shared" si="79"/>
        <v>6.4432989690721648E-4</v>
      </c>
      <c r="D857" s="8">
        <f t="shared" si="82"/>
        <v>0.55154639175257558</v>
      </c>
      <c r="E857" s="4">
        <v>47</v>
      </c>
      <c r="F857" s="5">
        <v>18.21</v>
      </c>
      <c r="G857" s="10">
        <f t="shared" si="80"/>
        <v>855.87</v>
      </c>
      <c r="H857" s="7">
        <f t="shared" si="81"/>
        <v>1.0368876937352316E-4</v>
      </c>
      <c r="I857" s="8">
        <f t="shared" si="83"/>
        <v>0.96982676074102669</v>
      </c>
      <c r="J857" s="3" t="s">
        <v>525</v>
      </c>
    </row>
    <row r="858" spans="1:10" x14ac:dyDescent="0.25">
      <c r="A858" s="3" t="s">
        <v>869</v>
      </c>
      <c r="B858" s="3" t="str">
        <f t="shared" si="78"/>
        <v>9</v>
      </c>
      <c r="C858" s="7">
        <f t="shared" si="79"/>
        <v>6.4432989690721648E-4</v>
      </c>
      <c r="D858" s="8">
        <f t="shared" si="82"/>
        <v>0.5521907216494828</v>
      </c>
      <c r="E858" s="4">
        <v>5</v>
      </c>
      <c r="F858" s="5">
        <v>170.78</v>
      </c>
      <c r="G858" s="10">
        <f t="shared" si="80"/>
        <v>853.9</v>
      </c>
      <c r="H858" s="7">
        <f t="shared" si="81"/>
        <v>1.0345010359990584E-4</v>
      </c>
      <c r="I858" s="8">
        <f t="shared" si="83"/>
        <v>0.96993021084462661</v>
      </c>
      <c r="J858" s="3" t="s">
        <v>525</v>
      </c>
    </row>
    <row r="859" spans="1:10" x14ac:dyDescent="0.25">
      <c r="A859" s="3" t="s">
        <v>870</v>
      </c>
      <c r="B859" s="3" t="str">
        <f t="shared" si="78"/>
        <v>4</v>
      </c>
      <c r="C859" s="7">
        <f t="shared" si="79"/>
        <v>6.4432989690721648E-4</v>
      </c>
      <c r="D859" s="8">
        <f t="shared" si="82"/>
        <v>0.55283505154639001</v>
      </c>
      <c r="E859" s="4">
        <v>11</v>
      </c>
      <c r="F859" s="5">
        <v>76.84</v>
      </c>
      <c r="G859" s="10">
        <f t="shared" si="80"/>
        <v>845.24</v>
      </c>
      <c r="H859" s="7">
        <f t="shared" si="81"/>
        <v>1.0240094339710086E-4</v>
      </c>
      <c r="I859" s="8">
        <f t="shared" si="83"/>
        <v>0.97003261178802369</v>
      </c>
      <c r="J859" s="3" t="s">
        <v>525</v>
      </c>
    </row>
    <row r="860" spans="1:10" x14ac:dyDescent="0.25">
      <c r="A860" s="3" t="s">
        <v>871</v>
      </c>
      <c r="B860" s="3" t="str">
        <f t="shared" si="78"/>
        <v>3</v>
      </c>
      <c r="C860" s="7">
        <f t="shared" si="79"/>
        <v>6.4432989690721648E-4</v>
      </c>
      <c r="D860" s="8">
        <f t="shared" si="82"/>
        <v>0.55347938144329722</v>
      </c>
      <c r="E860" s="4">
        <v>1</v>
      </c>
      <c r="F860" s="5">
        <v>844.08</v>
      </c>
      <c r="G860" s="10">
        <f t="shared" si="80"/>
        <v>844.08</v>
      </c>
      <c r="H860" s="7">
        <f t="shared" si="81"/>
        <v>1.0226040923598611E-4</v>
      </c>
      <c r="I860" s="8">
        <f t="shared" si="83"/>
        <v>0.97013487219725969</v>
      </c>
      <c r="J860" s="3" t="s">
        <v>525</v>
      </c>
    </row>
    <row r="861" spans="1:10" x14ac:dyDescent="0.25">
      <c r="A861" s="3" t="s">
        <v>872</v>
      </c>
      <c r="B861" s="3" t="str">
        <f t="shared" si="78"/>
        <v>4</v>
      </c>
      <c r="C861" s="7">
        <f t="shared" si="79"/>
        <v>6.4432989690721648E-4</v>
      </c>
      <c r="D861" s="8">
        <f t="shared" si="82"/>
        <v>0.55412371134020444</v>
      </c>
      <c r="E861" s="4">
        <v>2</v>
      </c>
      <c r="F861" s="5">
        <v>419.46</v>
      </c>
      <c r="G861" s="10">
        <f t="shared" si="80"/>
        <v>838.92</v>
      </c>
      <c r="H861" s="7">
        <f t="shared" si="81"/>
        <v>1.0163527451930322E-4</v>
      </c>
      <c r="I861" s="8">
        <f t="shared" si="83"/>
        <v>0.97023650747177903</v>
      </c>
      <c r="J861" s="3" t="s">
        <v>525</v>
      </c>
    </row>
    <row r="862" spans="1:10" x14ac:dyDescent="0.25">
      <c r="A862" s="3" t="s">
        <v>873</v>
      </c>
      <c r="B862" s="3" t="str">
        <f t="shared" si="78"/>
        <v>3</v>
      </c>
      <c r="C862" s="7">
        <f t="shared" si="79"/>
        <v>6.4432989690721648E-4</v>
      </c>
      <c r="D862" s="8">
        <f t="shared" si="82"/>
        <v>0.55476804123711165</v>
      </c>
      <c r="E862" s="4">
        <v>4</v>
      </c>
      <c r="F862" s="5">
        <v>209.67</v>
      </c>
      <c r="G862" s="10">
        <f t="shared" si="80"/>
        <v>838.68</v>
      </c>
      <c r="H862" s="7">
        <f t="shared" si="81"/>
        <v>1.0160619848596912E-4</v>
      </c>
      <c r="I862" s="8">
        <f t="shared" si="83"/>
        <v>0.97033811367026501</v>
      </c>
      <c r="J862" s="3" t="s">
        <v>525</v>
      </c>
    </row>
    <row r="863" spans="1:10" x14ac:dyDescent="0.25">
      <c r="A863" s="3" t="s">
        <v>874</v>
      </c>
      <c r="B863" s="3" t="str">
        <f t="shared" si="78"/>
        <v>4</v>
      </c>
      <c r="C863" s="7">
        <f t="shared" si="79"/>
        <v>6.4432989690721648E-4</v>
      </c>
      <c r="D863" s="8">
        <f t="shared" si="82"/>
        <v>0.55541237113401887</v>
      </c>
      <c r="E863" s="4">
        <v>5</v>
      </c>
      <c r="F863" s="5">
        <v>167.4</v>
      </c>
      <c r="G863" s="10">
        <f t="shared" si="80"/>
        <v>837</v>
      </c>
      <c r="H863" s="7">
        <f t="shared" si="81"/>
        <v>1.0140266625263052E-4</v>
      </c>
      <c r="I863" s="8">
        <f t="shared" si="83"/>
        <v>0.97043951633651759</v>
      </c>
      <c r="J863" s="3" t="s">
        <v>525</v>
      </c>
    </row>
    <row r="864" spans="1:10" x14ac:dyDescent="0.25">
      <c r="A864" s="3" t="s">
        <v>875</v>
      </c>
      <c r="B864" s="3" t="str">
        <f t="shared" si="78"/>
        <v>9</v>
      </c>
      <c r="C864" s="7">
        <f t="shared" si="79"/>
        <v>6.4432989690721648E-4</v>
      </c>
      <c r="D864" s="8">
        <f t="shared" si="82"/>
        <v>0.55605670103092608</v>
      </c>
      <c r="E864" s="4">
        <v>3</v>
      </c>
      <c r="F864" s="5">
        <v>276.13</v>
      </c>
      <c r="G864" s="10">
        <f t="shared" si="80"/>
        <v>828.39</v>
      </c>
      <c r="H864" s="7">
        <f t="shared" si="81"/>
        <v>1.0035956355677012E-4</v>
      </c>
      <c r="I864" s="8">
        <f t="shared" si="83"/>
        <v>0.9705398759000744</v>
      </c>
      <c r="J864" s="3" t="s">
        <v>525</v>
      </c>
    </row>
    <row r="865" spans="1:10" x14ac:dyDescent="0.25">
      <c r="A865" s="3" t="s">
        <v>876</v>
      </c>
      <c r="B865" s="3" t="str">
        <f t="shared" si="78"/>
        <v>9</v>
      </c>
      <c r="C865" s="7">
        <f t="shared" si="79"/>
        <v>6.4432989690721648E-4</v>
      </c>
      <c r="D865" s="8">
        <f t="shared" si="82"/>
        <v>0.5567010309278333</v>
      </c>
      <c r="E865" s="4">
        <v>4</v>
      </c>
      <c r="F865" s="5">
        <v>206.49</v>
      </c>
      <c r="G865" s="10">
        <f t="shared" si="80"/>
        <v>825.96</v>
      </c>
      <c r="H865" s="7">
        <f t="shared" si="81"/>
        <v>1.0006516871926249E-4</v>
      </c>
      <c r="I865" s="8">
        <f t="shared" si="83"/>
        <v>0.9706399410687937</v>
      </c>
      <c r="J865" s="3" t="s">
        <v>525</v>
      </c>
    </row>
    <row r="866" spans="1:10" x14ac:dyDescent="0.25">
      <c r="A866" s="3" t="s">
        <v>877</v>
      </c>
      <c r="B866" s="3" t="str">
        <f t="shared" si="78"/>
        <v>1</v>
      </c>
      <c r="C866" s="7">
        <f t="shared" si="79"/>
        <v>6.4432989690721648E-4</v>
      </c>
      <c r="D866" s="8">
        <f t="shared" si="82"/>
        <v>0.55734536082474051</v>
      </c>
      <c r="E866" s="4">
        <v>1</v>
      </c>
      <c r="F866" s="5">
        <v>823.04</v>
      </c>
      <c r="G866" s="10">
        <f t="shared" si="80"/>
        <v>823.04</v>
      </c>
      <c r="H866" s="7">
        <f t="shared" si="81"/>
        <v>9.9711410313697754E-5</v>
      </c>
      <c r="I866" s="8">
        <f t="shared" si="83"/>
        <v>0.97073965247910743</v>
      </c>
      <c r="J866" s="3" t="s">
        <v>525</v>
      </c>
    </row>
    <row r="867" spans="1:10" x14ac:dyDescent="0.25">
      <c r="A867" s="3" t="s">
        <v>878</v>
      </c>
      <c r="B867" s="3" t="str">
        <f t="shared" si="78"/>
        <v>2</v>
      </c>
      <c r="C867" s="7">
        <f t="shared" si="79"/>
        <v>6.4432989690721648E-4</v>
      </c>
      <c r="D867" s="8">
        <f t="shared" si="82"/>
        <v>0.55798969072164772</v>
      </c>
      <c r="E867" s="4">
        <v>11</v>
      </c>
      <c r="F867" s="5">
        <v>74.7</v>
      </c>
      <c r="G867" s="10">
        <f t="shared" si="80"/>
        <v>821.7</v>
      </c>
      <c r="H867" s="7">
        <f t="shared" si="81"/>
        <v>9.9549069127582434E-5</v>
      </c>
      <c r="I867" s="8">
        <f t="shared" si="83"/>
        <v>0.970839201548235</v>
      </c>
      <c r="J867" s="3" t="s">
        <v>525</v>
      </c>
    </row>
    <row r="868" spans="1:10" x14ac:dyDescent="0.25">
      <c r="A868" s="3" t="s">
        <v>879</v>
      </c>
      <c r="B868" s="3" t="str">
        <f t="shared" si="78"/>
        <v>7</v>
      </c>
      <c r="C868" s="7">
        <f t="shared" si="79"/>
        <v>6.4432989690721648E-4</v>
      </c>
      <c r="D868" s="8">
        <f t="shared" si="82"/>
        <v>0.55863402061855494</v>
      </c>
      <c r="E868" s="4">
        <v>35</v>
      </c>
      <c r="F868" s="5">
        <v>23.46</v>
      </c>
      <c r="G868" s="10">
        <f t="shared" si="80"/>
        <v>821.1</v>
      </c>
      <c r="H868" s="7">
        <f t="shared" si="81"/>
        <v>9.947637904424721E-5</v>
      </c>
      <c r="I868" s="8">
        <f t="shared" si="83"/>
        <v>0.97093867792727928</v>
      </c>
      <c r="J868" s="3" t="s">
        <v>525</v>
      </c>
    </row>
    <row r="869" spans="1:10" x14ac:dyDescent="0.25">
      <c r="A869" s="3" t="s">
        <v>880</v>
      </c>
      <c r="B869" s="3" t="str">
        <f t="shared" si="78"/>
        <v>6</v>
      </c>
      <c r="C869" s="7">
        <f t="shared" si="79"/>
        <v>6.4432989690721648E-4</v>
      </c>
      <c r="D869" s="8">
        <f t="shared" si="82"/>
        <v>0.55927835051546215</v>
      </c>
      <c r="E869" s="4">
        <v>8</v>
      </c>
      <c r="F869" s="5">
        <v>102.63</v>
      </c>
      <c r="G869" s="10">
        <f t="shared" si="80"/>
        <v>821.04</v>
      </c>
      <c r="H869" s="7">
        <f t="shared" si="81"/>
        <v>9.9469110035913682E-5</v>
      </c>
      <c r="I869" s="8">
        <f t="shared" si="83"/>
        <v>0.97103814703731517</v>
      </c>
      <c r="J869" s="3" t="s">
        <v>525</v>
      </c>
    </row>
    <row r="870" spans="1:10" x14ac:dyDescent="0.25">
      <c r="A870" s="3" t="s">
        <v>881</v>
      </c>
      <c r="B870" s="3" t="str">
        <f t="shared" si="78"/>
        <v>1</v>
      </c>
      <c r="C870" s="7">
        <f t="shared" si="79"/>
        <v>6.4432989690721648E-4</v>
      </c>
      <c r="D870" s="8">
        <f t="shared" si="82"/>
        <v>0.55992268041236937</v>
      </c>
      <c r="E870" s="4">
        <v>2</v>
      </c>
      <c r="F870" s="5">
        <v>410.05</v>
      </c>
      <c r="G870" s="10">
        <f t="shared" si="80"/>
        <v>820.1</v>
      </c>
      <c r="H870" s="7">
        <f t="shared" si="81"/>
        <v>9.9355228905355188E-5</v>
      </c>
      <c r="I870" s="8">
        <f t="shared" si="83"/>
        <v>0.97113750226622053</v>
      </c>
      <c r="J870" s="3" t="s">
        <v>525</v>
      </c>
    </row>
    <row r="871" spans="1:10" x14ac:dyDescent="0.25">
      <c r="A871" s="3" t="s">
        <v>882</v>
      </c>
      <c r="B871" s="3" t="str">
        <f t="shared" si="78"/>
        <v>9</v>
      </c>
      <c r="C871" s="7">
        <f t="shared" si="79"/>
        <v>6.4432989690721648E-4</v>
      </c>
      <c r="D871" s="8">
        <f t="shared" si="82"/>
        <v>0.56056701030927658</v>
      </c>
      <c r="E871" s="4">
        <v>7</v>
      </c>
      <c r="F871" s="5">
        <v>117.09</v>
      </c>
      <c r="G871" s="10">
        <f t="shared" si="80"/>
        <v>819.63</v>
      </c>
      <c r="H871" s="7">
        <f t="shared" si="81"/>
        <v>9.929828834007592E-5</v>
      </c>
      <c r="I871" s="8">
        <f t="shared" si="83"/>
        <v>0.97123680055456063</v>
      </c>
      <c r="J871" s="3" t="s">
        <v>525</v>
      </c>
    </row>
    <row r="872" spans="1:10" x14ac:dyDescent="0.25">
      <c r="A872" s="3" t="s">
        <v>883</v>
      </c>
      <c r="B872" s="3" t="str">
        <f t="shared" si="78"/>
        <v>6</v>
      </c>
      <c r="C872" s="7">
        <f t="shared" si="79"/>
        <v>6.4432989690721648E-4</v>
      </c>
      <c r="D872" s="8">
        <f t="shared" si="82"/>
        <v>0.5612113402061838</v>
      </c>
      <c r="E872" s="4">
        <v>12</v>
      </c>
      <c r="F872" s="5">
        <v>68.27</v>
      </c>
      <c r="G872" s="10">
        <f t="shared" si="80"/>
        <v>819.24</v>
      </c>
      <c r="H872" s="7">
        <f t="shared" si="81"/>
        <v>9.9251039785908037E-5</v>
      </c>
      <c r="I872" s="8">
        <f t="shared" si="83"/>
        <v>0.97133605159434655</v>
      </c>
      <c r="J872" s="3" t="s">
        <v>525</v>
      </c>
    </row>
    <row r="873" spans="1:10" x14ac:dyDescent="0.25">
      <c r="A873" s="3" t="s">
        <v>884</v>
      </c>
      <c r="B873" s="3" t="str">
        <f t="shared" si="78"/>
        <v>3</v>
      </c>
      <c r="C873" s="7">
        <f t="shared" si="79"/>
        <v>6.4432989690721648E-4</v>
      </c>
      <c r="D873" s="8">
        <f t="shared" si="82"/>
        <v>0.56185567010309101</v>
      </c>
      <c r="E873" s="4">
        <v>1</v>
      </c>
      <c r="F873" s="5">
        <v>817.23</v>
      </c>
      <c r="G873" s="10">
        <f t="shared" si="80"/>
        <v>817.23</v>
      </c>
      <c r="H873" s="7">
        <f t="shared" si="81"/>
        <v>9.9007528006735051E-5</v>
      </c>
      <c r="I873" s="8">
        <f t="shared" si="83"/>
        <v>0.97143505912235328</v>
      </c>
      <c r="J873" s="3" t="s">
        <v>525</v>
      </c>
    </row>
    <row r="874" spans="1:10" x14ac:dyDescent="0.25">
      <c r="A874" s="3" t="s">
        <v>885</v>
      </c>
      <c r="B874" s="3" t="str">
        <f t="shared" si="78"/>
        <v>8</v>
      </c>
      <c r="C874" s="7">
        <f t="shared" si="79"/>
        <v>6.4432989690721648E-4</v>
      </c>
      <c r="D874" s="8">
        <f t="shared" si="82"/>
        <v>0.56249999999999822</v>
      </c>
      <c r="E874" s="4">
        <v>28</v>
      </c>
      <c r="F874" s="5">
        <v>29.18</v>
      </c>
      <c r="G874" s="10">
        <f t="shared" si="80"/>
        <v>817.04</v>
      </c>
      <c r="H874" s="7">
        <f t="shared" si="81"/>
        <v>9.8984509480345553E-5</v>
      </c>
      <c r="I874" s="8">
        <f t="shared" si="83"/>
        <v>0.9715340436318336</v>
      </c>
      <c r="J874" s="3" t="s">
        <v>525</v>
      </c>
    </row>
    <row r="875" spans="1:10" x14ac:dyDescent="0.25">
      <c r="A875" s="3" t="s">
        <v>886</v>
      </c>
      <c r="B875" s="3" t="str">
        <f t="shared" si="78"/>
        <v>1</v>
      </c>
      <c r="C875" s="7">
        <f t="shared" si="79"/>
        <v>6.4432989690721648E-4</v>
      </c>
      <c r="D875" s="8">
        <f t="shared" si="82"/>
        <v>0.56314432989690544</v>
      </c>
      <c r="E875" s="4">
        <v>1</v>
      </c>
      <c r="F875" s="5">
        <v>817</v>
      </c>
      <c r="G875" s="10">
        <f t="shared" si="80"/>
        <v>817</v>
      </c>
      <c r="H875" s="7">
        <f t="shared" si="81"/>
        <v>9.8979663474789881E-5</v>
      </c>
      <c r="I875" s="8">
        <f t="shared" si="83"/>
        <v>0.97163302329530843</v>
      </c>
      <c r="J875" s="3" t="s">
        <v>525</v>
      </c>
    </row>
    <row r="876" spans="1:10" x14ac:dyDescent="0.25">
      <c r="A876" s="3" t="s">
        <v>887</v>
      </c>
      <c r="B876" s="3" t="str">
        <f t="shared" si="78"/>
        <v>3</v>
      </c>
      <c r="C876" s="7">
        <f t="shared" si="79"/>
        <v>6.4432989690721648E-4</v>
      </c>
      <c r="D876" s="8">
        <f t="shared" si="82"/>
        <v>0.56378865979381265</v>
      </c>
      <c r="E876" s="4">
        <v>1</v>
      </c>
      <c r="F876" s="5">
        <v>816.51</v>
      </c>
      <c r="G876" s="10">
        <f t="shared" si="80"/>
        <v>816.51</v>
      </c>
      <c r="H876" s="7">
        <f t="shared" si="81"/>
        <v>9.8920299906732784E-5</v>
      </c>
      <c r="I876" s="8">
        <f t="shared" si="83"/>
        <v>0.9717319435952152</v>
      </c>
      <c r="J876" s="3" t="s">
        <v>525</v>
      </c>
    </row>
    <row r="877" spans="1:10" x14ac:dyDescent="0.25">
      <c r="A877" s="3" t="s">
        <v>888</v>
      </c>
      <c r="B877" s="3" t="str">
        <f t="shared" si="78"/>
        <v>1</v>
      </c>
      <c r="C877" s="7">
        <f t="shared" si="79"/>
        <v>6.4432989690721648E-4</v>
      </c>
      <c r="D877" s="8">
        <f t="shared" si="82"/>
        <v>0.56443298969071987</v>
      </c>
      <c r="E877" s="4">
        <v>1</v>
      </c>
      <c r="F877" s="5">
        <v>813.68</v>
      </c>
      <c r="G877" s="10">
        <f t="shared" si="80"/>
        <v>813.68</v>
      </c>
      <c r="H877" s="7">
        <f t="shared" si="81"/>
        <v>9.8577445013668332E-5</v>
      </c>
      <c r="I877" s="8">
        <f t="shared" si="83"/>
        <v>0.97183052104022882</v>
      </c>
      <c r="J877" s="3" t="s">
        <v>525</v>
      </c>
    </row>
    <row r="878" spans="1:10" x14ac:dyDescent="0.25">
      <c r="A878" s="3" t="s">
        <v>889</v>
      </c>
      <c r="B878" s="3" t="str">
        <f t="shared" si="78"/>
        <v>9</v>
      </c>
      <c r="C878" s="7">
        <f t="shared" si="79"/>
        <v>6.4432989690721648E-4</v>
      </c>
      <c r="D878" s="8">
        <f t="shared" si="82"/>
        <v>0.56507731958762708</v>
      </c>
      <c r="E878" s="4">
        <v>2</v>
      </c>
      <c r="F878" s="5">
        <v>406.8</v>
      </c>
      <c r="G878" s="10">
        <f t="shared" si="80"/>
        <v>813.6</v>
      </c>
      <c r="H878" s="7">
        <f t="shared" si="81"/>
        <v>9.8567753002556975E-5</v>
      </c>
      <c r="I878" s="8">
        <f t="shared" si="83"/>
        <v>0.97192908879323137</v>
      </c>
      <c r="J878" s="3" t="s">
        <v>525</v>
      </c>
    </row>
    <row r="879" spans="1:10" x14ac:dyDescent="0.25">
      <c r="A879" s="3" t="s">
        <v>890</v>
      </c>
      <c r="B879" s="3" t="str">
        <f t="shared" si="78"/>
        <v>1</v>
      </c>
      <c r="C879" s="7">
        <f t="shared" si="79"/>
        <v>6.4432989690721648E-4</v>
      </c>
      <c r="D879" s="8">
        <f t="shared" si="82"/>
        <v>0.56572164948453429</v>
      </c>
      <c r="E879" s="4">
        <v>1</v>
      </c>
      <c r="F879" s="5">
        <v>813.41</v>
      </c>
      <c r="G879" s="10">
        <f t="shared" si="80"/>
        <v>813.41</v>
      </c>
      <c r="H879" s="7">
        <f t="shared" si="81"/>
        <v>9.8544734476167477E-5</v>
      </c>
      <c r="I879" s="8">
        <f t="shared" si="83"/>
        <v>0.97202763352770749</v>
      </c>
      <c r="J879" s="3" t="s">
        <v>525</v>
      </c>
    </row>
    <row r="880" spans="1:10" x14ac:dyDescent="0.25">
      <c r="A880" s="3" t="s">
        <v>891</v>
      </c>
      <c r="B880" s="3" t="str">
        <f t="shared" si="78"/>
        <v>9</v>
      </c>
      <c r="C880" s="7">
        <f t="shared" si="79"/>
        <v>6.4432989690721648E-4</v>
      </c>
      <c r="D880" s="8">
        <f t="shared" si="82"/>
        <v>0.56636597938144151</v>
      </c>
      <c r="E880" s="4">
        <v>2</v>
      </c>
      <c r="F880" s="5">
        <v>406.42</v>
      </c>
      <c r="G880" s="10">
        <f t="shared" si="80"/>
        <v>812.84</v>
      </c>
      <c r="H880" s="7">
        <f t="shared" si="81"/>
        <v>9.8475678896999038E-5</v>
      </c>
      <c r="I880" s="8">
        <f t="shared" si="83"/>
        <v>0.97212610920660447</v>
      </c>
      <c r="J880" s="3" t="s">
        <v>525</v>
      </c>
    </row>
    <row r="881" spans="1:10" x14ac:dyDescent="0.25">
      <c r="A881" s="3" t="s">
        <v>892</v>
      </c>
      <c r="B881" s="3" t="str">
        <f t="shared" si="78"/>
        <v>6</v>
      </c>
      <c r="C881" s="7">
        <f t="shared" si="79"/>
        <v>6.4432989690721648E-4</v>
      </c>
      <c r="D881" s="8">
        <f t="shared" si="82"/>
        <v>0.56701030927834872</v>
      </c>
      <c r="E881" s="4">
        <v>17</v>
      </c>
      <c r="F881" s="5">
        <v>47.67</v>
      </c>
      <c r="G881" s="10">
        <f t="shared" si="80"/>
        <v>810.39</v>
      </c>
      <c r="H881" s="7">
        <f t="shared" si="81"/>
        <v>9.8178861056713555E-5</v>
      </c>
      <c r="I881" s="8">
        <f t="shared" si="83"/>
        <v>0.97222428806766115</v>
      </c>
      <c r="J881" s="3" t="s">
        <v>525</v>
      </c>
    </row>
    <row r="882" spans="1:10" x14ac:dyDescent="0.25">
      <c r="A882" s="3" t="s">
        <v>893</v>
      </c>
      <c r="B882" s="3" t="str">
        <f t="shared" si="78"/>
        <v>8</v>
      </c>
      <c r="C882" s="7">
        <f t="shared" si="79"/>
        <v>6.4432989690721648E-4</v>
      </c>
      <c r="D882" s="8">
        <f t="shared" si="82"/>
        <v>0.56765463917525594</v>
      </c>
      <c r="E882" s="4">
        <v>17</v>
      </c>
      <c r="F882" s="5">
        <v>47.27</v>
      </c>
      <c r="G882" s="10">
        <f t="shared" si="80"/>
        <v>803.59</v>
      </c>
      <c r="H882" s="7">
        <f t="shared" si="81"/>
        <v>9.7355040112247744E-5</v>
      </c>
      <c r="I882" s="8">
        <f t="shared" si="83"/>
        <v>0.97232164310777336</v>
      </c>
      <c r="J882" s="3" t="s">
        <v>525</v>
      </c>
    </row>
    <row r="883" spans="1:10" x14ac:dyDescent="0.25">
      <c r="A883" s="3" t="s">
        <v>894</v>
      </c>
      <c r="B883" s="3" t="str">
        <f t="shared" si="78"/>
        <v>1</v>
      </c>
      <c r="C883" s="7">
        <f t="shared" si="79"/>
        <v>6.4432989690721648E-4</v>
      </c>
      <c r="D883" s="8">
        <f t="shared" si="82"/>
        <v>0.56829896907216315</v>
      </c>
      <c r="E883" s="4">
        <v>1</v>
      </c>
      <c r="F883" s="5">
        <v>801.07</v>
      </c>
      <c r="G883" s="10">
        <f t="shared" si="80"/>
        <v>801.07</v>
      </c>
      <c r="H883" s="7">
        <f t="shared" si="81"/>
        <v>9.7049741762239819E-5</v>
      </c>
      <c r="I883" s="8">
        <f t="shared" si="83"/>
        <v>0.97241869284953564</v>
      </c>
      <c r="J883" s="3" t="s">
        <v>525</v>
      </c>
    </row>
    <row r="884" spans="1:10" x14ac:dyDescent="0.25">
      <c r="A884" s="3" t="s">
        <v>895</v>
      </c>
      <c r="B884" s="3" t="str">
        <f t="shared" si="78"/>
        <v>9</v>
      </c>
      <c r="C884" s="7">
        <f t="shared" si="79"/>
        <v>6.4432989690721648E-4</v>
      </c>
      <c r="D884" s="8">
        <f t="shared" si="82"/>
        <v>0.56894329896907037</v>
      </c>
      <c r="E884" s="4">
        <v>11</v>
      </c>
      <c r="F884" s="5">
        <v>72.52</v>
      </c>
      <c r="G884" s="10">
        <f t="shared" si="80"/>
        <v>797.71999999999991</v>
      </c>
      <c r="H884" s="7">
        <f t="shared" si="81"/>
        <v>9.6643888796951499E-5</v>
      </c>
      <c r="I884" s="8">
        <f t="shared" si="83"/>
        <v>0.97251533673833257</v>
      </c>
      <c r="J884" s="3" t="s">
        <v>525</v>
      </c>
    </row>
    <row r="885" spans="1:10" x14ac:dyDescent="0.25">
      <c r="A885" s="3" t="s">
        <v>896</v>
      </c>
      <c r="B885" s="3" t="str">
        <f t="shared" si="78"/>
        <v>2</v>
      </c>
      <c r="C885" s="7">
        <f t="shared" si="79"/>
        <v>6.4432989690721648E-4</v>
      </c>
      <c r="D885" s="8">
        <f t="shared" si="82"/>
        <v>0.56958762886597758</v>
      </c>
      <c r="E885" s="4">
        <v>14</v>
      </c>
      <c r="F885" s="5">
        <v>56.91</v>
      </c>
      <c r="G885" s="10">
        <f t="shared" si="80"/>
        <v>796.74</v>
      </c>
      <c r="H885" s="7">
        <f t="shared" si="81"/>
        <v>9.652516166083732E-5</v>
      </c>
      <c r="I885" s="8">
        <f t="shared" si="83"/>
        <v>0.97261186189999338</v>
      </c>
      <c r="J885" s="3" t="s">
        <v>525</v>
      </c>
    </row>
    <row r="886" spans="1:10" x14ac:dyDescent="0.25">
      <c r="A886" s="3" t="s">
        <v>897</v>
      </c>
      <c r="B886" s="3" t="str">
        <f t="shared" si="78"/>
        <v>3</v>
      </c>
      <c r="C886" s="7">
        <f t="shared" si="79"/>
        <v>6.4432989690721648E-4</v>
      </c>
      <c r="D886" s="8">
        <f t="shared" si="82"/>
        <v>0.57023195876288479</v>
      </c>
      <c r="E886" s="4">
        <v>3</v>
      </c>
      <c r="F886" s="5">
        <v>263.79000000000002</v>
      </c>
      <c r="G886" s="10">
        <f t="shared" si="80"/>
        <v>791.37000000000012</v>
      </c>
      <c r="H886" s="7">
        <f t="shared" si="81"/>
        <v>9.5874585414987127E-5</v>
      </c>
      <c r="I886" s="8">
        <f t="shared" si="83"/>
        <v>0.97270773648540831</v>
      </c>
      <c r="J886" s="3" t="s">
        <v>525</v>
      </c>
    </row>
    <row r="887" spans="1:10" x14ac:dyDescent="0.25">
      <c r="A887" s="3" t="s">
        <v>898</v>
      </c>
      <c r="B887" s="3" t="str">
        <f t="shared" si="78"/>
        <v>3</v>
      </c>
      <c r="C887" s="7">
        <f t="shared" si="79"/>
        <v>6.4432989690721648E-4</v>
      </c>
      <c r="D887" s="8">
        <f t="shared" si="82"/>
        <v>0.57087628865979201</v>
      </c>
      <c r="E887" s="4">
        <v>1</v>
      </c>
      <c r="F887" s="5">
        <v>790.31</v>
      </c>
      <c r="G887" s="10">
        <f t="shared" si="80"/>
        <v>790.31</v>
      </c>
      <c r="H887" s="7">
        <f t="shared" si="81"/>
        <v>9.574616626776155E-5</v>
      </c>
      <c r="I887" s="8">
        <f t="shared" si="83"/>
        <v>0.97280348265167604</v>
      </c>
      <c r="J887" s="3" t="s">
        <v>525</v>
      </c>
    </row>
    <row r="888" spans="1:10" x14ac:dyDescent="0.25">
      <c r="A888" s="3" t="s">
        <v>899</v>
      </c>
      <c r="B888" s="3" t="str">
        <f t="shared" si="78"/>
        <v>9</v>
      </c>
      <c r="C888" s="7">
        <f t="shared" si="79"/>
        <v>6.4432989690721648E-4</v>
      </c>
      <c r="D888" s="8">
        <f t="shared" si="82"/>
        <v>0.57152061855669922</v>
      </c>
      <c r="E888" s="4">
        <v>3</v>
      </c>
      <c r="F888" s="5">
        <v>260.66000000000003</v>
      </c>
      <c r="G888" s="10">
        <f t="shared" si="80"/>
        <v>781.98</v>
      </c>
      <c r="H888" s="7">
        <f t="shared" si="81"/>
        <v>9.4736985610790935E-5</v>
      </c>
      <c r="I888" s="8">
        <f t="shared" si="83"/>
        <v>0.97289821963728684</v>
      </c>
      <c r="J888" s="3" t="s">
        <v>525</v>
      </c>
    </row>
    <row r="889" spans="1:10" x14ac:dyDescent="0.25">
      <c r="A889" s="3" t="s">
        <v>900</v>
      </c>
      <c r="B889" s="3" t="str">
        <f t="shared" si="78"/>
        <v>1</v>
      </c>
      <c r="C889" s="7">
        <f t="shared" si="79"/>
        <v>6.4432989690721648E-4</v>
      </c>
      <c r="D889" s="8">
        <f t="shared" si="82"/>
        <v>0.57216494845360644</v>
      </c>
      <c r="E889" s="4">
        <v>2</v>
      </c>
      <c r="F889" s="5">
        <v>390.86</v>
      </c>
      <c r="G889" s="10">
        <f t="shared" si="80"/>
        <v>781.72</v>
      </c>
      <c r="H889" s="7">
        <f t="shared" si="81"/>
        <v>9.4705486574679008E-5</v>
      </c>
      <c r="I889" s="8">
        <f t="shared" si="83"/>
        <v>0.97299292512386149</v>
      </c>
      <c r="J889" s="3" t="s">
        <v>525</v>
      </c>
    </row>
    <row r="890" spans="1:10" x14ac:dyDescent="0.25">
      <c r="A890" s="3" t="s">
        <v>901</v>
      </c>
      <c r="B890" s="3" t="str">
        <f t="shared" si="78"/>
        <v>1</v>
      </c>
      <c r="C890" s="7">
        <f t="shared" si="79"/>
        <v>6.4432989690721648E-4</v>
      </c>
      <c r="D890" s="8">
        <f t="shared" si="82"/>
        <v>0.57280927835051365</v>
      </c>
      <c r="E890" s="4">
        <v>1</v>
      </c>
      <c r="F890" s="5">
        <v>779.28</v>
      </c>
      <c r="G890" s="10">
        <f t="shared" si="80"/>
        <v>779.28</v>
      </c>
      <c r="H890" s="7">
        <f t="shared" si="81"/>
        <v>9.440988023578244E-5</v>
      </c>
      <c r="I890" s="8">
        <f t="shared" si="83"/>
        <v>0.97308733500409728</v>
      </c>
      <c r="J890" s="3" t="s">
        <v>525</v>
      </c>
    </row>
    <row r="891" spans="1:10" x14ac:dyDescent="0.25">
      <c r="A891" s="3" t="s">
        <v>902</v>
      </c>
      <c r="B891" s="3" t="str">
        <f t="shared" si="78"/>
        <v>5</v>
      </c>
      <c r="C891" s="7">
        <f t="shared" si="79"/>
        <v>6.4432989690721648E-4</v>
      </c>
      <c r="D891" s="8">
        <f t="shared" si="82"/>
        <v>0.57345360824742087</v>
      </c>
      <c r="E891" s="4">
        <v>8</v>
      </c>
      <c r="F891" s="5">
        <v>97.37</v>
      </c>
      <c r="G891" s="10">
        <f t="shared" si="80"/>
        <v>778.96</v>
      </c>
      <c r="H891" s="7">
        <f t="shared" si="81"/>
        <v>9.4371112191336999E-5</v>
      </c>
      <c r="I891" s="8">
        <f t="shared" si="83"/>
        <v>0.97318170611628863</v>
      </c>
      <c r="J891" s="3" t="s">
        <v>525</v>
      </c>
    </row>
    <row r="892" spans="1:10" x14ac:dyDescent="0.25">
      <c r="A892" s="3" t="s">
        <v>903</v>
      </c>
      <c r="B892" s="3" t="str">
        <f t="shared" si="78"/>
        <v>1</v>
      </c>
      <c r="C892" s="7">
        <f t="shared" si="79"/>
        <v>6.4432989690721648E-4</v>
      </c>
      <c r="D892" s="8">
        <f t="shared" si="82"/>
        <v>0.57409793814432808</v>
      </c>
      <c r="E892" s="4">
        <v>1</v>
      </c>
      <c r="F892" s="5">
        <v>778.26</v>
      </c>
      <c r="G892" s="10">
        <f t="shared" si="80"/>
        <v>778.26</v>
      </c>
      <c r="H892" s="7">
        <f t="shared" si="81"/>
        <v>9.4286307094112575E-5</v>
      </c>
      <c r="I892" s="8">
        <f t="shared" si="83"/>
        <v>0.9732759924233827</v>
      </c>
      <c r="J892" s="3" t="s">
        <v>525</v>
      </c>
    </row>
    <row r="893" spans="1:10" x14ac:dyDescent="0.25">
      <c r="A893" s="3" t="s">
        <v>904</v>
      </c>
      <c r="B893" s="3" t="str">
        <f t="shared" si="78"/>
        <v>3</v>
      </c>
      <c r="C893" s="7">
        <f t="shared" si="79"/>
        <v>6.4432989690721648E-4</v>
      </c>
      <c r="D893" s="8">
        <f t="shared" si="82"/>
        <v>0.57474226804123529</v>
      </c>
      <c r="E893" s="4">
        <v>1</v>
      </c>
      <c r="F893" s="5">
        <v>774.27</v>
      </c>
      <c r="G893" s="10">
        <f t="shared" si="80"/>
        <v>774.27</v>
      </c>
      <c r="H893" s="7">
        <f t="shared" si="81"/>
        <v>9.380291803993336E-5</v>
      </c>
      <c r="I893" s="8">
        <f t="shared" si="83"/>
        <v>0.97336979534142265</v>
      </c>
      <c r="J893" s="3" t="s">
        <v>525</v>
      </c>
    </row>
    <row r="894" spans="1:10" x14ac:dyDescent="0.25">
      <c r="A894" s="3" t="s">
        <v>905</v>
      </c>
      <c r="B894" s="3" t="str">
        <f t="shared" si="78"/>
        <v>8</v>
      </c>
      <c r="C894" s="7">
        <f t="shared" si="79"/>
        <v>6.4432989690721648E-4</v>
      </c>
      <c r="D894" s="8">
        <f t="shared" si="82"/>
        <v>0.57538659793814251</v>
      </c>
      <c r="E894" s="4">
        <v>17</v>
      </c>
      <c r="F894" s="5">
        <v>45.44</v>
      </c>
      <c r="G894" s="10">
        <f t="shared" si="80"/>
        <v>772.48</v>
      </c>
      <c r="H894" s="7">
        <f t="shared" si="81"/>
        <v>9.3586059291316629E-5</v>
      </c>
      <c r="I894" s="8">
        <f t="shared" si="83"/>
        <v>0.97346338140071398</v>
      </c>
      <c r="J894" s="3" t="s">
        <v>525</v>
      </c>
    </row>
    <row r="895" spans="1:10" x14ac:dyDescent="0.25">
      <c r="A895" s="3" t="s">
        <v>906</v>
      </c>
      <c r="B895" s="3" t="str">
        <f t="shared" si="78"/>
        <v>7</v>
      </c>
      <c r="C895" s="7">
        <f t="shared" si="79"/>
        <v>6.4432989690721648E-4</v>
      </c>
      <c r="D895" s="8">
        <f t="shared" si="82"/>
        <v>0.57603092783504972</v>
      </c>
      <c r="E895" s="4">
        <v>6</v>
      </c>
      <c r="F895" s="5">
        <v>128.66</v>
      </c>
      <c r="G895" s="10">
        <f t="shared" si="80"/>
        <v>771.96</v>
      </c>
      <c r="H895" s="7">
        <f t="shared" si="81"/>
        <v>9.3523061219092775E-5</v>
      </c>
      <c r="I895" s="8">
        <f t="shared" si="83"/>
        <v>0.9735569044619331</v>
      </c>
      <c r="J895" s="3" t="s">
        <v>525</v>
      </c>
    </row>
    <row r="896" spans="1:10" x14ac:dyDescent="0.25">
      <c r="A896" s="3" t="s">
        <v>907</v>
      </c>
      <c r="B896" s="3" t="str">
        <f t="shared" si="78"/>
        <v>1</v>
      </c>
      <c r="C896" s="7">
        <f t="shared" si="79"/>
        <v>6.4432989690721648E-4</v>
      </c>
      <c r="D896" s="8">
        <f t="shared" si="82"/>
        <v>0.57667525773195694</v>
      </c>
      <c r="E896" s="4">
        <v>1</v>
      </c>
      <c r="F896" s="5">
        <v>771.37</v>
      </c>
      <c r="G896" s="10">
        <f t="shared" si="80"/>
        <v>771.37</v>
      </c>
      <c r="H896" s="7">
        <f t="shared" si="81"/>
        <v>9.3451582637146479E-5</v>
      </c>
      <c r="I896" s="8">
        <f t="shared" si="83"/>
        <v>0.97365035604457029</v>
      </c>
      <c r="J896" s="3" t="s">
        <v>525</v>
      </c>
    </row>
    <row r="897" spans="1:10" x14ac:dyDescent="0.25">
      <c r="A897" s="3" t="s">
        <v>908</v>
      </c>
      <c r="B897" s="3" t="str">
        <f t="shared" si="78"/>
        <v>1</v>
      </c>
      <c r="C897" s="7">
        <f t="shared" si="79"/>
        <v>6.4432989690721648E-4</v>
      </c>
      <c r="D897" s="8">
        <f t="shared" si="82"/>
        <v>0.57731958762886415</v>
      </c>
      <c r="E897" s="4">
        <v>1</v>
      </c>
      <c r="F897" s="5">
        <v>769.43</v>
      </c>
      <c r="G897" s="10">
        <f t="shared" si="80"/>
        <v>769.43</v>
      </c>
      <c r="H897" s="7">
        <f t="shared" si="81"/>
        <v>9.3216551367695922E-5</v>
      </c>
      <c r="I897" s="8">
        <f t="shared" si="83"/>
        <v>0.97374357259593802</v>
      </c>
      <c r="J897" s="3" t="s">
        <v>525</v>
      </c>
    </row>
    <row r="898" spans="1:10" x14ac:dyDescent="0.25">
      <c r="A898" s="3" t="s">
        <v>909</v>
      </c>
      <c r="B898" s="3" t="str">
        <f t="shared" ref="B898:B961" si="84">RIGHT(A898,1)</f>
        <v>3</v>
      </c>
      <c r="C898" s="7">
        <f t="shared" ref="C898:C961" si="85">1/COUNTA(A$2:A$1553)</f>
        <v>6.4432989690721648E-4</v>
      </c>
      <c r="D898" s="8">
        <f t="shared" si="82"/>
        <v>0.57796391752577136</v>
      </c>
      <c r="E898" s="4">
        <v>1</v>
      </c>
      <c r="F898" s="5">
        <v>768.89</v>
      </c>
      <c r="G898" s="10">
        <f t="shared" ref="G898:G961" si="86">E898*F898</f>
        <v>768.89</v>
      </c>
      <c r="H898" s="7">
        <f t="shared" ref="H898:H961" si="87">G898/SUM(G$2:G$1553)</f>
        <v>9.3151130292694239E-5</v>
      </c>
      <c r="I898" s="8">
        <f t="shared" si="83"/>
        <v>0.97383672372623076</v>
      </c>
      <c r="J898" s="3" t="s">
        <v>525</v>
      </c>
    </row>
    <row r="899" spans="1:10" x14ac:dyDescent="0.25">
      <c r="A899" s="3" t="s">
        <v>910</v>
      </c>
      <c r="B899" s="3" t="str">
        <f t="shared" si="84"/>
        <v>6</v>
      </c>
      <c r="C899" s="7">
        <f t="shared" si="85"/>
        <v>6.4432989690721648E-4</v>
      </c>
      <c r="D899" s="8">
        <f t="shared" ref="D899:D962" si="88">D898+C899</f>
        <v>0.57860824742267858</v>
      </c>
      <c r="E899" s="4">
        <v>9</v>
      </c>
      <c r="F899" s="5">
        <v>85.41</v>
      </c>
      <c r="G899" s="10">
        <f t="shared" si="86"/>
        <v>768.68999999999994</v>
      </c>
      <c r="H899" s="7">
        <f t="shared" si="87"/>
        <v>9.3126900264915827E-5</v>
      </c>
      <c r="I899" s="8">
        <f t="shared" ref="I899:I962" si="89">I898+H899</f>
        <v>0.97392985062649562</v>
      </c>
      <c r="J899" s="3" t="s">
        <v>525</v>
      </c>
    </row>
    <row r="900" spans="1:10" x14ac:dyDescent="0.25">
      <c r="A900" s="3" t="s">
        <v>911</v>
      </c>
      <c r="B900" s="3" t="str">
        <f t="shared" si="84"/>
        <v>7</v>
      </c>
      <c r="C900" s="7">
        <f t="shared" si="85"/>
        <v>6.4432989690721648E-4</v>
      </c>
      <c r="D900" s="8">
        <f t="shared" si="88"/>
        <v>0.57925257731958579</v>
      </c>
      <c r="E900" s="4">
        <v>5</v>
      </c>
      <c r="F900" s="5">
        <v>153.56</v>
      </c>
      <c r="G900" s="10">
        <f t="shared" si="86"/>
        <v>767.8</v>
      </c>
      <c r="H900" s="7">
        <f t="shared" si="87"/>
        <v>9.3019076641301919E-5</v>
      </c>
      <c r="I900" s="8">
        <f t="shared" si="89"/>
        <v>0.9740228697031369</v>
      </c>
      <c r="J900" s="3" t="s">
        <v>525</v>
      </c>
    </row>
    <row r="901" spans="1:10" x14ac:dyDescent="0.25">
      <c r="A901" s="3" t="s">
        <v>912</v>
      </c>
      <c r="B901" s="3" t="str">
        <f t="shared" si="84"/>
        <v>4</v>
      </c>
      <c r="C901" s="7">
        <f t="shared" si="85"/>
        <v>6.4432989690721648E-4</v>
      </c>
      <c r="D901" s="8">
        <f t="shared" si="88"/>
        <v>0.57989690721649301</v>
      </c>
      <c r="E901" s="4">
        <v>2</v>
      </c>
      <c r="F901" s="5">
        <v>383.51</v>
      </c>
      <c r="G901" s="10">
        <f t="shared" si="86"/>
        <v>767.02</v>
      </c>
      <c r="H901" s="7">
        <f t="shared" si="87"/>
        <v>9.2924579532966138E-5</v>
      </c>
      <c r="I901" s="8">
        <f t="shared" si="89"/>
        <v>0.97411579428266981</v>
      </c>
      <c r="J901" s="3" t="s">
        <v>525</v>
      </c>
    </row>
    <row r="902" spans="1:10" x14ac:dyDescent="0.25">
      <c r="A902" s="3" t="s">
        <v>913</v>
      </c>
      <c r="B902" s="3" t="str">
        <f t="shared" si="84"/>
        <v>1</v>
      </c>
      <c r="C902" s="7">
        <f t="shared" si="85"/>
        <v>6.4432989690721648E-4</v>
      </c>
      <c r="D902" s="8">
        <f t="shared" si="88"/>
        <v>0.58054123711340022</v>
      </c>
      <c r="E902" s="4">
        <v>1</v>
      </c>
      <c r="F902" s="5">
        <v>765.25</v>
      </c>
      <c r="G902" s="10">
        <f t="shared" si="86"/>
        <v>765.25</v>
      </c>
      <c r="H902" s="7">
        <f t="shared" si="87"/>
        <v>9.2710143787127236E-5</v>
      </c>
      <c r="I902" s="8">
        <f t="shared" si="89"/>
        <v>0.9742085044264569</v>
      </c>
      <c r="J902" s="3" t="s">
        <v>525</v>
      </c>
    </row>
    <row r="903" spans="1:10" x14ac:dyDescent="0.25">
      <c r="A903" s="3" t="s">
        <v>914</v>
      </c>
      <c r="B903" s="3" t="str">
        <f t="shared" si="84"/>
        <v>4</v>
      </c>
      <c r="C903" s="7">
        <f t="shared" si="85"/>
        <v>6.4432989690721648E-4</v>
      </c>
      <c r="D903" s="8">
        <f t="shared" si="88"/>
        <v>0.58118556701030744</v>
      </c>
      <c r="E903" s="4">
        <v>2</v>
      </c>
      <c r="F903" s="5">
        <v>381.76</v>
      </c>
      <c r="G903" s="10">
        <f t="shared" si="86"/>
        <v>763.52</v>
      </c>
      <c r="H903" s="7">
        <f t="shared" si="87"/>
        <v>9.250055404684402E-5</v>
      </c>
      <c r="I903" s="8">
        <f t="shared" si="89"/>
        <v>0.97430100498050376</v>
      </c>
      <c r="J903" s="3" t="s">
        <v>525</v>
      </c>
    </row>
    <row r="904" spans="1:10" x14ac:dyDescent="0.25">
      <c r="A904" s="3" t="s">
        <v>915</v>
      </c>
      <c r="B904" s="3" t="str">
        <f t="shared" si="84"/>
        <v>8</v>
      </c>
      <c r="C904" s="7">
        <f t="shared" si="85"/>
        <v>6.4432989690721648E-4</v>
      </c>
      <c r="D904" s="8">
        <f t="shared" si="88"/>
        <v>0.58182989690721465</v>
      </c>
      <c r="E904" s="4">
        <v>23</v>
      </c>
      <c r="F904" s="5">
        <v>33.08</v>
      </c>
      <c r="G904" s="10">
        <f t="shared" si="86"/>
        <v>760.83999999999992</v>
      </c>
      <c r="H904" s="7">
        <f t="shared" si="87"/>
        <v>9.2175871674613367E-5</v>
      </c>
      <c r="I904" s="8">
        <f t="shared" si="89"/>
        <v>0.97439318085217841</v>
      </c>
      <c r="J904" s="3" t="s">
        <v>525</v>
      </c>
    </row>
    <row r="905" spans="1:10" x14ac:dyDescent="0.25">
      <c r="A905" s="3" t="s">
        <v>916</v>
      </c>
      <c r="B905" s="3" t="str">
        <f t="shared" si="84"/>
        <v>1</v>
      </c>
      <c r="C905" s="7">
        <f t="shared" si="85"/>
        <v>6.4432989690721648E-4</v>
      </c>
      <c r="D905" s="8">
        <f t="shared" si="88"/>
        <v>0.58247422680412186</v>
      </c>
      <c r="E905" s="4">
        <v>1</v>
      </c>
      <c r="F905" s="5">
        <v>759.05</v>
      </c>
      <c r="G905" s="10">
        <f t="shared" si="86"/>
        <v>759.05</v>
      </c>
      <c r="H905" s="7">
        <f t="shared" si="87"/>
        <v>9.1959012925996636E-5</v>
      </c>
      <c r="I905" s="8">
        <f t="shared" si="89"/>
        <v>0.97448513986510443</v>
      </c>
      <c r="J905" s="3" t="s">
        <v>525</v>
      </c>
    </row>
    <row r="906" spans="1:10" x14ac:dyDescent="0.25">
      <c r="A906" s="3" t="s">
        <v>917</v>
      </c>
      <c r="B906" s="3" t="str">
        <f t="shared" si="84"/>
        <v>1</v>
      </c>
      <c r="C906" s="7">
        <f t="shared" si="85"/>
        <v>6.4432989690721648E-4</v>
      </c>
      <c r="D906" s="8">
        <f t="shared" si="88"/>
        <v>0.58311855670102908</v>
      </c>
      <c r="E906" s="4">
        <v>1</v>
      </c>
      <c r="F906" s="5">
        <v>758.77</v>
      </c>
      <c r="G906" s="10">
        <f t="shared" si="86"/>
        <v>758.77</v>
      </c>
      <c r="H906" s="7">
        <f t="shared" si="87"/>
        <v>9.192509088710688E-5</v>
      </c>
      <c r="I906" s="8">
        <f t="shared" si="89"/>
        <v>0.9745770649559915</v>
      </c>
      <c r="J906" s="3" t="s">
        <v>525</v>
      </c>
    </row>
    <row r="907" spans="1:10" x14ac:dyDescent="0.25">
      <c r="A907" s="3" t="s">
        <v>918</v>
      </c>
      <c r="B907" s="3" t="str">
        <f t="shared" si="84"/>
        <v>9</v>
      </c>
      <c r="C907" s="7">
        <f t="shared" si="85"/>
        <v>6.4432989690721648E-4</v>
      </c>
      <c r="D907" s="8">
        <f t="shared" si="88"/>
        <v>0.58376288659793629</v>
      </c>
      <c r="E907" s="4">
        <v>3</v>
      </c>
      <c r="F907" s="5">
        <v>252.12</v>
      </c>
      <c r="G907" s="10">
        <f t="shared" si="86"/>
        <v>756.36</v>
      </c>
      <c r="H907" s="7">
        <f t="shared" si="87"/>
        <v>9.1633119052377082E-5</v>
      </c>
      <c r="I907" s="8">
        <f t="shared" si="89"/>
        <v>0.97466869807504386</v>
      </c>
      <c r="J907" s="3" t="s">
        <v>525</v>
      </c>
    </row>
    <row r="908" spans="1:10" x14ac:dyDescent="0.25">
      <c r="A908" s="3" t="s">
        <v>919</v>
      </c>
      <c r="B908" s="3" t="str">
        <f t="shared" si="84"/>
        <v>3</v>
      </c>
      <c r="C908" s="7">
        <f t="shared" si="85"/>
        <v>6.4432989690721648E-4</v>
      </c>
      <c r="D908" s="8">
        <f t="shared" si="88"/>
        <v>0.58440721649484351</v>
      </c>
      <c r="E908" s="4">
        <v>1</v>
      </c>
      <c r="F908" s="5">
        <v>752.52</v>
      </c>
      <c r="G908" s="10">
        <f t="shared" si="86"/>
        <v>752.52</v>
      </c>
      <c r="H908" s="7">
        <f t="shared" si="87"/>
        <v>9.116790251903168E-5</v>
      </c>
      <c r="I908" s="8">
        <f t="shared" si="89"/>
        <v>0.97475986597756292</v>
      </c>
      <c r="J908" s="3" t="s">
        <v>525</v>
      </c>
    </row>
    <row r="909" spans="1:10" x14ac:dyDescent="0.25">
      <c r="A909" s="3" t="s">
        <v>920</v>
      </c>
      <c r="B909" s="3" t="str">
        <f t="shared" si="84"/>
        <v>4</v>
      </c>
      <c r="C909" s="7">
        <f t="shared" si="85"/>
        <v>6.4432989690721648E-4</v>
      </c>
      <c r="D909" s="8">
        <f t="shared" si="88"/>
        <v>0.58505154639175072</v>
      </c>
      <c r="E909" s="4">
        <v>4</v>
      </c>
      <c r="F909" s="5">
        <v>187.95</v>
      </c>
      <c r="G909" s="10">
        <f t="shared" si="86"/>
        <v>751.8</v>
      </c>
      <c r="H909" s="7">
        <f t="shared" si="87"/>
        <v>9.1080674419029414E-5</v>
      </c>
      <c r="I909" s="8">
        <f t="shared" si="89"/>
        <v>0.97485094665198191</v>
      </c>
      <c r="J909" s="3" t="s">
        <v>525</v>
      </c>
    </row>
    <row r="910" spans="1:10" x14ac:dyDescent="0.25">
      <c r="A910" s="3" t="s">
        <v>921</v>
      </c>
      <c r="B910" s="3" t="str">
        <f t="shared" si="84"/>
        <v>7</v>
      </c>
      <c r="C910" s="7">
        <f t="shared" si="85"/>
        <v>6.4432989690721648E-4</v>
      </c>
      <c r="D910" s="8">
        <f t="shared" si="88"/>
        <v>0.58569587628865794</v>
      </c>
      <c r="E910" s="4">
        <v>11</v>
      </c>
      <c r="F910" s="5">
        <v>68.319999999999993</v>
      </c>
      <c r="G910" s="10">
        <f t="shared" si="86"/>
        <v>751.52</v>
      </c>
      <c r="H910" s="7">
        <f t="shared" si="87"/>
        <v>9.1046752380139644E-5</v>
      </c>
      <c r="I910" s="8">
        <f t="shared" si="89"/>
        <v>0.97494199340436205</v>
      </c>
      <c r="J910" s="3" t="s">
        <v>525</v>
      </c>
    </row>
    <row r="911" spans="1:10" x14ac:dyDescent="0.25">
      <c r="A911" s="3" t="s">
        <v>922</v>
      </c>
      <c r="B911" s="3" t="str">
        <f t="shared" si="84"/>
        <v>9</v>
      </c>
      <c r="C911" s="7">
        <f t="shared" si="85"/>
        <v>6.4432989690721648E-4</v>
      </c>
      <c r="D911" s="8">
        <f t="shared" si="88"/>
        <v>0.58634020618556515</v>
      </c>
      <c r="E911" s="4">
        <v>9</v>
      </c>
      <c r="F911" s="5">
        <v>83.29</v>
      </c>
      <c r="G911" s="10">
        <f t="shared" si="86"/>
        <v>749.61</v>
      </c>
      <c r="H911" s="7">
        <f t="shared" si="87"/>
        <v>9.0815355614855871E-5</v>
      </c>
      <c r="I911" s="8">
        <f t="shared" si="89"/>
        <v>0.97503280875997689</v>
      </c>
      <c r="J911" s="3" t="s">
        <v>525</v>
      </c>
    </row>
    <row r="912" spans="1:10" x14ac:dyDescent="0.25">
      <c r="A912" s="3" t="s">
        <v>923</v>
      </c>
      <c r="B912" s="3" t="str">
        <f t="shared" si="84"/>
        <v>9</v>
      </c>
      <c r="C912" s="7">
        <f t="shared" si="85"/>
        <v>6.4432989690721648E-4</v>
      </c>
      <c r="D912" s="8">
        <f t="shared" si="88"/>
        <v>0.58698453608247236</v>
      </c>
      <c r="E912" s="4">
        <v>12</v>
      </c>
      <c r="F912" s="5">
        <v>62.25</v>
      </c>
      <c r="G912" s="10">
        <f t="shared" si="86"/>
        <v>747</v>
      </c>
      <c r="H912" s="7">
        <f t="shared" si="87"/>
        <v>9.0499153752347661E-5</v>
      </c>
      <c r="I912" s="8">
        <f t="shared" si="89"/>
        <v>0.97512330791372925</v>
      </c>
      <c r="J912" s="3" t="s">
        <v>525</v>
      </c>
    </row>
    <row r="913" spans="1:10" x14ac:dyDescent="0.25">
      <c r="A913" s="3" t="s">
        <v>924</v>
      </c>
      <c r="B913" s="3" t="str">
        <f t="shared" si="84"/>
        <v>3</v>
      </c>
      <c r="C913" s="7">
        <f t="shared" si="85"/>
        <v>6.4432989690721648E-4</v>
      </c>
      <c r="D913" s="8">
        <f t="shared" si="88"/>
        <v>0.58762886597937958</v>
      </c>
      <c r="E913" s="4">
        <v>1</v>
      </c>
      <c r="F913" s="5">
        <v>736.61</v>
      </c>
      <c r="G913" s="10">
        <f t="shared" si="86"/>
        <v>736.61</v>
      </c>
      <c r="H913" s="7">
        <f t="shared" si="87"/>
        <v>8.9240403809259461E-5</v>
      </c>
      <c r="I913" s="8">
        <f t="shared" si="89"/>
        <v>0.97521254831753856</v>
      </c>
      <c r="J913" s="3" t="s">
        <v>525</v>
      </c>
    </row>
    <row r="914" spans="1:10" x14ac:dyDescent="0.25">
      <c r="A914" s="3" t="s">
        <v>925</v>
      </c>
      <c r="B914" s="3" t="str">
        <f t="shared" si="84"/>
        <v>3</v>
      </c>
      <c r="C914" s="7">
        <f t="shared" si="85"/>
        <v>6.4432989690721648E-4</v>
      </c>
      <c r="D914" s="8">
        <f t="shared" si="88"/>
        <v>0.58827319587628679</v>
      </c>
      <c r="E914" s="4">
        <v>2</v>
      </c>
      <c r="F914" s="5">
        <v>368.11</v>
      </c>
      <c r="G914" s="10">
        <f t="shared" si="86"/>
        <v>736.22</v>
      </c>
      <c r="H914" s="7">
        <f t="shared" si="87"/>
        <v>8.9193155255091564E-5</v>
      </c>
      <c r="I914" s="8">
        <f t="shared" si="89"/>
        <v>0.97530174147279369</v>
      </c>
      <c r="J914" s="3" t="s">
        <v>525</v>
      </c>
    </row>
    <row r="915" spans="1:10" x14ac:dyDescent="0.25">
      <c r="A915" s="3" t="s">
        <v>926</v>
      </c>
      <c r="B915" s="3" t="str">
        <f t="shared" si="84"/>
        <v>1</v>
      </c>
      <c r="C915" s="7">
        <f t="shared" si="85"/>
        <v>6.4432989690721648E-4</v>
      </c>
      <c r="D915" s="8">
        <f t="shared" si="88"/>
        <v>0.58891752577319401</v>
      </c>
      <c r="E915" s="4">
        <v>1</v>
      </c>
      <c r="F915" s="5">
        <v>734.77</v>
      </c>
      <c r="G915" s="10">
        <f t="shared" si="86"/>
        <v>734.77</v>
      </c>
      <c r="H915" s="7">
        <f t="shared" si="87"/>
        <v>8.9017487553698116E-5</v>
      </c>
      <c r="I915" s="8">
        <f t="shared" si="89"/>
        <v>0.97539075896034744</v>
      </c>
      <c r="J915" s="3" t="s">
        <v>525</v>
      </c>
    </row>
    <row r="916" spans="1:10" x14ac:dyDescent="0.25">
      <c r="A916" s="3" t="s">
        <v>927</v>
      </c>
      <c r="B916" s="3" t="str">
        <f t="shared" si="84"/>
        <v>1</v>
      </c>
      <c r="C916" s="7">
        <f t="shared" si="85"/>
        <v>6.4432989690721648E-4</v>
      </c>
      <c r="D916" s="8">
        <f t="shared" si="88"/>
        <v>0.58956185567010122</v>
      </c>
      <c r="E916" s="4">
        <v>1</v>
      </c>
      <c r="F916" s="5">
        <v>734.38</v>
      </c>
      <c r="G916" s="10">
        <f t="shared" si="86"/>
        <v>734.38</v>
      </c>
      <c r="H916" s="7">
        <f t="shared" si="87"/>
        <v>8.8970238999530219E-5</v>
      </c>
      <c r="I916" s="8">
        <f t="shared" si="89"/>
        <v>0.975479729199347</v>
      </c>
      <c r="J916" s="3" t="s">
        <v>525</v>
      </c>
    </row>
    <row r="917" spans="1:10" x14ac:dyDescent="0.25">
      <c r="A917" s="3" t="s">
        <v>928</v>
      </c>
      <c r="B917" s="3" t="str">
        <f t="shared" si="84"/>
        <v>1</v>
      </c>
      <c r="C917" s="7">
        <f t="shared" si="85"/>
        <v>6.4432989690721648E-4</v>
      </c>
      <c r="D917" s="8">
        <f t="shared" si="88"/>
        <v>0.59020618556700843</v>
      </c>
      <c r="E917" s="4">
        <v>1</v>
      </c>
      <c r="F917" s="5">
        <v>732.55</v>
      </c>
      <c r="G917" s="10">
        <f t="shared" si="86"/>
        <v>732.55</v>
      </c>
      <c r="H917" s="7">
        <f t="shared" si="87"/>
        <v>8.8748534245357803E-5</v>
      </c>
      <c r="I917" s="8">
        <f t="shared" si="89"/>
        <v>0.97556847773359234</v>
      </c>
      <c r="J917" s="3" t="s">
        <v>525</v>
      </c>
    </row>
    <row r="918" spans="1:10" x14ac:dyDescent="0.25">
      <c r="A918" s="3" t="s">
        <v>929</v>
      </c>
      <c r="B918" s="3" t="str">
        <f t="shared" si="84"/>
        <v>4</v>
      </c>
      <c r="C918" s="7">
        <f t="shared" si="85"/>
        <v>6.4432989690721648E-4</v>
      </c>
      <c r="D918" s="8">
        <f t="shared" si="88"/>
        <v>0.59085051546391565</v>
      </c>
      <c r="E918" s="4">
        <v>2</v>
      </c>
      <c r="F918" s="5">
        <v>363.84</v>
      </c>
      <c r="G918" s="10">
        <f t="shared" si="86"/>
        <v>727.68</v>
      </c>
      <c r="H918" s="7">
        <f t="shared" si="87"/>
        <v>8.8158533068953608E-5</v>
      </c>
      <c r="I918" s="8">
        <f t="shared" si="89"/>
        <v>0.97565663626666133</v>
      </c>
      <c r="J918" s="3" t="s">
        <v>525</v>
      </c>
    </row>
    <row r="919" spans="1:10" x14ac:dyDescent="0.25">
      <c r="A919" s="3" t="s">
        <v>930</v>
      </c>
      <c r="B919" s="3" t="str">
        <f t="shared" si="84"/>
        <v>3</v>
      </c>
      <c r="C919" s="7">
        <f t="shared" si="85"/>
        <v>6.4432989690721648E-4</v>
      </c>
      <c r="D919" s="8">
        <f t="shared" si="88"/>
        <v>0.59149484536082286</v>
      </c>
      <c r="E919" s="4">
        <v>1</v>
      </c>
      <c r="F919" s="5">
        <v>726.69</v>
      </c>
      <c r="G919" s="10">
        <f t="shared" si="86"/>
        <v>726.69</v>
      </c>
      <c r="H919" s="7">
        <f t="shared" si="87"/>
        <v>8.8038594431450514E-5</v>
      </c>
      <c r="I919" s="8">
        <f t="shared" si="89"/>
        <v>0.97574467486109273</v>
      </c>
      <c r="J919" s="3" t="s">
        <v>525</v>
      </c>
    </row>
    <row r="920" spans="1:10" x14ac:dyDescent="0.25">
      <c r="A920" s="3" t="s">
        <v>931</v>
      </c>
      <c r="B920" s="3" t="str">
        <f t="shared" si="84"/>
        <v>1</v>
      </c>
      <c r="C920" s="7">
        <f t="shared" si="85"/>
        <v>6.4432989690721648E-4</v>
      </c>
      <c r="D920" s="8">
        <f t="shared" si="88"/>
        <v>0.59213917525773008</v>
      </c>
      <c r="E920" s="4">
        <v>1</v>
      </c>
      <c r="F920" s="5">
        <v>725.97</v>
      </c>
      <c r="G920" s="10">
        <f t="shared" si="86"/>
        <v>725.97</v>
      </c>
      <c r="H920" s="7">
        <f t="shared" si="87"/>
        <v>8.7951366331448248E-5</v>
      </c>
      <c r="I920" s="8">
        <f t="shared" si="89"/>
        <v>0.97583262622742417</v>
      </c>
      <c r="J920" s="3" t="s">
        <v>525</v>
      </c>
    </row>
    <row r="921" spans="1:10" x14ac:dyDescent="0.25">
      <c r="A921" s="3" t="s">
        <v>932</v>
      </c>
      <c r="B921" s="3" t="str">
        <f t="shared" si="84"/>
        <v>3</v>
      </c>
      <c r="C921" s="7">
        <f t="shared" si="85"/>
        <v>6.4432989690721648E-4</v>
      </c>
      <c r="D921" s="8">
        <f t="shared" si="88"/>
        <v>0.59278350515463729</v>
      </c>
      <c r="E921" s="4">
        <v>1</v>
      </c>
      <c r="F921" s="5">
        <v>725.32</v>
      </c>
      <c r="G921" s="10">
        <f t="shared" si="86"/>
        <v>725.32</v>
      </c>
      <c r="H921" s="7">
        <f t="shared" si="87"/>
        <v>8.7872618741168424E-5</v>
      </c>
      <c r="I921" s="8">
        <f t="shared" si="89"/>
        <v>0.97592049884616539</v>
      </c>
      <c r="J921" s="3" t="s">
        <v>525</v>
      </c>
    </row>
    <row r="922" spans="1:10" x14ac:dyDescent="0.25">
      <c r="A922" s="3" t="s">
        <v>933</v>
      </c>
      <c r="B922" s="3" t="str">
        <f t="shared" si="84"/>
        <v>9</v>
      </c>
      <c r="C922" s="7">
        <f t="shared" si="85"/>
        <v>6.4432989690721648E-4</v>
      </c>
      <c r="D922" s="8">
        <f t="shared" si="88"/>
        <v>0.59342783505154451</v>
      </c>
      <c r="E922" s="4">
        <v>4</v>
      </c>
      <c r="F922" s="5">
        <v>180.98</v>
      </c>
      <c r="G922" s="10">
        <f t="shared" si="86"/>
        <v>723.92</v>
      </c>
      <c r="H922" s="7">
        <f t="shared" si="87"/>
        <v>8.7703008546719563E-5</v>
      </c>
      <c r="I922" s="8">
        <f t="shared" si="89"/>
        <v>0.97600820185471215</v>
      </c>
      <c r="J922" s="3" t="s">
        <v>525</v>
      </c>
    </row>
    <row r="923" spans="1:10" x14ac:dyDescent="0.25">
      <c r="A923" s="3" t="s">
        <v>934</v>
      </c>
      <c r="B923" s="3" t="str">
        <f t="shared" si="84"/>
        <v>3</v>
      </c>
      <c r="C923" s="7">
        <f t="shared" si="85"/>
        <v>6.4432989690721648E-4</v>
      </c>
      <c r="D923" s="8">
        <f t="shared" si="88"/>
        <v>0.59407216494845172</v>
      </c>
      <c r="E923" s="4">
        <v>1</v>
      </c>
      <c r="F923" s="5">
        <v>720.66</v>
      </c>
      <c r="G923" s="10">
        <f t="shared" si="86"/>
        <v>720.66</v>
      </c>
      <c r="H923" s="7">
        <f t="shared" si="87"/>
        <v>8.7308059093931542E-5</v>
      </c>
      <c r="I923" s="8">
        <f t="shared" si="89"/>
        <v>0.97609550991380611</v>
      </c>
      <c r="J923" s="3" t="s">
        <v>525</v>
      </c>
    </row>
    <row r="924" spans="1:10" x14ac:dyDescent="0.25">
      <c r="A924" s="3" t="s">
        <v>935</v>
      </c>
      <c r="B924" s="3" t="str">
        <f t="shared" si="84"/>
        <v>9</v>
      </c>
      <c r="C924" s="7">
        <f t="shared" si="85"/>
        <v>6.4432989690721648E-4</v>
      </c>
      <c r="D924" s="8">
        <f t="shared" si="88"/>
        <v>0.59471649484535893</v>
      </c>
      <c r="E924" s="4">
        <v>2</v>
      </c>
      <c r="F924" s="5">
        <v>358.23</v>
      </c>
      <c r="G924" s="10">
        <f t="shared" si="86"/>
        <v>716.46</v>
      </c>
      <c r="H924" s="7">
        <f t="shared" si="87"/>
        <v>8.6799228510585027E-5</v>
      </c>
      <c r="I924" s="8">
        <f t="shared" si="89"/>
        <v>0.97618230914231674</v>
      </c>
      <c r="J924" s="3" t="s">
        <v>525</v>
      </c>
    </row>
    <row r="925" spans="1:10" x14ac:dyDescent="0.25">
      <c r="A925" s="3" t="s">
        <v>936</v>
      </c>
      <c r="B925" s="3" t="str">
        <f t="shared" si="84"/>
        <v>3</v>
      </c>
      <c r="C925" s="7">
        <f t="shared" si="85"/>
        <v>6.4432989690721648E-4</v>
      </c>
      <c r="D925" s="8">
        <f t="shared" si="88"/>
        <v>0.59536082474226615</v>
      </c>
      <c r="E925" s="4">
        <v>2</v>
      </c>
      <c r="F925" s="5">
        <v>356.44</v>
      </c>
      <c r="G925" s="10">
        <f t="shared" si="86"/>
        <v>712.88</v>
      </c>
      <c r="H925" s="7">
        <f t="shared" si="87"/>
        <v>8.6365511013351538E-5</v>
      </c>
      <c r="I925" s="8">
        <f t="shared" si="89"/>
        <v>0.97626867465333012</v>
      </c>
      <c r="J925" s="3" t="s">
        <v>525</v>
      </c>
    </row>
    <row r="926" spans="1:10" x14ac:dyDescent="0.25">
      <c r="A926" s="3" t="s">
        <v>937</v>
      </c>
      <c r="B926" s="3" t="str">
        <f t="shared" si="84"/>
        <v>6</v>
      </c>
      <c r="C926" s="7">
        <f t="shared" si="85"/>
        <v>6.4432989690721648E-4</v>
      </c>
      <c r="D926" s="8">
        <f t="shared" si="88"/>
        <v>0.59600515463917336</v>
      </c>
      <c r="E926" s="4">
        <v>53</v>
      </c>
      <c r="F926" s="5">
        <v>13.42</v>
      </c>
      <c r="G926" s="10">
        <f t="shared" si="86"/>
        <v>711.26</v>
      </c>
      <c r="H926" s="7">
        <f t="shared" si="87"/>
        <v>8.6169247788346449E-5</v>
      </c>
      <c r="I926" s="8">
        <f t="shared" si="89"/>
        <v>0.97635484390111849</v>
      </c>
      <c r="J926" s="3" t="s">
        <v>525</v>
      </c>
    </row>
    <row r="927" spans="1:10" x14ac:dyDescent="0.25">
      <c r="A927" s="3" t="s">
        <v>938</v>
      </c>
      <c r="B927" s="3" t="str">
        <f t="shared" si="84"/>
        <v>4</v>
      </c>
      <c r="C927" s="7">
        <f t="shared" si="85"/>
        <v>6.4432989690721648E-4</v>
      </c>
      <c r="D927" s="8">
        <f t="shared" si="88"/>
        <v>0.59664948453608058</v>
      </c>
      <c r="E927" s="4">
        <v>2</v>
      </c>
      <c r="F927" s="5">
        <v>355.46</v>
      </c>
      <c r="G927" s="10">
        <f t="shared" si="86"/>
        <v>710.92</v>
      </c>
      <c r="H927" s="7">
        <f t="shared" si="87"/>
        <v>8.6128056741123152E-5</v>
      </c>
      <c r="I927" s="8">
        <f t="shared" si="89"/>
        <v>0.97644097195785962</v>
      </c>
      <c r="J927" s="3" t="s">
        <v>525</v>
      </c>
    </row>
    <row r="928" spans="1:10" x14ac:dyDescent="0.25">
      <c r="A928" s="3" t="s">
        <v>939</v>
      </c>
      <c r="B928" s="3" t="str">
        <f t="shared" si="84"/>
        <v>1</v>
      </c>
      <c r="C928" s="7">
        <f t="shared" si="85"/>
        <v>6.4432989690721648E-4</v>
      </c>
      <c r="D928" s="8">
        <f t="shared" si="88"/>
        <v>0.59729381443298779</v>
      </c>
      <c r="E928" s="4">
        <v>2</v>
      </c>
      <c r="F928" s="5">
        <v>354.95</v>
      </c>
      <c r="G928" s="10">
        <f t="shared" si="86"/>
        <v>709.9</v>
      </c>
      <c r="H928" s="7">
        <f t="shared" si="87"/>
        <v>8.6004483599453287E-5</v>
      </c>
      <c r="I928" s="8">
        <f t="shared" si="89"/>
        <v>0.97652697644145903</v>
      </c>
      <c r="J928" s="3" t="s">
        <v>525</v>
      </c>
    </row>
    <row r="929" spans="1:10" x14ac:dyDescent="0.25">
      <c r="A929" s="3" t="s">
        <v>940</v>
      </c>
      <c r="B929" s="3" t="str">
        <f t="shared" si="84"/>
        <v>4</v>
      </c>
      <c r="C929" s="7">
        <f t="shared" si="85"/>
        <v>6.4432989690721648E-4</v>
      </c>
      <c r="D929" s="8">
        <f t="shared" si="88"/>
        <v>0.597938144329895</v>
      </c>
      <c r="E929" s="4">
        <v>2</v>
      </c>
      <c r="F929" s="5">
        <v>354.46</v>
      </c>
      <c r="G929" s="10">
        <f t="shared" si="86"/>
        <v>708.92</v>
      </c>
      <c r="H929" s="7">
        <f t="shared" si="87"/>
        <v>8.5885756463339094E-5</v>
      </c>
      <c r="I929" s="8">
        <f t="shared" si="89"/>
        <v>0.97661286219792232</v>
      </c>
      <c r="J929" s="3" t="s">
        <v>525</v>
      </c>
    </row>
    <row r="930" spans="1:10" x14ac:dyDescent="0.25">
      <c r="A930" s="3" t="s">
        <v>941</v>
      </c>
      <c r="B930" s="3" t="str">
        <f t="shared" si="84"/>
        <v>4</v>
      </c>
      <c r="C930" s="7">
        <f t="shared" si="85"/>
        <v>6.4432989690721648E-4</v>
      </c>
      <c r="D930" s="8">
        <f t="shared" si="88"/>
        <v>0.59858247422680222</v>
      </c>
      <c r="E930" s="4">
        <v>13</v>
      </c>
      <c r="F930" s="5">
        <v>54.03</v>
      </c>
      <c r="G930" s="10">
        <f t="shared" si="86"/>
        <v>702.39</v>
      </c>
      <c r="H930" s="7">
        <f t="shared" si="87"/>
        <v>8.5094646056374125E-5</v>
      </c>
      <c r="I930" s="8">
        <f t="shared" si="89"/>
        <v>0.97669795684397864</v>
      </c>
      <c r="J930" s="3" t="s">
        <v>525</v>
      </c>
    </row>
    <row r="931" spans="1:10" x14ac:dyDescent="0.25">
      <c r="A931" s="3" t="s">
        <v>942</v>
      </c>
      <c r="B931" s="3" t="str">
        <f t="shared" si="84"/>
        <v>5</v>
      </c>
      <c r="C931" s="7">
        <f t="shared" si="85"/>
        <v>6.4432989690721648E-4</v>
      </c>
      <c r="D931" s="8">
        <f t="shared" si="88"/>
        <v>0.59922680412370943</v>
      </c>
      <c r="E931" s="4">
        <v>6</v>
      </c>
      <c r="F931" s="5">
        <v>116.25</v>
      </c>
      <c r="G931" s="10">
        <f t="shared" si="86"/>
        <v>697.5</v>
      </c>
      <c r="H931" s="7">
        <f t="shared" si="87"/>
        <v>8.45022218771921E-5</v>
      </c>
      <c r="I931" s="8">
        <f t="shared" si="89"/>
        <v>0.97678245906585581</v>
      </c>
      <c r="J931" s="3" t="s">
        <v>525</v>
      </c>
    </row>
    <row r="932" spans="1:10" x14ac:dyDescent="0.25">
      <c r="A932" s="3" t="s">
        <v>943</v>
      </c>
      <c r="B932" s="3" t="str">
        <f t="shared" si="84"/>
        <v>3</v>
      </c>
      <c r="C932" s="7">
        <f t="shared" si="85"/>
        <v>6.4432989690721648E-4</v>
      </c>
      <c r="D932" s="8">
        <f t="shared" si="88"/>
        <v>0.59987113402061665</v>
      </c>
      <c r="E932" s="4">
        <v>1</v>
      </c>
      <c r="F932" s="5">
        <v>696.6</v>
      </c>
      <c r="G932" s="10">
        <f t="shared" si="86"/>
        <v>696.6</v>
      </c>
      <c r="H932" s="7">
        <f t="shared" si="87"/>
        <v>8.4393186752189264E-5</v>
      </c>
      <c r="I932" s="8">
        <f t="shared" si="89"/>
        <v>0.97686685225260805</v>
      </c>
      <c r="J932" s="3" t="s">
        <v>525</v>
      </c>
    </row>
    <row r="933" spans="1:10" x14ac:dyDescent="0.25">
      <c r="A933" s="3" t="s">
        <v>944</v>
      </c>
      <c r="B933" s="3" t="str">
        <f t="shared" si="84"/>
        <v>6</v>
      </c>
      <c r="C933" s="7">
        <f t="shared" si="85"/>
        <v>6.4432989690721648E-4</v>
      </c>
      <c r="D933" s="8">
        <f t="shared" si="88"/>
        <v>0.60051546391752386</v>
      </c>
      <c r="E933" s="4">
        <v>13</v>
      </c>
      <c r="F933" s="5">
        <v>53.57</v>
      </c>
      <c r="G933" s="10">
        <f t="shared" si="86"/>
        <v>696.41</v>
      </c>
      <c r="H933" s="7">
        <f t="shared" si="87"/>
        <v>8.437016822579978E-5</v>
      </c>
      <c r="I933" s="8">
        <f t="shared" si="89"/>
        <v>0.97695122242083388</v>
      </c>
      <c r="J933" s="3" t="s">
        <v>525</v>
      </c>
    </row>
    <row r="934" spans="1:10" x14ac:dyDescent="0.25">
      <c r="A934" s="3" t="s">
        <v>945</v>
      </c>
      <c r="B934" s="3" t="str">
        <f t="shared" si="84"/>
        <v>5</v>
      </c>
      <c r="C934" s="7">
        <f t="shared" si="85"/>
        <v>6.4432989690721648E-4</v>
      </c>
      <c r="D934" s="8">
        <f t="shared" si="88"/>
        <v>0.60115979381443108</v>
      </c>
      <c r="E934" s="4">
        <v>6</v>
      </c>
      <c r="F934" s="5">
        <v>115.63</v>
      </c>
      <c r="G934" s="10">
        <f t="shared" si="86"/>
        <v>693.78</v>
      </c>
      <c r="H934" s="7">
        <f t="shared" si="87"/>
        <v>8.405154336051374E-5</v>
      </c>
      <c r="I934" s="8">
        <f t="shared" si="89"/>
        <v>0.97703527396419443</v>
      </c>
      <c r="J934" s="3" t="s">
        <v>525</v>
      </c>
    </row>
    <row r="935" spans="1:10" x14ac:dyDescent="0.25">
      <c r="A935" s="3" t="s">
        <v>946</v>
      </c>
      <c r="B935" s="3" t="str">
        <f t="shared" si="84"/>
        <v>3</v>
      </c>
      <c r="C935" s="7">
        <f t="shared" si="85"/>
        <v>6.4432989690721648E-4</v>
      </c>
      <c r="D935" s="8">
        <f t="shared" si="88"/>
        <v>0.60180412371133829</v>
      </c>
      <c r="E935" s="4">
        <v>1</v>
      </c>
      <c r="F935" s="5">
        <v>693.71</v>
      </c>
      <c r="G935" s="10">
        <f t="shared" si="86"/>
        <v>693.71</v>
      </c>
      <c r="H935" s="7">
        <f t="shared" si="87"/>
        <v>8.4043062850791298E-5</v>
      </c>
      <c r="I935" s="8">
        <f t="shared" si="89"/>
        <v>0.97711931702704524</v>
      </c>
      <c r="J935" s="3" t="s">
        <v>525</v>
      </c>
    </row>
    <row r="936" spans="1:10" x14ac:dyDescent="0.25">
      <c r="A936" s="3" t="s">
        <v>947</v>
      </c>
      <c r="B936" s="3" t="str">
        <f t="shared" si="84"/>
        <v>3</v>
      </c>
      <c r="C936" s="7">
        <f t="shared" si="85"/>
        <v>6.4432989690721648E-4</v>
      </c>
      <c r="D936" s="8">
        <f t="shared" si="88"/>
        <v>0.6024484536082455</v>
      </c>
      <c r="E936" s="4">
        <v>2</v>
      </c>
      <c r="F936" s="5">
        <v>346.41</v>
      </c>
      <c r="G936" s="10">
        <f t="shared" si="86"/>
        <v>692.82</v>
      </c>
      <c r="H936" s="7">
        <f t="shared" si="87"/>
        <v>8.393523922717739E-5</v>
      </c>
      <c r="I936" s="8">
        <f t="shared" si="89"/>
        <v>0.97720325226627247</v>
      </c>
      <c r="J936" s="3" t="s">
        <v>525</v>
      </c>
    </row>
    <row r="937" spans="1:10" x14ac:dyDescent="0.25">
      <c r="A937" s="3" t="s">
        <v>948</v>
      </c>
      <c r="B937" s="3" t="str">
        <f t="shared" si="84"/>
        <v>8</v>
      </c>
      <c r="C937" s="7">
        <f t="shared" si="85"/>
        <v>6.4432989690721648E-4</v>
      </c>
      <c r="D937" s="8">
        <f t="shared" si="88"/>
        <v>0.60309278350515272</v>
      </c>
      <c r="E937" s="4">
        <v>11</v>
      </c>
      <c r="F937" s="5">
        <v>62.42</v>
      </c>
      <c r="G937" s="10">
        <f t="shared" si="86"/>
        <v>686.62</v>
      </c>
      <c r="H937" s="7">
        <f t="shared" si="87"/>
        <v>8.318410836604679E-5</v>
      </c>
      <c r="I937" s="8">
        <f t="shared" si="89"/>
        <v>0.97728643637463852</v>
      </c>
      <c r="J937" s="3" t="s">
        <v>525</v>
      </c>
    </row>
    <row r="938" spans="1:10" x14ac:dyDescent="0.25">
      <c r="A938" s="3" t="s">
        <v>949</v>
      </c>
      <c r="B938" s="3" t="str">
        <f t="shared" si="84"/>
        <v>1</v>
      </c>
      <c r="C938" s="7">
        <f t="shared" si="85"/>
        <v>6.4432989690721648E-4</v>
      </c>
      <c r="D938" s="8">
        <f t="shared" si="88"/>
        <v>0.60373711340205993</v>
      </c>
      <c r="E938" s="4">
        <v>1</v>
      </c>
      <c r="F938" s="5">
        <v>679.29</v>
      </c>
      <c r="G938" s="10">
        <f t="shared" si="86"/>
        <v>679.29</v>
      </c>
      <c r="H938" s="7">
        <f t="shared" si="87"/>
        <v>8.2296077847968197E-5</v>
      </c>
      <c r="I938" s="8">
        <f t="shared" si="89"/>
        <v>0.97736873245248646</v>
      </c>
      <c r="J938" s="3" t="s">
        <v>525</v>
      </c>
    </row>
    <row r="939" spans="1:10" x14ac:dyDescent="0.25">
      <c r="A939" s="3" t="s">
        <v>950</v>
      </c>
      <c r="B939" s="3" t="str">
        <f t="shared" si="84"/>
        <v>9</v>
      </c>
      <c r="C939" s="7">
        <f t="shared" si="85"/>
        <v>6.4432989690721648E-4</v>
      </c>
      <c r="D939" s="8">
        <f t="shared" si="88"/>
        <v>0.60438144329896715</v>
      </c>
      <c r="E939" s="4">
        <v>2</v>
      </c>
      <c r="F939" s="5">
        <v>337.18</v>
      </c>
      <c r="G939" s="10">
        <f t="shared" si="86"/>
        <v>674.36</v>
      </c>
      <c r="H939" s="7">
        <f t="shared" si="87"/>
        <v>8.1698807663230488E-5</v>
      </c>
      <c r="I939" s="8">
        <f t="shared" si="89"/>
        <v>0.97745043126014963</v>
      </c>
      <c r="J939" s="3" t="s">
        <v>525</v>
      </c>
    </row>
    <row r="940" spans="1:10" x14ac:dyDescent="0.25">
      <c r="A940" s="3" t="s">
        <v>951</v>
      </c>
      <c r="B940" s="3" t="str">
        <f t="shared" si="84"/>
        <v>8</v>
      </c>
      <c r="C940" s="7">
        <f t="shared" si="85"/>
        <v>6.4432989690721648E-4</v>
      </c>
      <c r="D940" s="8">
        <f t="shared" si="88"/>
        <v>0.60502577319587436</v>
      </c>
      <c r="E940" s="4">
        <v>10</v>
      </c>
      <c r="F940" s="5">
        <v>67.41</v>
      </c>
      <c r="G940" s="10">
        <f t="shared" si="86"/>
        <v>674.09999999999991</v>
      </c>
      <c r="H940" s="7">
        <f t="shared" si="87"/>
        <v>8.1667308627118547E-5</v>
      </c>
      <c r="I940" s="8">
        <f t="shared" si="89"/>
        <v>0.97753209856877676</v>
      </c>
      <c r="J940" s="3" t="s">
        <v>525</v>
      </c>
    </row>
    <row r="941" spans="1:10" x14ac:dyDescent="0.25">
      <c r="A941" s="3" t="s">
        <v>952</v>
      </c>
      <c r="B941" s="3" t="str">
        <f t="shared" si="84"/>
        <v>1</v>
      </c>
      <c r="C941" s="7">
        <f t="shared" si="85"/>
        <v>6.4432989690721648E-4</v>
      </c>
      <c r="D941" s="8">
        <f t="shared" si="88"/>
        <v>0.60567010309278158</v>
      </c>
      <c r="E941" s="4">
        <v>1</v>
      </c>
      <c r="F941" s="5">
        <v>673.32</v>
      </c>
      <c r="G941" s="10">
        <f t="shared" si="86"/>
        <v>673.32</v>
      </c>
      <c r="H941" s="7">
        <f t="shared" si="87"/>
        <v>8.157281151878278E-5</v>
      </c>
      <c r="I941" s="8">
        <f t="shared" si="89"/>
        <v>0.97761367138029553</v>
      </c>
      <c r="J941" s="3" t="s">
        <v>525</v>
      </c>
    </row>
    <row r="942" spans="1:10" x14ac:dyDescent="0.25">
      <c r="A942" s="3" t="s">
        <v>953</v>
      </c>
      <c r="B942" s="3" t="str">
        <f t="shared" si="84"/>
        <v>5</v>
      </c>
      <c r="C942" s="7">
        <f t="shared" si="85"/>
        <v>6.4432989690721648E-4</v>
      </c>
      <c r="D942" s="8">
        <f t="shared" si="88"/>
        <v>0.60631443298968879</v>
      </c>
      <c r="E942" s="4">
        <v>5</v>
      </c>
      <c r="F942" s="5">
        <v>133.91999999999999</v>
      </c>
      <c r="G942" s="10">
        <f t="shared" si="86"/>
        <v>669.59999999999991</v>
      </c>
      <c r="H942" s="7">
        <f t="shared" si="87"/>
        <v>8.1122133002104407E-5</v>
      </c>
      <c r="I942" s="8">
        <f t="shared" si="89"/>
        <v>0.97769479351329769</v>
      </c>
      <c r="J942" s="3" t="s">
        <v>525</v>
      </c>
    </row>
    <row r="943" spans="1:10" x14ac:dyDescent="0.25">
      <c r="A943" s="3" t="s">
        <v>954</v>
      </c>
      <c r="B943" s="3" t="str">
        <f t="shared" si="84"/>
        <v>1</v>
      </c>
      <c r="C943" s="7">
        <f t="shared" si="85"/>
        <v>6.4432989690721648E-4</v>
      </c>
      <c r="D943" s="8">
        <f t="shared" si="88"/>
        <v>0.606958762886596</v>
      </c>
      <c r="E943" s="4">
        <v>1</v>
      </c>
      <c r="F943" s="5">
        <v>669.53</v>
      </c>
      <c r="G943" s="10">
        <f t="shared" si="86"/>
        <v>669.53</v>
      </c>
      <c r="H943" s="7">
        <f t="shared" si="87"/>
        <v>8.1113652492381964E-5</v>
      </c>
      <c r="I943" s="8">
        <f t="shared" si="89"/>
        <v>0.9777759071657901</v>
      </c>
      <c r="J943" s="3" t="s">
        <v>525</v>
      </c>
    </row>
    <row r="944" spans="1:10" x14ac:dyDescent="0.25">
      <c r="A944" s="3" t="s">
        <v>955</v>
      </c>
      <c r="B944" s="3" t="str">
        <f t="shared" si="84"/>
        <v>1</v>
      </c>
      <c r="C944" s="7">
        <f t="shared" si="85"/>
        <v>6.4432989690721648E-4</v>
      </c>
      <c r="D944" s="8">
        <f t="shared" si="88"/>
        <v>0.60760309278350322</v>
      </c>
      <c r="E944" s="4">
        <v>1</v>
      </c>
      <c r="F944" s="5">
        <v>663.16</v>
      </c>
      <c r="G944" s="10">
        <f t="shared" si="86"/>
        <v>663.16</v>
      </c>
      <c r="H944" s="7">
        <f t="shared" si="87"/>
        <v>8.0341926107639722E-5</v>
      </c>
      <c r="I944" s="8">
        <f t="shared" si="89"/>
        <v>0.97785624909189772</v>
      </c>
      <c r="J944" s="3" t="s">
        <v>525</v>
      </c>
    </row>
    <row r="945" spans="1:10" x14ac:dyDescent="0.25">
      <c r="A945" s="3" t="s">
        <v>956</v>
      </c>
      <c r="B945" s="3" t="str">
        <f t="shared" si="84"/>
        <v>2</v>
      </c>
      <c r="C945" s="7">
        <f t="shared" si="85"/>
        <v>6.4432989690721648E-4</v>
      </c>
      <c r="D945" s="8">
        <f t="shared" si="88"/>
        <v>0.60824742268041043</v>
      </c>
      <c r="E945" s="4">
        <v>8</v>
      </c>
      <c r="F945" s="5">
        <v>81.73</v>
      </c>
      <c r="G945" s="10">
        <f t="shared" si="86"/>
        <v>653.84</v>
      </c>
      <c r="H945" s="7">
        <f t="shared" si="87"/>
        <v>7.9212806813166E-5</v>
      </c>
      <c r="I945" s="8">
        <f t="shared" si="89"/>
        <v>0.97793546189871083</v>
      </c>
      <c r="J945" s="3" t="s">
        <v>525</v>
      </c>
    </row>
    <row r="946" spans="1:10" x14ac:dyDescent="0.25">
      <c r="A946" s="3" t="s">
        <v>957</v>
      </c>
      <c r="B946" s="3" t="str">
        <f t="shared" si="84"/>
        <v>3</v>
      </c>
      <c r="C946" s="7">
        <f t="shared" si="85"/>
        <v>6.4432989690721648E-4</v>
      </c>
      <c r="D946" s="8">
        <f t="shared" si="88"/>
        <v>0.60889175257731765</v>
      </c>
      <c r="E946" s="4">
        <v>1</v>
      </c>
      <c r="F946" s="5">
        <v>653.73</v>
      </c>
      <c r="G946" s="10">
        <f t="shared" si="86"/>
        <v>653.73</v>
      </c>
      <c r="H946" s="7">
        <f t="shared" si="87"/>
        <v>7.9199480297887872E-5</v>
      </c>
      <c r="I946" s="8">
        <f t="shared" si="89"/>
        <v>0.97801466137900872</v>
      </c>
      <c r="J946" s="3" t="s">
        <v>525</v>
      </c>
    </row>
    <row r="947" spans="1:10" x14ac:dyDescent="0.25">
      <c r="A947" s="3" t="s">
        <v>958</v>
      </c>
      <c r="B947" s="3" t="str">
        <f t="shared" si="84"/>
        <v>9</v>
      </c>
      <c r="C947" s="7">
        <f t="shared" si="85"/>
        <v>6.4432989690721648E-4</v>
      </c>
      <c r="D947" s="8">
        <f t="shared" si="88"/>
        <v>0.60953608247422486</v>
      </c>
      <c r="E947" s="4">
        <v>3</v>
      </c>
      <c r="F947" s="5">
        <v>217.91</v>
      </c>
      <c r="G947" s="10">
        <f t="shared" si="86"/>
        <v>653.73</v>
      </c>
      <c r="H947" s="7">
        <f t="shared" si="87"/>
        <v>7.9199480297887872E-5</v>
      </c>
      <c r="I947" s="8">
        <f t="shared" si="89"/>
        <v>0.97809386085930661</v>
      </c>
      <c r="J947" s="3" t="s">
        <v>525</v>
      </c>
    </row>
    <row r="948" spans="1:10" x14ac:dyDescent="0.25">
      <c r="A948" s="3" t="s">
        <v>959</v>
      </c>
      <c r="B948" s="3" t="str">
        <f t="shared" si="84"/>
        <v>9</v>
      </c>
      <c r="C948" s="7">
        <f t="shared" si="85"/>
        <v>6.4432989690721648E-4</v>
      </c>
      <c r="D948" s="8">
        <f t="shared" si="88"/>
        <v>0.61018041237113207</v>
      </c>
      <c r="E948" s="4">
        <v>6</v>
      </c>
      <c r="F948" s="5">
        <v>107.84</v>
      </c>
      <c r="G948" s="10">
        <f t="shared" si="86"/>
        <v>647.04</v>
      </c>
      <c r="H948" s="7">
        <f t="shared" si="87"/>
        <v>7.8388985868700175E-5</v>
      </c>
      <c r="I948" s="8">
        <f t="shared" si="89"/>
        <v>0.97817224984517526</v>
      </c>
      <c r="J948" s="3" t="s">
        <v>525</v>
      </c>
    </row>
    <row r="949" spans="1:10" x14ac:dyDescent="0.25">
      <c r="A949" s="3" t="s">
        <v>960</v>
      </c>
      <c r="B949" s="3" t="str">
        <f t="shared" si="84"/>
        <v>5</v>
      </c>
      <c r="C949" s="7">
        <f t="shared" si="85"/>
        <v>6.4432989690721648E-4</v>
      </c>
      <c r="D949" s="8">
        <f t="shared" si="88"/>
        <v>0.61082474226803929</v>
      </c>
      <c r="E949" s="4">
        <v>3</v>
      </c>
      <c r="F949" s="5">
        <v>215.66</v>
      </c>
      <c r="G949" s="10">
        <f t="shared" si="86"/>
        <v>646.98</v>
      </c>
      <c r="H949" s="7">
        <f t="shared" si="87"/>
        <v>7.8381716860366661E-5</v>
      </c>
      <c r="I949" s="8">
        <f t="shared" si="89"/>
        <v>0.97825063156203562</v>
      </c>
      <c r="J949" s="3" t="s">
        <v>525</v>
      </c>
    </row>
    <row r="950" spans="1:10" x14ac:dyDescent="0.25">
      <c r="A950" s="3" t="s">
        <v>961</v>
      </c>
      <c r="B950" s="3" t="str">
        <f t="shared" si="84"/>
        <v>9</v>
      </c>
      <c r="C950" s="7">
        <f t="shared" si="85"/>
        <v>6.4432989690721648E-4</v>
      </c>
      <c r="D950" s="8">
        <f t="shared" si="88"/>
        <v>0.6114690721649465</v>
      </c>
      <c r="E950" s="4">
        <v>4</v>
      </c>
      <c r="F950" s="5">
        <v>160.86000000000001</v>
      </c>
      <c r="G950" s="10">
        <f t="shared" si="86"/>
        <v>643.44000000000005</v>
      </c>
      <c r="H950" s="7">
        <f t="shared" si="87"/>
        <v>7.7952845368688871E-5</v>
      </c>
      <c r="I950" s="8">
        <f t="shared" si="89"/>
        <v>0.97832858440740433</v>
      </c>
      <c r="J950" s="3" t="s">
        <v>525</v>
      </c>
    </row>
    <row r="951" spans="1:10" x14ac:dyDescent="0.25">
      <c r="A951" s="3" t="s">
        <v>962</v>
      </c>
      <c r="B951" s="3" t="str">
        <f t="shared" si="84"/>
        <v>9</v>
      </c>
      <c r="C951" s="7">
        <f t="shared" si="85"/>
        <v>6.4432989690721648E-4</v>
      </c>
      <c r="D951" s="8">
        <f t="shared" si="88"/>
        <v>0.61211340206185372</v>
      </c>
      <c r="E951" s="4">
        <v>4</v>
      </c>
      <c r="F951" s="5">
        <v>160.66999999999999</v>
      </c>
      <c r="G951" s="10">
        <f t="shared" si="86"/>
        <v>642.67999999999995</v>
      </c>
      <c r="H951" s="7">
        <f t="shared" si="87"/>
        <v>7.786077126313092E-5</v>
      </c>
      <c r="I951" s="8">
        <f t="shared" si="89"/>
        <v>0.97840644517866748</v>
      </c>
      <c r="J951" s="3" t="s">
        <v>525</v>
      </c>
    </row>
    <row r="952" spans="1:10" x14ac:dyDescent="0.25">
      <c r="A952" s="3" t="s">
        <v>963</v>
      </c>
      <c r="B952" s="3" t="str">
        <f t="shared" si="84"/>
        <v>9</v>
      </c>
      <c r="C952" s="7">
        <f t="shared" si="85"/>
        <v>6.4432989690721648E-4</v>
      </c>
      <c r="D952" s="8">
        <f t="shared" si="88"/>
        <v>0.61275773195876093</v>
      </c>
      <c r="E952" s="4">
        <v>15</v>
      </c>
      <c r="F952" s="5">
        <v>42.69</v>
      </c>
      <c r="G952" s="10">
        <f t="shared" si="86"/>
        <v>640.34999999999991</v>
      </c>
      <c r="H952" s="7">
        <f t="shared" si="87"/>
        <v>7.7578491439512479E-5</v>
      </c>
      <c r="I952" s="8">
        <f t="shared" si="89"/>
        <v>0.97848402367010701</v>
      </c>
      <c r="J952" s="3" t="s">
        <v>525</v>
      </c>
    </row>
    <row r="953" spans="1:10" x14ac:dyDescent="0.25">
      <c r="A953" s="3" t="s">
        <v>964</v>
      </c>
      <c r="B953" s="3" t="str">
        <f t="shared" si="84"/>
        <v>3</v>
      </c>
      <c r="C953" s="7">
        <f t="shared" si="85"/>
        <v>6.4432989690721648E-4</v>
      </c>
      <c r="D953" s="8">
        <f t="shared" si="88"/>
        <v>0.61340206185566815</v>
      </c>
      <c r="E953" s="4">
        <v>1</v>
      </c>
      <c r="F953" s="5">
        <v>636.92999999999995</v>
      </c>
      <c r="G953" s="10">
        <f t="shared" si="86"/>
        <v>636.92999999999995</v>
      </c>
      <c r="H953" s="7">
        <f t="shared" si="87"/>
        <v>7.7164157964501731E-5</v>
      </c>
      <c r="I953" s="8">
        <f t="shared" si="89"/>
        <v>0.97856118782807155</v>
      </c>
      <c r="J953" s="3" t="s">
        <v>525</v>
      </c>
    </row>
    <row r="954" spans="1:10" x14ac:dyDescent="0.25">
      <c r="A954" s="3" t="s">
        <v>965</v>
      </c>
      <c r="B954" s="3" t="str">
        <f t="shared" si="84"/>
        <v>3</v>
      </c>
      <c r="C954" s="7">
        <f t="shared" si="85"/>
        <v>6.4432989690721648E-4</v>
      </c>
      <c r="D954" s="8">
        <f t="shared" si="88"/>
        <v>0.61404639175257536</v>
      </c>
      <c r="E954" s="4">
        <v>1</v>
      </c>
      <c r="F954" s="5">
        <v>636.78</v>
      </c>
      <c r="G954" s="10">
        <f t="shared" si="86"/>
        <v>636.78</v>
      </c>
      <c r="H954" s="7">
        <f t="shared" si="87"/>
        <v>7.7145985443667932E-5</v>
      </c>
      <c r="I954" s="8">
        <f t="shared" si="89"/>
        <v>0.97863833381351517</v>
      </c>
      <c r="J954" s="3" t="s">
        <v>525</v>
      </c>
    </row>
    <row r="955" spans="1:10" x14ac:dyDescent="0.25">
      <c r="A955" s="3" t="s">
        <v>966</v>
      </c>
      <c r="B955" s="3" t="str">
        <f t="shared" si="84"/>
        <v>8</v>
      </c>
      <c r="C955" s="7">
        <f t="shared" si="85"/>
        <v>6.4432989690721648E-4</v>
      </c>
      <c r="D955" s="8">
        <f t="shared" si="88"/>
        <v>0.61469072164948257</v>
      </c>
      <c r="E955" s="4">
        <v>14</v>
      </c>
      <c r="F955" s="5">
        <v>45.45</v>
      </c>
      <c r="G955" s="10">
        <f t="shared" si="86"/>
        <v>636.30000000000007</v>
      </c>
      <c r="H955" s="7">
        <f t="shared" si="87"/>
        <v>7.7087833376999763E-5</v>
      </c>
      <c r="I955" s="8">
        <f t="shared" si="89"/>
        <v>0.97871542164689218</v>
      </c>
      <c r="J955" s="3" t="s">
        <v>525</v>
      </c>
    </row>
    <row r="956" spans="1:10" x14ac:dyDescent="0.25">
      <c r="A956" s="3" t="s">
        <v>967</v>
      </c>
      <c r="B956" s="3" t="str">
        <f t="shared" si="84"/>
        <v>1</v>
      </c>
      <c r="C956" s="7">
        <f t="shared" si="85"/>
        <v>6.4432989690721648E-4</v>
      </c>
      <c r="D956" s="8">
        <f t="shared" si="88"/>
        <v>0.61533505154638979</v>
      </c>
      <c r="E956" s="4">
        <v>2</v>
      </c>
      <c r="F956" s="5">
        <v>317.61</v>
      </c>
      <c r="G956" s="10">
        <f t="shared" si="86"/>
        <v>635.22</v>
      </c>
      <c r="H956" s="7">
        <f t="shared" si="87"/>
        <v>7.695699122699637E-5</v>
      </c>
      <c r="I956" s="8">
        <f t="shared" si="89"/>
        <v>0.97879237863811919</v>
      </c>
      <c r="J956" s="3" t="s">
        <v>525</v>
      </c>
    </row>
    <row r="957" spans="1:10" x14ac:dyDescent="0.25">
      <c r="A957" s="3" t="s">
        <v>968</v>
      </c>
      <c r="B957" s="3" t="str">
        <f t="shared" si="84"/>
        <v>9</v>
      </c>
      <c r="C957" s="7">
        <f t="shared" si="85"/>
        <v>6.4432989690721648E-4</v>
      </c>
      <c r="D957" s="8">
        <f t="shared" si="88"/>
        <v>0.615979381443297</v>
      </c>
      <c r="E957" s="4">
        <v>2</v>
      </c>
      <c r="F957" s="5">
        <v>317.24</v>
      </c>
      <c r="G957" s="10">
        <f t="shared" si="86"/>
        <v>634.48</v>
      </c>
      <c r="H957" s="7">
        <f t="shared" si="87"/>
        <v>7.6867340124216261E-5</v>
      </c>
      <c r="I957" s="8">
        <f t="shared" si="89"/>
        <v>0.97886924597824343</v>
      </c>
      <c r="J957" s="3" t="s">
        <v>525</v>
      </c>
    </row>
    <row r="958" spans="1:10" x14ac:dyDescent="0.25">
      <c r="A958" s="3" t="s">
        <v>969</v>
      </c>
      <c r="B958" s="3" t="str">
        <f t="shared" si="84"/>
        <v>2</v>
      </c>
      <c r="C958" s="7">
        <f t="shared" si="85"/>
        <v>6.4432989690721648E-4</v>
      </c>
      <c r="D958" s="8">
        <f t="shared" si="88"/>
        <v>0.61662371134020422</v>
      </c>
      <c r="E958" s="4">
        <v>72</v>
      </c>
      <c r="F958" s="5">
        <v>8.8000000000000007</v>
      </c>
      <c r="G958" s="10">
        <f t="shared" si="86"/>
        <v>633.6</v>
      </c>
      <c r="H958" s="7">
        <f t="shared" si="87"/>
        <v>7.6760728001991281E-5</v>
      </c>
      <c r="I958" s="8">
        <f t="shared" si="89"/>
        <v>0.97894600670624543</v>
      </c>
      <c r="J958" s="3" t="s">
        <v>525</v>
      </c>
    </row>
    <row r="959" spans="1:10" x14ac:dyDescent="0.25">
      <c r="A959" s="3" t="s">
        <v>970</v>
      </c>
      <c r="B959" s="3" t="str">
        <f t="shared" si="84"/>
        <v>3</v>
      </c>
      <c r="C959" s="7">
        <f t="shared" si="85"/>
        <v>6.4432989690721648E-4</v>
      </c>
      <c r="D959" s="8">
        <f t="shared" si="88"/>
        <v>0.61726804123711143</v>
      </c>
      <c r="E959" s="4">
        <v>2</v>
      </c>
      <c r="F959" s="5">
        <v>316.5</v>
      </c>
      <c r="G959" s="10">
        <f t="shared" si="86"/>
        <v>633</v>
      </c>
      <c r="H959" s="7">
        <f t="shared" si="87"/>
        <v>7.6688037918656057E-5</v>
      </c>
      <c r="I959" s="8">
        <f t="shared" si="89"/>
        <v>0.97902269474416403</v>
      </c>
      <c r="J959" s="3" t="s">
        <v>525</v>
      </c>
    </row>
    <row r="960" spans="1:10" x14ac:dyDescent="0.25">
      <c r="A960" s="3" t="s">
        <v>971</v>
      </c>
      <c r="B960" s="3" t="str">
        <f t="shared" si="84"/>
        <v>2</v>
      </c>
      <c r="C960" s="7">
        <f t="shared" si="85"/>
        <v>6.4432989690721648E-4</v>
      </c>
      <c r="D960" s="8">
        <f t="shared" si="88"/>
        <v>0.61791237113401865</v>
      </c>
      <c r="E960" s="4">
        <v>91</v>
      </c>
      <c r="F960" s="5">
        <v>6.95</v>
      </c>
      <c r="G960" s="10">
        <f t="shared" si="86"/>
        <v>632.45000000000005</v>
      </c>
      <c r="H960" s="7">
        <f t="shared" si="87"/>
        <v>7.6621405342265446E-5</v>
      </c>
      <c r="I960" s="8">
        <f t="shared" si="89"/>
        <v>0.97909931614950629</v>
      </c>
      <c r="J960" s="3" t="s">
        <v>525</v>
      </c>
    </row>
    <row r="961" spans="1:10" x14ac:dyDescent="0.25">
      <c r="A961" s="3" t="s">
        <v>972</v>
      </c>
      <c r="B961" s="3" t="str">
        <f t="shared" si="84"/>
        <v>1</v>
      </c>
      <c r="C961" s="7">
        <f t="shared" si="85"/>
        <v>6.4432989690721648E-4</v>
      </c>
      <c r="D961" s="8">
        <f t="shared" si="88"/>
        <v>0.61855670103092586</v>
      </c>
      <c r="E961" s="4">
        <v>1</v>
      </c>
      <c r="F961" s="5">
        <v>627.04</v>
      </c>
      <c r="G961" s="10">
        <f t="shared" si="86"/>
        <v>627.04</v>
      </c>
      <c r="H961" s="7">
        <f t="shared" si="87"/>
        <v>7.5965983090859541E-5</v>
      </c>
      <c r="I961" s="8">
        <f t="shared" si="89"/>
        <v>0.97917528213259719</v>
      </c>
      <c r="J961" s="3" t="s">
        <v>525</v>
      </c>
    </row>
    <row r="962" spans="1:10" x14ac:dyDescent="0.25">
      <c r="A962" s="3" t="s">
        <v>973</v>
      </c>
      <c r="B962" s="3" t="str">
        <f t="shared" ref="B962:B1025" si="90">RIGHT(A962,1)</f>
        <v>4</v>
      </c>
      <c r="C962" s="7">
        <f t="shared" ref="C962:C1025" si="91">1/COUNTA(A$2:A$1553)</f>
        <v>6.4432989690721648E-4</v>
      </c>
      <c r="D962" s="8">
        <f t="shared" si="88"/>
        <v>0.61920103092783307</v>
      </c>
      <c r="E962" s="4">
        <v>8</v>
      </c>
      <c r="F962" s="5">
        <v>78.319999999999993</v>
      </c>
      <c r="G962" s="10">
        <f t="shared" ref="G962:G1025" si="92">E962*F962</f>
        <v>626.55999999999995</v>
      </c>
      <c r="H962" s="7">
        <f t="shared" ref="H962:H1025" si="93">G962/SUM(G$2:G$1553)</f>
        <v>7.5907831024191359E-5</v>
      </c>
      <c r="I962" s="8">
        <f t="shared" si="89"/>
        <v>0.97925118996362137</v>
      </c>
      <c r="J962" s="3" t="s">
        <v>525</v>
      </c>
    </row>
    <row r="963" spans="1:10" x14ac:dyDescent="0.25">
      <c r="A963" s="3" t="s">
        <v>974</v>
      </c>
      <c r="B963" s="3" t="str">
        <f t="shared" si="90"/>
        <v>6</v>
      </c>
      <c r="C963" s="7">
        <f t="shared" si="91"/>
        <v>6.4432989690721648E-4</v>
      </c>
      <c r="D963" s="8">
        <f t="shared" ref="D963:D1026" si="94">D962+C963</f>
        <v>0.61984536082474029</v>
      </c>
      <c r="E963" s="4">
        <v>7</v>
      </c>
      <c r="F963" s="5">
        <v>89.18</v>
      </c>
      <c r="G963" s="10">
        <f t="shared" si="92"/>
        <v>624.26</v>
      </c>
      <c r="H963" s="7">
        <f t="shared" si="93"/>
        <v>7.5629185704739689E-5</v>
      </c>
      <c r="I963" s="8">
        <f t="shared" ref="I963:I1026" si="95">I962+H963</f>
        <v>0.97932681914932607</v>
      </c>
      <c r="J963" s="3" t="s">
        <v>525</v>
      </c>
    </row>
    <row r="964" spans="1:10" x14ac:dyDescent="0.25">
      <c r="A964" s="3" t="s">
        <v>975</v>
      </c>
      <c r="B964" s="3" t="str">
        <f t="shared" si="90"/>
        <v>9</v>
      </c>
      <c r="C964" s="7">
        <f t="shared" si="91"/>
        <v>6.4432989690721648E-4</v>
      </c>
      <c r="D964" s="8">
        <f t="shared" si="94"/>
        <v>0.6204896907216475</v>
      </c>
      <c r="E964" s="4">
        <v>18</v>
      </c>
      <c r="F964" s="5">
        <v>34.47</v>
      </c>
      <c r="G964" s="10">
        <f t="shared" si="92"/>
        <v>620.46</v>
      </c>
      <c r="H964" s="7">
        <f t="shared" si="93"/>
        <v>7.5168815176949986E-5</v>
      </c>
      <c r="I964" s="8">
        <f t="shared" si="95"/>
        <v>0.97940198796450306</v>
      </c>
      <c r="J964" s="3" t="s">
        <v>525</v>
      </c>
    </row>
    <row r="965" spans="1:10" x14ac:dyDescent="0.25">
      <c r="A965" s="3" t="s">
        <v>976</v>
      </c>
      <c r="B965" s="3" t="str">
        <f t="shared" si="90"/>
        <v>8</v>
      </c>
      <c r="C965" s="7">
        <f t="shared" si="91"/>
        <v>6.4432989690721648E-4</v>
      </c>
      <c r="D965" s="8">
        <f t="shared" si="94"/>
        <v>0.62113402061855472</v>
      </c>
      <c r="E965" s="4">
        <v>23</v>
      </c>
      <c r="F965" s="5">
        <v>26.93</v>
      </c>
      <c r="G965" s="10">
        <f t="shared" si="92"/>
        <v>619.39</v>
      </c>
      <c r="H965" s="7">
        <f t="shared" si="93"/>
        <v>7.5039184528335494E-5</v>
      </c>
      <c r="I965" s="8">
        <f t="shared" si="95"/>
        <v>0.9794770271490314</v>
      </c>
      <c r="J965" s="3" t="s">
        <v>525</v>
      </c>
    </row>
    <row r="966" spans="1:10" x14ac:dyDescent="0.25">
      <c r="A966" s="3" t="s">
        <v>977</v>
      </c>
      <c r="B966" s="3" t="str">
        <f t="shared" si="90"/>
        <v>5</v>
      </c>
      <c r="C966" s="7">
        <f t="shared" si="91"/>
        <v>6.4432989690721648E-4</v>
      </c>
      <c r="D966" s="8">
        <f t="shared" si="94"/>
        <v>0.62177835051546193</v>
      </c>
      <c r="E966" s="4">
        <v>15</v>
      </c>
      <c r="F966" s="5">
        <v>41.24</v>
      </c>
      <c r="G966" s="10">
        <f t="shared" si="92"/>
        <v>618.6</v>
      </c>
      <c r="H966" s="7">
        <f t="shared" si="93"/>
        <v>7.4943475918610799E-5</v>
      </c>
      <c r="I966" s="8">
        <f t="shared" si="95"/>
        <v>0.97955197062495003</v>
      </c>
      <c r="J966" s="3" t="s">
        <v>525</v>
      </c>
    </row>
    <row r="967" spans="1:10" x14ac:dyDescent="0.25">
      <c r="A967" s="3" t="s">
        <v>978</v>
      </c>
      <c r="B967" s="3" t="str">
        <f t="shared" si="90"/>
        <v>9</v>
      </c>
      <c r="C967" s="7">
        <f t="shared" si="91"/>
        <v>6.4432989690721648E-4</v>
      </c>
      <c r="D967" s="8">
        <f t="shared" si="94"/>
        <v>0.62242268041236914</v>
      </c>
      <c r="E967" s="4">
        <v>4</v>
      </c>
      <c r="F967" s="5">
        <v>154.22</v>
      </c>
      <c r="G967" s="10">
        <f t="shared" si="92"/>
        <v>616.88</v>
      </c>
      <c r="H967" s="7">
        <f t="shared" si="93"/>
        <v>7.4735097679716497E-5</v>
      </c>
      <c r="I967" s="8">
        <f t="shared" si="95"/>
        <v>0.97962670572262978</v>
      </c>
      <c r="J967" s="3" t="s">
        <v>525</v>
      </c>
    </row>
    <row r="968" spans="1:10" x14ac:dyDescent="0.25">
      <c r="A968" s="3" t="s">
        <v>979</v>
      </c>
      <c r="B968" s="3" t="str">
        <f t="shared" si="90"/>
        <v>9</v>
      </c>
      <c r="C968" s="7">
        <f t="shared" si="91"/>
        <v>6.4432989690721648E-4</v>
      </c>
      <c r="D968" s="8">
        <f t="shared" si="94"/>
        <v>0.62306701030927636</v>
      </c>
      <c r="E968" s="4">
        <v>4</v>
      </c>
      <c r="F968" s="5">
        <v>154.02000000000001</v>
      </c>
      <c r="G968" s="10">
        <f t="shared" si="92"/>
        <v>616.08000000000004</v>
      </c>
      <c r="H968" s="7">
        <f t="shared" si="93"/>
        <v>7.4638177568602887E-5</v>
      </c>
      <c r="I968" s="8">
        <f t="shared" si="95"/>
        <v>0.97970134390019836</v>
      </c>
      <c r="J968" s="3" t="s">
        <v>525</v>
      </c>
    </row>
    <row r="969" spans="1:10" x14ac:dyDescent="0.25">
      <c r="A969" s="3" t="s">
        <v>980</v>
      </c>
      <c r="B969" s="3" t="str">
        <f t="shared" si="90"/>
        <v>1</v>
      </c>
      <c r="C969" s="7">
        <f t="shared" si="91"/>
        <v>6.4432989690721648E-4</v>
      </c>
      <c r="D969" s="8">
        <f t="shared" si="94"/>
        <v>0.62371134020618357</v>
      </c>
      <c r="E969" s="4">
        <v>1</v>
      </c>
      <c r="F969" s="5">
        <v>612.96</v>
      </c>
      <c r="G969" s="10">
        <f t="shared" si="92"/>
        <v>612.96</v>
      </c>
      <c r="H969" s="7">
        <f t="shared" si="93"/>
        <v>7.4260189135259738E-5</v>
      </c>
      <c r="I969" s="8">
        <f t="shared" si="95"/>
        <v>0.97977560408933362</v>
      </c>
      <c r="J969" s="3" t="s">
        <v>525</v>
      </c>
    </row>
    <row r="970" spans="1:10" x14ac:dyDescent="0.25">
      <c r="A970" s="3" t="s">
        <v>981</v>
      </c>
      <c r="B970" s="3" t="str">
        <f t="shared" si="90"/>
        <v>4</v>
      </c>
      <c r="C970" s="7">
        <f t="shared" si="91"/>
        <v>6.4432989690721648E-4</v>
      </c>
      <c r="D970" s="8">
        <f t="shared" si="94"/>
        <v>0.62435567010309079</v>
      </c>
      <c r="E970" s="4">
        <v>30</v>
      </c>
      <c r="F970" s="5">
        <v>20.37</v>
      </c>
      <c r="G970" s="10">
        <f t="shared" si="92"/>
        <v>611.1</v>
      </c>
      <c r="H970" s="7">
        <f t="shared" si="93"/>
        <v>7.4034849876920564E-5</v>
      </c>
      <c r="I970" s="8">
        <f t="shared" si="95"/>
        <v>0.97984963893921051</v>
      </c>
      <c r="J970" s="3" t="s">
        <v>525</v>
      </c>
    </row>
    <row r="971" spans="1:10" x14ac:dyDescent="0.25">
      <c r="A971" s="3" t="s">
        <v>982</v>
      </c>
      <c r="B971" s="3" t="str">
        <f t="shared" si="90"/>
        <v>4</v>
      </c>
      <c r="C971" s="7">
        <f t="shared" si="91"/>
        <v>6.4432989690721648E-4</v>
      </c>
      <c r="D971" s="8">
        <f t="shared" si="94"/>
        <v>0.624999999999998</v>
      </c>
      <c r="E971" s="4">
        <v>2</v>
      </c>
      <c r="F971" s="5">
        <v>303.94</v>
      </c>
      <c r="G971" s="10">
        <f t="shared" si="92"/>
        <v>607.88</v>
      </c>
      <c r="H971" s="7">
        <f t="shared" si="93"/>
        <v>7.3644746429688216E-5</v>
      </c>
      <c r="I971" s="8">
        <f t="shared" si="95"/>
        <v>0.97992328368564019</v>
      </c>
      <c r="J971" s="3" t="s">
        <v>525</v>
      </c>
    </row>
    <row r="972" spans="1:10" x14ac:dyDescent="0.25">
      <c r="A972" s="3" t="s">
        <v>983</v>
      </c>
      <c r="B972" s="3" t="str">
        <f t="shared" si="90"/>
        <v>8</v>
      </c>
      <c r="C972" s="7">
        <f t="shared" si="91"/>
        <v>6.4432989690721648E-4</v>
      </c>
      <c r="D972" s="8">
        <f t="shared" si="94"/>
        <v>0.62564432989690522</v>
      </c>
      <c r="E972" s="4">
        <v>20</v>
      </c>
      <c r="F972" s="5">
        <v>30.36</v>
      </c>
      <c r="G972" s="10">
        <f t="shared" si="92"/>
        <v>607.20000000000005</v>
      </c>
      <c r="H972" s="7">
        <f t="shared" si="93"/>
        <v>7.3562364335241634E-5</v>
      </c>
      <c r="I972" s="8">
        <f t="shared" si="95"/>
        <v>0.97999684604997539</v>
      </c>
      <c r="J972" s="3" t="s">
        <v>525</v>
      </c>
    </row>
    <row r="973" spans="1:10" x14ac:dyDescent="0.25">
      <c r="A973" s="3" t="s">
        <v>984</v>
      </c>
      <c r="B973" s="3" t="str">
        <f t="shared" si="90"/>
        <v>1</v>
      </c>
      <c r="C973" s="7">
        <f t="shared" si="91"/>
        <v>6.4432989690721648E-4</v>
      </c>
      <c r="D973" s="8">
        <f t="shared" si="94"/>
        <v>0.62628865979381243</v>
      </c>
      <c r="E973" s="4">
        <v>1</v>
      </c>
      <c r="F973" s="5">
        <v>604.32000000000005</v>
      </c>
      <c r="G973" s="10">
        <f t="shared" si="92"/>
        <v>604.32000000000005</v>
      </c>
      <c r="H973" s="7">
        <f t="shared" si="93"/>
        <v>7.3213451935232596E-5</v>
      </c>
      <c r="I973" s="8">
        <f t="shared" si="95"/>
        <v>0.98007005950191062</v>
      </c>
      <c r="J973" s="3" t="s">
        <v>525</v>
      </c>
    </row>
    <row r="974" spans="1:10" x14ac:dyDescent="0.25">
      <c r="A974" s="3" t="s">
        <v>985</v>
      </c>
      <c r="B974" s="3" t="str">
        <f t="shared" si="90"/>
        <v>6</v>
      </c>
      <c r="C974" s="7">
        <f t="shared" si="91"/>
        <v>6.4432989690721648E-4</v>
      </c>
      <c r="D974" s="8">
        <f t="shared" si="94"/>
        <v>0.62693298969071964</v>
      </c>
      <c r="E974" s="4">
        <v>15</v>
      </c>
      <c r="F974" s="5">
        <v>39.92</v>
      </c>
      <c r="G974" s="10">
        <f t="shared" si="92"/>
        <v>598.80000000000007</v>
      </c>
      <c r="H974" s="7">
        <f t="shared" si="93"/>
        <v>7.2544703168548577E-5</v>
      </c>
      <c r="I974" s="8">
        <f t="shared" si="95"/>
        <v>0.98014260420507915</v>
      </c>
      <c r="J974" s="3" t="s">
        <v>525</v>
      </c>
    </row>
    <row r="975" spans="1:10" x14ac:dyDescent="0.25">
      <c r="A975" s="3" t="s">
        <v>986</v>
      </c>
      <c r="B975" s="3" t="str">
        <f t="shared" si="90"/>
        <v>2</v>
      </c>
      <c r="C975" s="7">
        <f t="shared" si="91"/>
        <v>6.4432989690721648E-4</v>
      </c>
      <c r="D975" s="8">
        <f t="shared" si="94"/>
        <v>0.62757731958762686</v>
      </c>
      <c r="E975" s="4">
        <v>10</v>
      </c>
      <c r="F975" s="5">
        <v>59.68</v>
      </c>
      <c r="G975" s="10">
        <f t="shared" si="92"/>
        <v>596.79999999999995</v>
      </c>
      <c r="H975" s="7">
        <f t="shared" si="93"/>
        <v>7.2302402890764506E-5</v>
      </c>
      <c r="I975" s="8">
        <f t="shared" si="95"/>
        <v>0.98021490660796995</v>
      </c>
      <c r="J975" s="3" t="s">
        <v>525</v>
      </c>
    </row>
    <row r="976" spans="1:10" x14ac:dyDescent="0.25">
      <c r="A976" s="3" t="s">
        <v>987</v>
      </c>
      <c r="B976" s="3" t="str">
        <f t="shared" si="90"/>
        <v>6</v>
      </c>
      <c r="C976" s="7">
        <f t="shared" si="91"/>
        <v>6.4432989690721648E-4</v>
      </c>
      <c r="D976" s="8">
        <f t="shared" si="94"/>
        <v>0.62822164948453407</v>
      </c>
      <c r="E976" s="4">
        <v>65</v>
      </c>
      <c r="F976" s="5">
        <v>9.17</v>
      </c>
      <c r="G976" s="10">
        <f t="shared" si="92"/>
        <v>596.04999999999995</v>
      </c>
      <c r="H976" s="7">
        <f t="shared" si="93"/>
        <v>7.2211540286595482E-5</v>
      </c>
      <c r="I976" s="8">
        <f t="shared" si="95"/>
        <v>0.98028711814825653</v>
      </c>
      <c r="J976" s="3" t="s">
        <v>525</v>
      </c>
    </row>
    <row r="977" spans="1:10" x14ac:dyDescent="0.25">
      <c r="A977" s="3" t="s">
        <v>988</v>
      </c>
      <c r="B977" s="3" t="str">
        <f t="shared" si="90"/>
        <v>1</v>
      </c>
      <c r="C977" s="7">
        <f t="shared" si="91"/>
        <v>6.4432989690721648E-4</v>
      </c>
      <c r="D977" s="8">
        <f t="shared" si="94"/>
        <v>0.62886597938144129</v>
      </c>
      <c r="E977" s="4">
        <v>1</v>
      </c>
      <c r="F977" s="5">
        <v>589.89</v>
      </c>
      <c r="G977" s="10">
        <f t="shared" si="92"/>
        <v>589.89</v>
      </c>
      <c r="H977" s="7">
        <f t="shared" si="93"/>
        <v>7.1465255431020567E-5</v>
      </c>
      <c r="I977" s="8">
        <f t="shared" si="95"/>
        <v>0.98035858340368753</v>
      </c>
      <c r="J977" s="3" t="s">
        <v>525</v>
      </c>
    </row>
    <row r="978" spans="1:10" x14ac:dyDescent="0.25">
      <c r="A978" s="3" t="s">
        <v>989</v>
      </c>
      <c r="B978" s="3" t="str">
        <f t="shared" si="90"/>
        <v>8</v>
      </c>
      <c r="C978" s="7">
        <f t="shared" si="91"/>
        <v>6.4432989690721648E-4</v>
      </c>
      <c r="D978" s="8">
        <f t="shared" si="94"/>
        <v>0.6295103092783485</v>
      </c>
      <c r="E978" s="4">
        <v>9</v>
      </c>
      <c r="F978" s="5">
        <v>65.45</v>
      </c>
      <c r="G978" s="10">
        <f t="shared" si="92"/>
        <v>589.05000000000007</v>
      </c>
      <c r="H978" s="7">
        <f t="shared" si="93"/>
        <v>7.1363489314351273E-5</v>
      </c>
      <c r="I978" s="8">
        <f t="shared" si="95"/>
        <v>0.98042994689300189</v>
      </c>
      <c r="J978" s="3" t="s">
        <v>525</v>
      </c>
    </row>
    <row r="979" spans="1:10" x14ac:dyDescent="0.25">
      <c r="A979" s="3" t="s">
        <v>990</v>
      </c>
      <c r="B979" s="3" t="str">
        <f t="shared" si="90"/>
        <v>6</v>
      </c>
      <c r="C979" s="7">
        <f t="shared" si="91"/>
        <v>6.4432989690721648E-4</v>
      </c>
      <c r="D979" s="8">
        <f t="shared" si="94"/>
        <v>0.63015463917525572</v>
      </c>
      <c r="E979" s="4">
        <v>26</v>
      </c>
      <c r="F979" s="5">
        <v>22.61</v>
      </c>
      <c r="G979" s="10">
        <f t="shared" si="92"/>
        <v>587.86</v>
      </c>
      <c r="H979" s="7">
        <f t="shared" si="93"/>
        <v>7.1219320649069739E-5</v>
      </c>
      <c r="I979" s="8">
        <f t="shared" si="95"/>
        <v>0.98050116621365091</v>
      </c>
      <c r="J979" s="3" t="s">
        <v>525</v>
      </c>
    </row>
    <row r="980" spans="1:10" x14ac:dyDescent="0.25">
      <c r="A980" s="3" t="s">
        <v>991</v>
      </c>
      <c r="B980" s="3" t="str">
        <f t="shared" si="90"/>
        <v>7</v>
      </c>
      <c r="C980" s="7">
        <f t="shared" si="91"/>
        <v>6.4432989690721648E-4</v>
      </c>
      <c r="D980" s="8">
        <f t="shared" si="94"/>
        <v>0.63079896907216293</v>
      </c>
      <c r="E980" s="4">
        <v>4</v>
      </c>
      <c r="F980" s="5">
        <v>146.57</v>
      </c>
      <c r="G980" s="10">
        <f t="shared" si="92"/>
        <v>586.28</v>
      </c>
      <c r="H980" s="7">
        <f t="shared" si="93"/>
        <v>7.1027903429620335E-5</v>
      </c>
      <c r="I980" s="8">
        <f t="shared" si="95"/>
        <v>0.98057219411708052</v>
      </c>
      <c r="J980" s="3" t="s">
        <v>525</v>
      </c>
    </row>
    <row r="981" spans="1:10" x14ac:dyDescent="0.25">
      <c r="A981" s="3" t="s">
        <v>992</v>
      </c>
      <c r="B981" s="3" t="str">
        <f t="shared" si="90"/>
        <v>6</v>
      </c>
      <c r="C981" s="7">
        <f t="shared" si="91"/>
        <v>6.4432989690721648E-4</v>
      </c>
      <c r="D981" s="8">
        <f t="shared" si="94"/>
        <v>0.63144329896907014</v>
      </c>
      <c r="E981" s="4">
        <v>33</v>
      </c>
      <c r="F981" s="5">
        <v>17.739999999999998</v>
      </c>
      <c r="G981" s="10">
        <f t="shared" si="92"/>
        <v>585.41999999999996</v>
      </c>
      <c r="H981" s="7">
        <f t="shared" si="93"/>
        <v>7.0923714310173184E-5</v>
      </c>
      <c r="I981" s="8">
        <f t="shared" si="95"/>
        <v>0.98064311783139069</v>
      </c>
      <c r="J981" s="3" t="s">
        <v>525</v>
      </c>
    </row>
    <row r="982" spans="1:10" x14ac:dyDescent="0.25">
      <c r="A982" s="3" t="s">
        <v>993</v>
      </c>
      <c r="B982" s="3" t="str">
        <f t="shared" si="90"/>
        <v>5</v>
      </c>
      <c r="C982" s="7">
        <f t="shared" si="91"/>
        <v>6.4432989690721648E-4</v>
      </c>
      <c r="D982" s="8">
        <f t="shared" si="94"/>
        <v>0.63208762886597736</v>
      </c>
      <c r="E982" s="4">
        <v>42</v>
      </c>
      <c r="F982" s="5">
        <v>13.81</v>
      </c>
      <c r="G982" s="10">
        <f t="shared" si="92"/>
        <v>580.02</v>
      </c>
      <c r="H982" s="7">
        <f t="shared" si="93"/>
        <v>7.0269503560156207E-5</v>
      </c>
      <c r="I982" s="8">
        <f t="shared" si="95"/>
        <v>0.98071338733495084</v>
      </c>
      <c r="J982" s="3" t="s">
        <v>525</v>
      </c>
    </row>
    <row r="983" spans="1:10" x14ac:dyDescent="0.25">
      <c r="A983" s="3" t="s">
        <v>994</v>
      </c>
      <c r="B983" s="3" t="str">
        <f t="shared" si="90"/>
        <v>3</v>
      </c>
      <c r="C983" s="7">
        <f t="shared" si="91"/>
        <v>6.4432989690721648E-4</v>
      </c>
      <c r="D983" s="8">
        <f t="shared" si="94"/>
        <v>0.63273195876288457</v>
      </c>
      <c r="E983" s="4">
        <v>3</v>
      </c>
      <c r="F983" s="5">
        <v>193.23</v>
      </c>
      <c r="G983" s="10">
        <f t="shared" si="92"/>
        <v>579.68999999999994</v>
      </c>
      <c r="H983" s="7">
        <f t="shared" si="93"/>
        <v>7.0229524014321838E-5</v>
      </c>
      <c r="I983" s="8">
        <f t="shared" si="95"/>
        <v>0.9807836168589652</v>
      </c>
      <c r="J983" s="3" t="s">
        <v>525</v>
      </c>
    </row>
    <row r="984" spans="1:10" x14ac:dyDescent="0.25">
      <c r="A984" s="3" t="s">
        <v>995</v>
      </c>
      <c r="B984" s="3" t="str">
        <f t="shared" si="90"/>
        <v>8</v>
      </c>
      <c r="C984" s="7">
        <f t="shared" si="91"/>
        <v>6.4432989690721648E-4</v>
      </c>
      <c r="D984" s="8">
        <f t="shared" si="94"/>
        <v>0.63337628865979179</v>
      </c>
      <c r="E984" s="4">
        <v>8</v>
      </c>
      <c r="F984" s="5">
        <v>72.41</v>
      </c>
      <c r="G984" s="10">
        <f t="shared" si="92"/>
        <v>579.28</v>
      </c>
      <c r="H984" s="7">
        <f t="shared" si="93"/>
        <v>7.0179852457376112E-5</v>
      </c>
      <c r="I984" s="8">
        <f t="shared" si="95"/>
        <v>0.98085379671142259</v>
      </c>
      <c r="J984" s="3" t="s">
        <v>525</v>
      </c>
    </row>
    <row r="985" spans="1:10" x14ac:dyDescent="0.25">
      <c r="A985" s="3" t="s">
        <v>996</v>
      </c>
      <c r="B985" s="3" t="str">
        <f t="shared" si="90"/>
        <v>1</v>
      </c>
      <c r="C985" s="7">
        <f t="shared" si="91"/>
        <v>6.4432989690721648E-4</v>
      </c>
      <c r="D985" s="8">
        <f t="shared" si="94"/>
        <v>0.634020618556699</v>
      </c>
      <c r="E985" s="4">
        <v>1</v>
      </c>
      <c r="F985" s="5">
        <v>578.54999999999995</v>
      </c>
      <c r="G985" s="10">
        <f t="shared" si="92"/>
        <v>578.54999999999995</v>
      </c>
      <c r="H985" s="7">
        <f t="shared" si="93"/>
        <v>7.0091412855984917E-5</v>
      </c>
      <c r="I985" s="8">
        <f t="shared" si="95"/>
        <v>0.98092388812427855</v>
      </c>
      <c r="J985" s="3" t="s">
        <v>525</v>
      </c>
    </row>
    <row r="986" spans="1:10" x14ac:dyDescent="0.25">
      <c r="A986" s="3" t="s">
        <v>997</v>
      </c>
      <c r="B986" s="3" t="str">
        <f t="shared" si="90"/>
        <v>3</v>
      </c>
      <c r="C986" s="7">
        <f t="shared" si="91"/>
        <v>6.4432989690721648E-4</v>
      </c>
      <c r="D986" s="8">
        <f t="shared" si="94"/>
        <v>0.63466494845360621</v>
      </c>
      <c r="E986" s="4">
        <v>1</v>
      </c>
      <c r="F986" s="5">
        <v>577.21</v>
      </c>
      <c r="G986" s="10">
        <f t="shared" si="92"/>
        <v>577.21</v>
      </c>
      <c r="H986" s="7">
        <f t="shared" si="93"/>
        <v>6.9929071669869611E-5</v>
      </c>
      <c r="I986" s="8">
        <f t="shared" si="95"/>
        <v>0.98099381719594847</v>
      </c>
      <c r="J986" s="3" t="s">
        <v>525</v>
      </c>
    </row>
    <row r="987" spans="1:10" x14ac:dyDescent="0.25">
      <c r="A987" s="3" t="s">
        <v>998</v>
      </c>
      <c r="B987" s="3" t="str">
        <f t="shared" si="90"/>
        <v>3</v>
      </c>
      <c r="C987" s="7">
        <f t="shared" si="91"/>
        <v>6.4432989690721648E-4</v>
      </c>
      <c r="D987" s="8">
        <f t="shared" si="94"/>
        <v>0.63530927835051343</v>
      </c>
      <c r="E987" s="4">
        <v>1</v>
      </c>
      <c r="F987" s="5">
        <v>576.12</v>
      </c>
      <c r="G987" s="10">
        <f t="shared" si="92"/>
        <v>576.12</v>
      </c>
      <c r="H987" s="7">
        <f t="shared" si="93"/>
        <v>6.9797018018477291E-5</v>
      </c>
      <c r="I987" s="8">
        <f t="shared" si="95"/>
        <v>0.98106361421396693</v>
      </c>
      <c r="J987" s="3" t="s">
        <v>525</v>
      </c>
    </row>
    <row r="988" spans="1:10" x14ac:dyDescent="0.25">
      <c r="A988" s="3" t="s">
        <v>999</v>
      </c>
      <c r="B988" s="3" t="str">
        <f t="shared" si="90"/>
        <v>7</v>
      </c>
      <c r="C988" s="7">
        <f t="shared" si="91"/>
        <v>6.4432989690721648E-4</v>
      </c>
      <c r="D988" s="8">
        <f t="shared" si="94"/>
        <v>0.63595360824742064</v>
      </c>
      <c r="E988" s="4">
        <v>18</v>
      </c>
      <c r="F988" s="5">
        <v>31.98</v>
      </c>
      <c r="G988" s="10">
        <f t="shared" si="92"/>
        <v>575.64</v>
      </c>
      <c r="H988" s="7">
        <f t="shared" si="93"/>
        <v>6.9738865951809108E-5</v>
      </c>
      <c r="I988" s="8">
        <f t="shared" si="95"/>
        <v>0.98113335307991878</v>
      </c>
      <c r="J988" s="3" t="s">
        <v>525</v>
      </c>
    </row>
    <row r="989" spans="1:10" x14ac:dyDescent="0.25">
      <c r="A989" s="3" t="s">
        <v>1000</v>
      </c>
      <c r="B989" s="3" t="str">
        <f t="shared" si="90"/>
        <v>1</v>
      </c>
      <c r="C989" s="7">
        <f t="shared" si="91"/>
        <v>6.4432989690721648E-4</v>
      </c>
      <c r="D989" s="8">
        <f t="shared" si="94"/>
        <v>0.63659793814432786</v>
      </c>
      <c r="E989" s="4">
        <v>1</v>
      </c>
      <c r="F989" s="5">
        <v>574.48</v>
      </c>
      <c r="G989" s="10">
        <f t="shared" si="92"/>
        <v>574.48</v>
      </c>
      <c r="H989" s="7">
        <f t="shared" si="93"/>
        <v>6.9598331790694359E-5</v>
      </c>
      <c r="I989" s="8">
        <f t="shared" si="95"/>
        <v>0.98120295141170943</v>
      </c>
      <c r="J989" s="3" t="s">
        <v>525</v>
      </c>
    </row>
    <row r="990" spans="1:10" x14ac:dyDescent="0.25">
      <c r="A990" s="3" t="s">
        <v>1001</v>
      </c>
      <c r="B990" s="3" t="str">
        <f t="shared" si="90"/>
        <v>8</v>
      </c>
      <c r="C990" s="7">
        <f t="shared" si="91"/>
        <v>6.4432989690721648E-4</v>
      </c>
      <c r="D990" s="8">
        <f t="shared" si="94"/>
        <v>0.63724226804123507</v>
      </c>
      <c r="E990" s="4">
        <v>22</v>
      </c>
      <c r="F990" s="5">
        <v>25.94</v>
      </c>
      <c r="G990" s="10">
        <f t="shared" si="92"/>
        <v>570.68000000000006</v>
      </c>
      <c r="H990" s="7">
        <f t="shared" si="93"/>
        <v>6.9137961262904642E-5</v>
      </c>
      <c r="I990" s="8">
        <f t="shared" si="95"/>
        <v>0.98127208937297239</v>
      </c>
      <c r="J990" s="3" t="s">
        <v>525</v>
      </c>
    </row>
    <row r="991" spans="1:10" x14ac:dyDescent="0.25">
      <c r="A991" s="3" t="s">
        <v>1002</v>
      </c>
      <c r="B991" s="3" t="str">
        <f t="shared" si="90"/>
        <v>3</v>
      </c>
      <c r="C991" s="7">
        <f t="shared" si="91"/>
        <v>6.4432989690721648E-4</v>
      </c>
      <c r="D991" s="8">
        <f t="shared" si="94"/>
        <v>0.63788659793814229</v>
      </c>
      <c r="E991" s="4">
        <v>1</v>
      </c>
      <c r="F991" s="5">
        <v>570.08000000000004</v>
      </c>
      <c r="G991" s="10">
        <f t="shared" si="92"/>
        <v>570.08000000000004</v>
      </c>
      <c r="H991" s="7">
        <f t="shared" si="93"/>
        <v>6.9065271179569431E-5</v>
      </c>
      <c r="I991" s="8">
        <f t="shared" si="95"/>
        <v>0.98134115464415195</v>
      </c>
      <c r="J991" s="3" t="s">
        <v>525</v>
      </c>
    </row>
    <row r="992" spans="1:10" x14ac:dyDescent="0.25">
      <c r="A992" s="3" t="s">
        <v>1003</v>
      </c>
      <c r="B992" s="3" t="str">
        <f t="shared" si="90"/>
        <v>4</v>
      </c>
      <c r="C992" s="7">
        <f t="shared" si="91"/>
        <v>6.4432989690721648E-4</v>
      </c>
      <c r="D992" s="8">
        <f t="shared" si="94"/>
        <v>0.6385309278350495</v>
      </c>
      <c r="E992" s="4">
        <v>9</v>
      </c>
      <c r="F992" s="5">
        <v>63.33</v>
      </c>
      <c r="G992" s="10">
        <f t="shared" si="92"/>
        <v>569.97</v>
      </c>
      <c r="H992" s="7">
        <f t="shared" si="93"/>
        <v>6.9051944664291304E-5</v>
      </c>
      <c r="I992" s="8">
        <f t="shared" si="95"/>
        <v>0.98141020658881628</v>
      </c>
      <c r="J992" s="3" t="s">
        <v>525</v>
      </c>
    </row>
    <row r="993" spans="1:10" x14ac:dyDescent="0.25">
      <c r="A993" s="3" t="s">
        <v>1004</v>
      </c>
      <c r="B993" s="3" t="str">
        <f t="shared" si="90"/>
        <v>6</v>
      </c>
      <c r="C993" s="7">
        <f t="shared" si="91"/>
        <v>6.4432989690721648E-4</v>
      </c>
      <c r="D993" s="8">
        <f t="shared" si="94"/>
        <v>0.63917525773195671</v>
      </c>
      <c r="E993" s="4">
        <v>8</v>
      </c>
      <c r="F993" s="5">
        <v>70.75</v>
      </c>
      <c r="G993" s="10">
        <f t="shared" si="92"/>
        <v>566</v>
      </c>
      <c r="H993" s="7">
        <f t="shared" si="93"/>
        <v>6.8570978612889931E-5</v>
      </c>
      <c r="I993" s="8">
        <f t="shared" si="95"/>
        <v>0.98147877756742918</v>
      </c>
      <c r="J993" s="3" t="s">
        <v>525</v>
      </c>
    </row>
    <row r="994" spans="1:10" x14ac:dyDescent="0.25">
      <c r="A994" s="3" t="s">
        <v>1005</v>
      </c>
      <c r="B994" s="3" t="str">
        <f t="shared" si="90"/>
        <v>8</v>
      </c>
      <c r="C994" s="7">
        <f t="shared" si="91"/>
        <v>6.4432989690721648E-4</v>
      </c>
      <c r="D994" s="8">
        <f t="shared" si="94"/>
        <v>0.63981958762886393</v>
      </c>
      <c r="E994" s="4">
        <v>24</v>
      </c>
      <c r="F994" s="5">
        <v>23.56</v>
      </c>
      <c r="G994" s="10">
        <f t="shared" si="92"/>
        <v>565.43999999999994</v>
      </c>
      <c r="H994" s="7">
        <f t="shared" si="93"/>
        <v>6.8503134535110379E-5</v>
      </c>
      <c r="I994" s="8">
        <f t="shared" si="95"/>
        <v>0.98154728070196429</v>
      </c>
      <c r="J994" s="3" t="s">
        <v>525</v>
      </c>
    </row>
    <row r="995" spans="1:10" x14ac:dyDescent="0.25">
      <c r="A995" s="3" t="s">
        <v>1006</v>
      </c>
      <c r="B995" s="3" t="str">
        <f t="shared" si="90"/>
        <v>4</v>
      </c>
      <c r="C995" s="7">
        <f t="shared" si="91"/>
        <v>6.4432989690721648E-4</v>
      </c>
      <c r="D995" s="8">
        <f t="shared" si="94"/>
        <v>0.64046391752577114</v>
      </c>
      <c r="E995" s="4">
        <v>2</v>
      </c>
      <c r="F995" s="5">
        <v>282.58</v>
      </c>
      <c r="G995" s="10">
        <f t="shared" si="92"/>
        <v>565.16</v>
      </c>
      <c r="H995" s="7">
        <f t="shared" si="93"/>
        <v>6.8469212496220623E-5</v>
      </c>
      <c r="I995" s="8">
        <f t="shared" si="95"/>
        <v>0.98161574991446054</v>
      </c>
      <c r="J995" s="3" t="s">
        <v>525</v>
      </c>
    </row>
    <row r="996" spans="1:10" x14ac:dyDescent="0.25">
      <c r="A996" s="3" t="s">
        <v>1007</v>
      </c>
      <c r="B996" s="3" t="str">
        <f t="shared" si="90"/>
        <v>3</v>
      </c>
      <c r="C996" s="7">
        <f t="shared" si="91"/>
        <v>6.4432989690721648E-4</v>
      </c>
      <c r="D996" s="8">
        <f t="shared" si="94"/>
        <v>0.64110824742267836</v>
      </c>
      <c r="E996" s="4">
        <v>2</v>
      </c>
      <c r="F996" s="5">
        <v>281.35000000000002</v>
      </c>
      <c r="G996" s="10">
        <f t="shared" si="92"/>
        <v>562.70000000000005</v>
      </c>
      <c r="H996" s="7">
        <f t="shared" si="93"/>
        <v>6.8171183154546225E-5</v>
      </c>
      <c r="I996" s="8">
        <f t="shared" si="95"/>
        <v>0.98168392109761504</v>
      </c>
      <c r="J996" s="3" t="s">
        <v>525</v>
      </c>
    </row>
    <row r="997" spans="1:10" x14ac:dyDescent="0.25">
      <c r="A997" s="3" t="s">
        <v>1008</v>
      </c>
      <c r="B997" s="3" t="str">
        <f t="shared" si="90"/>
        <v>5</v>
      </c>
      <c r="C997" s="7">
        <f t="shared" si="91"/>
        <v>6.4432989690721648E-4</v>
      </c>
      <c r="D997" s="8">
        <f t="shared" si="94"/>
        <v>0.64175257731958557</v>
      </c>
      <c r="E997" s="4">
        <v>10</v>
      </c>
      <c r="F997" s="5">
        <v>56.23</v>
      </c>
      <c r="G997" s="10">
        <f t="shared" si="92"/>
        <v>562.29999999999995</v>
      </c>
      <c r="H997" s="7">
        <f t="shared" si="93"/>
        <v>6.8122723098989414E-5</v>
      </c>
      <c r="I997" s="8">
        <f t="shared" si="95"/>
        <v>0.98175204382071402</v>
      </c>
      <c r="J997" s="3" t="s">
        <v>525</v>
      </c>
    </row>
    <row r="998" spans="1:10" x14ac:dyDescent="0.25">
      <c r="A998" s="3" t="s">
        <v>1009</v>
      </c>
      <c r="B998" s="3" t="str">
        <f t="shared" si="90"/>
        <v>1</v>
      </c>
      <c r="C998" s="7">
        <f t="shared" si="91"/>
        <v>6.4432989690721648E-4</v>
      </c>
      <c r="D998" s="8">
        <f t="shared" si="94"/>
        <v>0.64239690721649279</v>
      </c>
      <c r="E998" s="4">
        <v>1</v>
      </c>
      <c r="F998" s="5">
        <v>562.20000000000005</v>
      </c>
      <c r="G998" s="10">
        <f t="shared" si="92"/>
        <v>562.20000000000005</v>
      </c>
      <c r="H998" s="7">
        <f t="shared" si="93"/>
        <v>6.8110608085100214E-5</v>
      </c>
      <c r="I998" s="8">
        <f t="shared" si="95"/>
        <v>0.98182015442879911</v>
      </c>
      <c r="J998" s="3" t="s">
        <v>525</v>
      </c>
    </row>
    <row r="999" spans="1:10" x14ac:dyDescent="0.25">
      <c r="A999" s="3" t="s">
        <v>1010</v>
      </c>
      <c r="B999" s="3" t="str">
        <f t="shared" si="90"/>
        <v>9</v>
      </c>
      <c r="C999" s="7">
        <f t="shared" si="91"/>
        <v>6.4432989690721648E-4</v>
      </c>
      <c r="D999" s="8">
        <f t="shared" si="94"/>
        <v>0.6430412371134</v>
      </c>
      <c r="E999" s="4">
        <v>2</v>
      </c>
      <c r="F999" s="5">
        <v>280.74</v>
      </c>
      <c r="G999" s="10">
        <f t="shared" si="92"/>
        <v>561.48</v>
      </c>
      <c r="H999" s="7">
        <f t="shared" si="93"/>
        <v>6.8023379985097948E-5</v>
      </c>
      <c r="I999" s="8">
        <f t="shared" si="95"/>
        <v>0.98188817780878423</v>
      </c>
      <c r="J999" s="3" t="s">
        <v>525</v>
      </c>
    </row>
    <row r="1000" spans="1:10" x14ac:dyDescent="0.25">
      <c r="A1000" s="3" t="s">
        <v>1011</v>
      </c>
      <c r="B1000" s="3" t="str">
        <f t="shared" si="90"/>
        <v>8</v>
      </c>
      <c r="C1000" s="7">
        <f t="shared" si="91"/>
        <v>6.4432989690721648E-4</v>
      </c>
      <c r="D1000" s="8">
        <f t="shared" si="94"/>
        <v>0.64368556701030721</v>
      </c>
      <c r="E1000" s="4">
        <v>22</v>
      </c>
      <c r="F1000" s="5">
        <v>25.47</v>
      </c>
      <c r="G1000" s="10">
        <f t="shared" si="92"/>
        <v>560.33999999999992</v>
      </c>
      <c r="H1000" s="7">
        <f t="shared" si="93"/>
        <v>6.7885268826761027E-5</v>
      </c>
      <c r="I1000" s="8">
        <f t="shared" si="95"/>
        <v>0.98195606307761096</v>
      </c>
      <c r="J1000" s="3" t="s">
        <v>525</v>
      </c>
    </row>
    <row r="1001" spans="1:10" x14ac:dyDescent="0.25">
      <c r="A1001" s="3" t="s">
        <v>1012</v>
      </c>
      <c r="B1001" s="3" t="str">
        <f t="shared" si="90"/>
        <v>9</v>
      </c>
      <c r="C1001" s="7">
        <f t="shared" si="91"/>
        <v>6.4432989690721648E-4</v>
      </c>
      <c r="D1001" s="8">
        <f t="shared" si="94"/>
        <v>0.64432989690721443</v>
      </c>
      <c r="E1001" s="4">
        <v>3</v>
      </c>
      <c r="F1001" s="5">
        <v>186.55</v>
      </c>
      <c r="G1001" s="10">
        <f t="shared" si="92"/>
        <v>559.65000000000009</v>
      </c>
      <c r="H1001" s="7">
        <f t="shared" si="93"/>
        <v>6.7801675230925545E-5</v>
      </c>
      <c r="I1001" s="8">
        <f t="shared" si="95"/>
        <v>0.98202386475284187</v>
      </c>
      <c r="J1001" s="3" t="s">
        <v>525</v>
      </c>
    </row>
    <row r="1002" spans="1:10" x14ac:dyDescent="0.25">
      <c r="A1002" s="3" t="s">
        <v>1013</v>
      </c>
      <c r="B1002" s="3" t="str">
        <f t="shared" si="90"/>
        <v>4</v>
      </c>
      <c r="C1002" s="7">
        <f t="shared" si="91"/>
        <v>6.4432989690721648E-4</v>
      </c>
      <c r="D1002" s="8">
        <f t="shared" si="94"/>
        <v>0.64497422680412164</v>
      </c>
      <c r="E1002" s="4">
        <v>3</v>
      </c>
      <c r="F1002" s="5">
        <v>185.84</v>
      </c>
      <c r="G1002" s="10">
        <f t="shared" si="92"/>
        <v>557.52</v>
      </c>
      <c r="H1002" s="7">
        <f t="shared" si="93"/>
        <v>6.7543625435085504E-5</v>
      </c>
      <c r="I1002" s="8">
        <f t="shared" si="95"/>
        <v>0.98209140837827691</v>
      </c>
      <c r="J1002" s="3" t="s">
        <v>525</v>
      </c>
    </row>
    <row r="1003" spans="1:10" x14ac:dyDescent="0.25">
      <c r="A1003" s="3" t="s">
        <v>1014</v>
      </c>
      <c r="B1003" s="3" t="str">
        <f t="shared" si="90"/>
        <v>2</v>
      </c>
      <c r="C1003" s="7">
        <f t="shared" si="91"/>
        <v>6.4432989690721648E-4</v>
      </c>
      <c r="D1003" s="8">
        <f t="shared" si="94"/>
        <v>0.64561855670102886</v>
      </c>
      <c r="E1003" s="4">
        <v>31</v>
      </c>
      <c r="F1003" s="5">
        <v>17.940000000000001</v>
      </c>
      <c r="G1003" s="10">
        <f t="shared" si="92"/>
        <v>556.14</v>
      </c>
      <c r="H1003" s="7">
        <f t="shared" si="93"/>
        <v>6.7376438243414499E-5</v>
      </c>
      <c r="I1003" s="8">
        <f t="shared" si="95"/>
        <v>0.9821587848165203</v>
      </c>
      <c r="J1003" s="3" t="s">
        <v>525</v>
      </c>
    </row>
    <row r="1004" spans="1:10" x14ac:dyDescent="0.25">
      <c r="A1004" s="3" t="s">
        <v>1015</v>
      </c>
      <c r="B1004" s="3" t="str">
        <f t="shared" si="90"/>
        <v>4</v>
      </c>
      <c r="C1004" s="7">
        <f t="shared" si="91"/>
        <v>6.4432989690721648E-4</v>
      </c>
      <c r="D1004" s="8">
        <f t="shared" si="94"/>
        <v>0.64626288659793607</v>
      </c>
      <c r="E1004" s="4">
        <v>2</v>
      </c>
      <c r="F1004" s="5">
        <v>277.31</v>
      </c>
      <c r="G1004" s="10">
        <f t="shared" si="92"/>
        <v>554.62</v>
      </c>
      <c r="H1004" s="7">
        <f t="shared" si="93"/>
        <v>6.7192290032298609E-5</v>
      </c>
      <c r="I1004" s="8">
        <f t="shared" si="95"/>
        <v>0.98222597710655257</v>
      </c>
      <c r="J1004" s="3" t="s">
        <v>525</v>
      </c>
    </row>
    <row r="1005" spans="1:10" x14ac:dyDescent="0.25">
      <c r="A1005" s="3" t="s">
        <v>1016</v>
      </c>
      <c r="B1005" s="3" t="str">
        <f t="shared" si="90"/>
        <v>8</v>
      </c>
      <c r="C1005" s="7">
        <f t="shared" si="91"/>
        <v>6.4432989690721648E-4</v>
      </c>
      <c r="D1005" s="8">
        <f t="shared" si="94"/>
        <v>0.64690721649484328</v>
      </c>
      <c r="E1005" s="4">
        <v>116</v>
      </c>
      <c r="F1005" s="5">
        <v>4.78</v>
      </c>
      <c r="G1005" s="10">
        <f t="shared" si="92"/>
        <v>554.48</v>
      </c>
      <c r="H1005" s="7">
        <f t="shared" si="93"/>
        <v>6.7175329012853725E-5</v>
      </c>
      <c r="I1005" s="8">
        <f t="shared" si="95"/>
        <v>0.98229315243556548</v>
      </c>
      <c r="J1005" s="3" t="s">
        <v>525</v>
      </c>
    </row>
    <row r="1006" spans="1:10" x14ac:dyDescent="0.25">
      <c r="A1006" s="3" t="s">
        <v>1017</v>
      </c>
      <c r="B1006" s="3" t="str">
        <f t="shared" si="90"/>
        <v>8</v>
      </c>
      <c r="C1006" s="7">
        <f t="shared" si="91"/>
        <v>6.4432989690721648E-4</v>
      </c>
      <c r="D1006" s="8">
        <f t="shared" si="94"/>
        <v>0.6475515463917505</v>
      </c>
      <c r="E1006" s="4">
        <v>14</v>
      </c>
      <c r="F1006" s="5">
        <v>39.6</v>
      </c>
      <c r="G1006" s="10">
        <f t="shared" si="92"/>
        <v>554.4</v>
      </c>
      <c r="H1006" s="7">
        <f t="shared" si="93"/>
        <v>6.7165637001742354E-5</v>
      </c>
      <c r="I1006" s="8">
        <f t="shared" si="95"/>
        <v>0.98236031807256718</v>
      </c>
      <c r="J1006" s="3" t="s">
        <v>525</v>
      </c>
    </row>
    <row r="1007" spans="1:10" x14ac:dyDescent="0.25">
      <c r="A1007" s="3" t="s">
        <v>1018</v>
      </c>
      <c r="B1007" s="3" t="str">
        <f t="shared" si="90"/>
        <v>7</v>
      </c>
      <c r="C1007" s="7">
        <f t="shared" si="91"/>
        <v>6.4432989690721648E-4</v>
      </c>
      <c r="D1007" s="8">
        <f t="shared" si="94"/>
        <v>0.64819587628865771</v>
      </c>
      <c r="E1007" s="4">
        <v>36</v>
      </c>
      <c r="F1007" s="5">
        <v>15.36</v>
      </c>
      <c r="G1007" s="10">
        <f t="shared" si="92"/>
        <v>552.96</v>
      </c>
      <c r="H1007" s="7">
        <f t="shared" si="93"/>
        <v>6.6991180801737835E-5</v>
      </c>
      <c r="I1007" s="8">
        <f t="shared" si="95"/>
        <v>0.98242730925336896</v>
      </c>
      <c r="J1007" s="3" t="s">
        <v>525</v>
      </c>
    </row>
    <row r="1008" spans="1:10" x14ac:dyDescent="0.25">
      <c r="A1008" s="3" t="s">
        <v>1019</v>
      </c>
      <c r="B1008" s="3" t="str">
        <f t="shared" si="90"/>
        <v>2</v>
      </c>
      <c r="C1008" s="7">
        <f t="shared" si="91"/>
        <v>6.4432989690721648E-4</v>
      </c>
      <c r="D1008" s="8">
        <f t="shared" si="94"/>
        <v>0.64884020618556493</v>
      </c>
      <c r="E1008" s="4">
        <v>33</v>
      </c>
      <c r="F1008" s="5">
        <v>16.71</v>
      </c>
      <c r="G1008" s="10">
        <f t="shared" si="92"/>
        <v>551.43000000000006</v>
      </c>
      <c r="H1008" s="7">
        <f t="shared" si="93"/>
        <v>6.6805821089233031E-5</v>
      </c>
      <c r="I1008" s="8">
        <f t="shared" si="95"/>
        <v>0.98249411507445816</v>
      </c>
      <c r="J1008" s="3" t="s">
        <v>525</v>
      </c>
    </row>
    <row r="1009" spans="1:10" x14ac:dyDescent="0.25">
      <c r="A1009" s="3" t="s">
        <v>1020</v>
      </c>
      <c r="B1009" s="3" t="str">
        <f t="shared" si="90"/>
        <v>4</v>
      </c>
      <c r="C1009" s="7">
        <f t="shared" si="91"/>
        <v>6.4432989690721648E-4</v>
      </c>
      <c r="D1009" s="8">
        <f t="shared" si="94"/>
        <v>0.64948453608247214</v>
      </c>
      <c r="E1009" s="4">
        <v>274</v>
      </c>
      <c r="F1009" s="5">
        <v>2.0099999999999998</v>
      </c>
      <c r="G1009" s="10">
        <f t="shared" si="92"/>
        <v>550.7399999999999</v>
      </c>
      <c r="H1009" s="7">
        <f t="shared" si="93"/>
        <v>6.6722227493397508E-5</v>
      </c>
      <c r="I1009" s="8">
        <f t="shared" si="95"/>
        <v>0.98256083730195154</v>
      </c>
      <c r="J1009" s="3" t="s">
        <v>525</v>
      </c>
    </row>
    <row r="1010" spans="1:10" x14ac:dyDescent="0.25">
      <c r="A1010" s="3" t="s">
        <v>1021</v>
      </c>
      <c r="B1010" s="3" t="str">
        <f t="shared" si="90"/>
        <v>6</v>
      </c>
      <c r="C1010" s="7">
        <f t="shared" si="91"/>
        <v>6.4432989690721648E-4</v>
      </c>
      <c r="D1010" s="8">
        <f t="shared" si="94"/>
        <v>0.65012886597937936</v>
      </c>
      <c r="E1010" s="4">
        <v>11</v>
      </c>
      <c r="F1010" s="5">
        <v>49.95</v>
      </c>
      <c r="G1010" s="10">
        <f t="shared" si="92"/>
        <v>549.45000000000005</v>
      </c>
      <c r="H1010" s="7">
        <f t="shared" si="93"/>
        <v>6.6565943814226816E-5</v>
      </c>
      <c r="I1010" s="8">
        <f t="shared" si="95"/>
        <v>0.98262740324576581</v>
      </c>
      <c r="J1010" s="3" t="s">
        <v>525</v>
      </c>
    </row>
    <row r="1011" spans="1:10" x14ac:dyDescent="0.25">
      <c r="A1011" s="3" t="s">
        <v>1022</v>
      </c>
      <c r="B1011" s="3" t="str">
        <f t="shared" si="90"/>
        <v>9</v>
      </c>
      <c r="C1011" s="7">
        <f t="shared" si="91"/>
        <v>6.4432989690721648E-4</v>
      </c>
      <c r="D1011" s="8">
        <f t="shared" si="94"/>
        <v>0.65077319587628657</v>
      </c>
      <c r="E1011" s="4">
        <v>35</v>
      </c>
      <c r="F1011" s="5">
        <v>15.67</v>
      </c>
      <c r="G1011" s="10">
        <f t="shared" si="92"/>
        <v>548.45000000000005</v>
      </c>
      <c r="H1011" s="7">
        <f t="shared" si="93"/>
        <v>6.644479367533478E-5</v>
      </c>
      <c r="I1011" s="8">
        <f t="shared" si="95"/>
        <v>0.98269384803944115</v>
      </c>
      <c r="J1011" s="3" t="s">
        <v>525</v>
      </c>
    </row>
    <row r="1012" spans="1:10" x14ac:dyDescent="0.25">
      <c r="A1012" s="3" t="s">
        <v>1023</v>
      </c>
      <c r="B1012" s="3" t="str">
        <f t="shared" si="90"/>
        <v>4</v>
      </c>
      <c r="C1012" s="7">
        <f t="shared" si="91"/>
        <v>6.4432989690721648E-4</v>
      </c>
      <c r="D1012" s="8">
        <f t="shared" si="94"/>
        <v>0.65141752577319378</v>
      </c>
      <c r="E1012" s="4">
        <v>2</v>
      </c>
      <c r="F1012" s="5">
        <v>273.41000000000003</v>
      </c>
      <c r="G1012" s="10">
        <f t="shared" si="92"/>
        <v>546.82000000000005</v>
      </c>
      <c r="H1012" s="7">
        <f t="shared" si="93"/>
        <v>6.6247318948940763E-5</v>
      </c>
      <c r="I1012" s="8">
        <f t="shared" si="95"/>
        <v>0.98276009535839004</v>
      </c>
      <c r="J1012" s="3" t="s">
        <v>525</v>
      </c>
    </row>
    <row r="1013" spans="1:10" x14ac:dyDescent="0.25">
      <c r="A1013" s="3" t="s">
        <v>1024</v>
      </c>
      <c r="B1013" s="3" t="str">
        <f t="shared" si="90"/>
        <v>1</v>
      </c>
      <c r="C1013" s="7">
        <f t="shared" si="91"/>
        <v>6.4432989690721648E-4</v>
      </c>
      <c r="D1013" s="8">
        <f t="shared" si="94"/>
        <v>0.652061855670101</v>
      </c>
      <c r="E1013" s="4">
        <v>1</v>
      </c>
      <c r="F1013" s="5">
        <v>544.66</v>
      </c>
      <c r="G1013" s="10">
        <f t="shared" si="92"/>
        <v>544.66</v>
      </c>
      <c r="H1013" s="7">
        <f t="shared" si="93"/>
        <v>6.5985634648933964E-5</v>
      </c>
      <c r="I1013" s="8">
        <f t="shared" si="95"/>
        <v>0.98282608099303892</v>
      </c>
      <c r="J1013" s="3" t="s">
        <v>525</v>
      </c>
    </row>
    <row r="1014" spans="1:10" x14ac:dyDescent="0.25">
      <c r="A1014" s="3" t="s">
        <v>1025</v>
      </c>
      <c r="B1014" s="3" t="str">
        <f t="shared" si="90"/>
        <v>1</v>
      </c>
      <c r="C1014" s="7">
        <f t="shared" si="91"/>
        <v>6.4432989690721648E-4</v>
      </c>
      <c r="D1014" s="8">
        <f t="shared" si="94"/>
        <v>0.65270618556700821</v>
      </c>
      <c r="E1014" s="4">
        <v>1</v>
      </c>
      <c r="F1014" s="5">
        <v>544.1</v>
      </c>
      <c r="G1014" s="10">
        <f t="shared" si="92"/>
        <v>544.1</v>
      </c>
      <c r="H1014" s="7">
        <f t="shared" si="93"/>
        <v>6.5917790571154439E-5</v>
      </c>
      <c r="I1014" s="8">
        <f t="shared" si="95"/>
        <v>0.98289199878361011</v>
      </c>
      <c r="J1014" s="3" t="s">
        <v>525</v>
      </c>
    </row>
    <row r="1015" spans="1:10" x14ac:dyDescent="0.25">
      <c r="A1015" s="3" t="s">
        <v>1026</v>
      </c>
      <c r="B1015" s="3" t="str">
        <f t="shared" si="90"/>
        <v>9</v>
      </c>
      <c r="C1015" s="7">
        <f t="shared" si="91"/>
        <v>6.4432989690721648E-4</v>
      </c>
      <c r="D1015" s="8">
        <f t="shared" si="94"/>
        <v>0.65335051546391543</v>
      </c>
      <c r="E1015" s="4">
        <v>3</v>
      </c>
      <c r="F1015" s="5">
        <v>180.83</v>
      </c>
      <c r="G1015" s="10">
        <f t="shared" si="92"/>
        <v>542.49</v>
      </c>
      <c r="H1015" s="7">
        <f t="shared" si="93"/>
        <v>6.5722738847538264E-5</v>
      </c>
      <c r="I1015" s="8">
        <f t="shared" si="95"/>
        <v>0.98295772152245764</v>
      </c>
      <c r="J1015" s="3" t="s">
        <v>525</v>
      </c>
    </row>
    <row r="1016" spans="1:10" x14ac:dyDescent="0.25">
      <c r="A1016" s="3" t="s">
        <v>1027</v>
      </c>
      <c r="B1016" s="3" t="str">
        <f t="shared" si="90"/>
        <v>5</v>
      </c>
      <c r="C1016" s="7">
        <f t="shared" si="91"/>
        <v>6.4432989690721648E-4</v>
      </c>
      <c r="D1016" s="8">
        <f t="shared" si="94"/>
        <v>0.65399484536082264</v>
      </c>
      <c r="E1016" s="4">
        <v>7</v>
      </c>
      <c r="F1016" s="5">
        <v>77.25</v>
      </c>
      <c r="G1016" s="10">
        <f t="shared" si="92"/>
        <v>540.75</v>
      </c>
      <c r="H1016" s="7">
        <f t="shared" si="93"/>
        <v>6.5511937605866133E-5</v>
      </c>
      <c r="I1016" s="8">
        <f t="shared" si="95"/>
        <v>0.98302323346006348</v>
      </c>
      <c r="J1016" s="3" t="s">
        <v>525</v>
      </c>
    </row>
    <row r="1017" spans="1:10" x14ac:dyDescent="0.25">
      <c r="A1017" s="3" t="s">
        <v>1028</v>
      </c>
      <c r="B1017" s="3" t="str">
        <f t="shared" si="90"/>
        <v>6</v>
      </c>
      <c r="C1017" s="7">
        <f t="shared" si="91"/>
        <v>6.4432989690721648E-4</v>
      </c>
      <c r="D1017" s="8">
        <f t="shared" si="94"/>
        <v>0.65463917525772986</v>
      </c>
      <c r="E1017" s="4">
        <v>18</v>
      </c>
      <c r="F1017" s="5">
        <v>29.99</v>
      </c>
      <c r="G1017" s="10">
        <f t="shared" si="92"/>
        <v>539.81999999999994</v>
      </c>
      <c r="H1017" s="7">
        <f t="shared" si="93"/>
        <v>6.539926797669654E-5</v>
      </c>
      <c r="I1017" s="8">
        <f t="shared" si="95"/>
        <v>0.98308863272804015</v>
      </c>
      <c r="J1017" s="3" t="s">
        <v>525</v>
      </c>
    </row>
    <row r="1018" spans="1:10" x14ac:dyDescent="0.25">
      <c r="A1018" s="3" t="s">
        <v>1029</v>
      </c>
      <c r="B1018" s="3" t="str">
        <f t="shared" si="90"/>
        <v>6</v>
      </c>
      <c r="C1018" s="7">
        <f t="shared" si="91"/>
        <v>6.4432989690721648E-4</v>
      </c>
      <c r="D1018" s="8">
        <f t="shared" si="94"/>
        <v>0.65528350515463707</v>
      </c>
      <c r="E1018" s="4">
        <v>10</v>
      </c>
      <c r="F1018" s="5">
        <v>53.82</v>
      </c>
      <c r="G1018" s="10">
        <f t="shared" si="92"/>
        <v>538.20000000000005</v>
      </c>
      <c r="H1018" s="7">
        <f t="shared" si="93"/>
        <v>6.5203004751691451E-5</v>
      </c>
      <c r="I1018" s="8">
        <f t="shared" si="95"/>
        <v>0.9831538357327918</v>
      </c>
      <c r="J1018" s="3" t="s">
        <v>525</v>
      </c>
    </row>
    <row r="1019" spans="1:10" x14ac:dyDescent="0.25">
      <c r="A1019" s="3" t="s">
        <v>1030</v>
      </c>
      <c r="B1019" s="3" t="str">
        <f t="shared" si="90"/>
        <v>8</v>
      </c>
      <c r="C1019" s="7">
        <f t="shared" si="91"/>
        <v>6.4432989690721648E-4</v>
      </c>
      <c r="D1019" s="8">
        <f t="shared" si="94"/>
        <v>0.65592783505154428</v>
      </c>
      <c r="E1019" s="4">
        <v>8</v>
      </c>
      <c r="F1019" s="5">
        <v>66.97</v>
      </c>
      <c r="G1019" s="10">
        <f t="shared" si="92"/>
        <v>535.76</v>
      </c>
      <c r="H1019" s="7">
        <f t="shared" si="93"/>
        <v>6.4907398412794896E-5</v>
      </c>
      <c r="I1019" s="8">
        <f t="shared" si="95"/>
        <v>0.98321874313120461</v>
      </c>
      <c r="J1019" s="3" t="s">
        <v>525</v>
      </c>
    </row>
    <row r="1020" spans="1:10" x14ac:dyDescent="0.25">
      <c r="A1020" s="3" t="s">
        <v>1031</v>
      </c>
      <c r="B1020" s="3" t="str">
        <f t="shared" si="90"/>
        <v>9</v>
      </c>
      <c r="C1020" s="7">
        <f t="shared" si="91"/>
        <v>6.4432989690721648E-4</v>
      </c>
      <c r="D1020" s="8">
        <f t="shared" si="94"/>
        <v>0.6565721649484515</v>
      </c>
      <c r="E1020" s="4">
        <v>5</v>
      </c>
      <c r="F1020" s="5">
        <v>107.06</v>
      </c>
      <c r="G1020" s="10">
        <f t="shared" si="92"/>
        <v>535.29999999999995</v>
      </c>
      <c r="H1020" s="7">
        <f t="shared" si="93"/>
        <v>6.4851669348904556E-5</v>
      </c>
      <c r="I1020" s="8">
        <f t="shared" si="95"/>
        <v>0.9832835948005535</v>
      </c>
      <c r="J1020" s="3" t="s">
        <v>525</v>
      </c>
    </row>
    <row r="1021" spans="1:10" x14ac:dyDescent="0.25">
      <c r="A1021" s="3" t="s">
        <v>1032</v>
      </c>
      <c r="B1021" s="3" t="str">
        <f t="shared" si="90"/>
        <v>1</v>
      </c>
      <c r="C1021" s="7">
        <f t="shared" si="91"/>
        <v>6.4432989690721648E-4</v>
      </c>
      <c r="D1021" s="8">
        <f t="shared" si="94"/>
        <v>0.65721649484535871</v>
      </c>
      <c r="E1021" s="4">
        <v>1</v>
      </c>
      <c r="F1021" s="5">
        <v>535.11</v>
      </c>
      <c r="G1021" s="10">
        <f t="shared" si="92"/>
        <v>535.11</v>
      </c>
      <c r="H1021" s="7">
        <f t="shared" si="93"/>
        <v>6.4828650822515072E-5</v>
      </c>
      <c r="I1021" s="8">
        <f t="shared" si="95"/>
        <v>0.98334842345137596</v>
      </c>
      <c r="J1021" s="3" t="s">
        <v>525</v>
      </c>
    </row>
    <row r="1022" spans="1:10" x14ac:dyDescent="0.25">
      <c r="A1022" s="3" t="s">
        <v>1033</v>
      </c>
      <c r="B1022" s="3" t="str">
        <f t="shared" si="90"/>
        <v>4</v>
      </c>
      <c r="C1022" s="7">
        <f t="shared" si="91"/>
        <v>6.4432989690721648E-4</v>
      </c>
      <c r="D1022" s="8">
        <f t="shared" si="94"/>
        <v>0.65786082474226593</v>
      </c>
      <c r="E1022" s="4">
        <v>35</v>
      </c>
      <c r="F1022" s="5">
        <v>15.15</v>
      </c>
      <c r="G1022" s="10">
        <f t="shared" si="92"/>
        <v>530.25</v>
      </c>
      <c r="H1022" s="7">
        <f t="shared" si="93"/>
        <v>6.4239861147499791E-5</v>
      </c>
      <c r="I1022" s="8">
        <f t="shared" si="95"/>
        <v>0.98341266331252342</v>
      </c>
      <c r="J1022" s="3" t="s">
        <v>525</v>
      </c>
    </row>
    <row r="1023" spans="1:10" x14ac:dyDescent="0.25">
      <c r="A1023" s="3" t="s">
        <v>1034</v>
      </c>
      <c r="B1023" s="3" t="str">
        <f t="shared" si="90"/>
        <v>5</v>
      </c>
      <c r="C1023" s="7">
        <f t="shared" si="91"/>
        <v>6.4432989690721648E-4</v>
      </c>
      <c r="D1023" s="8">
        <f t="shared" si="94"/>
        <v>0.65850515463917314</v>
      </c>
      <c r="E1023" s="4">
        <v>4</v>
      </c>
      <c r="F1023" s="5">
        <v>132.53</v>
      </c>
      <c r="G1023" s="10">
        <f t="shared" si="92"/>
        <v>530.12</v>
      </c>
      <c r="H1023" s="7">
        <f t="shared" si="93"/>
        <v>6.4224111629443835E-5</v>
      </c>
      <c r="I1023" s="8">
        <f t="shared" si="95"/>
        <v>0.98347688742415285</v>
      </c>
      <c r="J1023" s="3" t="s">
        <v>525</v>
      </c>
    </row>
    <row r="1024" spans="1:10" x14ac:dyDescent="0.25">
      <c r="A1024" s="3" t="s">
        <v>1035</v>
      </c>
      <c r="B1024" s="3" t="str">
        <f t="shared" si="90"/>
        <v>6</v>
      </c>
      <c r="C1024" s="7">
        <f t="shared" si="91"/>
        <v>6.4432989690721648E-4</v>
      </c>
      <c r="D1024" s="8">
        <f t="shared" si="94"/>
        <v>0.65914948453608035</v>
      </c>
      <c r="E1024" s="4">
        <v>25</v>
      </c>
      <c r="F1024" s="5">
        <v>21.2</v>
      </c>
      <c r="G1024" s="10">
        <f t="shared" si="92"/>
        <v>530</v>
      </c>
      <c r="H1024" s="7">
        <f t="shared" si="93"/>
        <v>6.4209573612776792E-5</v>
      </c>
      <c r="I1024" s="8">
        <f t="shared" si="95"/>
        <v>0.9835410969977656</v>
      </c>
      <c r="J1024" s="3" t="s">
        <v>525</v>
      </c>
    </row>
    <row r="1025" spans="1:10" x14ac:dyDescent="0.25">
      <c r="A1025" s="3" t="s">
        <v>1036</v>
      </c>
      <c r="B1025" s="3" t="str">
        <f t="shared" si="90"/>
        <v>4</v>
      </c>
      <c r="C1025" s="7">
        <f t="shared" si="91"/>
        <v>6.4432989690721648E-4</v>
      </c>
      <c r="D1025" s="8">
        <f t="shared" si="94"/>
        <v>0.65979381443298757</v>
      </c>
      <c r="E1025" s="4">
        <v>1</v>
      </c>
      <c r="F1025" s="5">
        <v>529.21</v>
      </c>
      <c r="G1025" s="10">
        <f t="shared" si="92"/>
        <v>529.21</v>
      </c>
      <c r="H1025" s="7">
        <f t="shared" si="93"/>
        <v>6.4113865003052084E-5</v>
      </c>
      <c r="I1025" s="8">
        <f t="shared" si="95"/>
        <v>0.98360521086276864</v>
      </c>
      <c r="J1025" s="3" t="s">
        <v>525</v>
      </c>
    </row>
    <row r="1026" spans="1:10" x14ac:dyDescent="0.25">
      <c r="A1026" s="3" t="s">
        <v>1037</v>
      </c>
      <c r="B1026" s="3" t="str">
        <f t="shared" ref="B1026:B1089" si="96">RIGHT(A1026,1)</f>
        <v>9</v>
      </c>
      <c r="C1026" s="7">
        <f t="shared" ref="C1026:C1089" si="97">1/COUNTA(A$2:A$1553)</f>
        <v>6.4432989690721648E-4</v>
      </c>
      <c r="D1026" s="8">
        <f t="shared" si="94"/>
        <v>0.66043814432989478</v>
      </c>
      <c r="E1026" s="4">
        <v>1</v>
      </c>
      <c r="F1026" s="5">
        <v>525.24</v>
      </c>
      <c r="G1026" s="10">
        <f t="shared" ref="G1026:G1089" si="98">E1026*F1026</f>
        <v>525.24</v>
      </c>
      <c r="H1026" s="7">
        <f t="shared" ref="H1026:H1089" si="99">G1026/SUM(G$2:G$1553)</f>
        <v>6.3632898951650725E-5</v>
      </c>
      <c r="I1026" s="8">
        <f t="shared" si="95"/>
        <v>0.98366884376172026</v>
      </c>
      <c r="J1026" s="3" t="s">
        <v>525</v>
      </c>
    </row>
    <row r="1027" spans="1:10" x14ac:dyDescent="0.25">
      <c r="A1027" s="3" t="s">
        <v>1038</v>
      </c>
      <c r="B1027" s="3" t="str">
        <f t="shared" si="96"/>
        <v>1</v>
      </c>
      <c r="C1027" s="7">
        <f t="shared" si="97"/>
        <v>6.4432989690721648E-4</v>
      </c>
      <c r="D1027" s="8">
        <f t="shared" ref="D1027:D1090" si="100">D1026+C1027</f>
        <v>0.661082474226802</v>
      </c>
      <c r="E1027" s="4">
        <v>1</v>
      </c>
      <c r="F1027" s="5">
        <v>524.89</v>
      </c>
      <c r="G1027" s="10">
        <f t="shared" si="98"/>
        <v>524.89</v>
      </c>
      <c r="H1027" s="7">
        <f t="shared" si="99"/>
        <v>6.3590496403038513E-5</v>
      </c>
      <c r="I1027" s="8">
        <f t="shared" ref="I1027:I1090" si="101">I1026+H1027</f>
        <v>0.98373243425812329</v>
      </c>
      <c r="J1027" s="3" t="s">
        <v>525</v>
      </c>
    </row>
    <row r="1028" spans="1:10" x14ac:dyDescent="0.25">
      <c r="A1028" s="3" t="s">
        <v>1039</v>
      </c>
      <c r="B1028" s="3" t="str">
        <f t="shared" si="96"/>
        <v>4</v>
      </c>
      <c r="C1028" s="7">
        <f t="shared" si="97"/>
        <v>6.4432989690721648E-4</v>
      </c>
      <c r="D1028" s="8">
        <f t="shared" si="100"/>
        <v>0.66172680412370921</v>
      </c>
      <c r="E1028" s="4">
        <v>16</v>
      </c>
      <c r="F1028" s="5">
        <v>32.770000000000003</v>
      </c>
      <c r="G1028" s="10">
        <f t="shared" si="98"/>
        <v>524.32000000000005</v>
      </c>
      <c r="H1028" s="7">
        <f t="shared" si="99"/>
        <v>6.352144082387006E-5</v>
      </c>
      <c r="I1028" s="8">
        <f t="shared" si="101"/>
        <v>0.98379595569894718</v>
      </c>
      <c r="J1028" s="3" t="s">
        <v>525</v>
      </c>
    </row>
    <row r="1029" spans="1:10" x14ac:dyDescent="0.25">
      <c r="A1029" s="3" t="s">
        <v>1040</v>
      </c>
      <c r="B1029" s="3" t="str">
        <f t="shared" si="96"/>
        <v>4</v>
      </c>
      <c r="C1029" s="7">
        <f t="shared" si="97"/>
        <v>6.4432989690721648E-4</v>
      </c>
      <c r="D1029" s="8">
        <f t="shared" si="100"/>
        <v>0.66237113402061643</v>
      </c>
      <c r="E1029" s="4">
        <v>3</v>
      </c>
      <c r="F1029" s="5">
        <v>173.92</v>
      </c>
      <c r="G1029" s="10">
        <f t="shared" si="98"/>
        <v>521.76</v>
      </c>
      <c r="H1029" s="7">
        <f t="shared" si="99"/>
        <v>6.3211296468306449E-5</v>
      </c>
      <c r="I1029" s="8">
        <f t="shared" si="101"/>
        <v>0.98385916699541553</v>
      </c>
      <c r="J1029" s="3" t="s">
        <v>525</v>
      </c>
    </row>
    <row r="1030" spans="1:10" x14ac:dyDescent="0.25">
      <c r="A1030" s="3" t="s">
        <v>1041</v>
      </c>
      <c r="B1030" s="3" t="str">
        <f t="shared" si="96"/>
        <v>6</v>
      </c>
      <c r="C1030" s="7">
        <f t="shared" si="97"/>
        <v>6.4432989690721648E-4</v>
      </c>
      <c r="D1030" s="8">
        <f t="shared" si="100"/>
        <v>0.66301546391752364</v>
      </c>
      <c r="E1030" s="4">
        <v>13</v>
      </c>
      <c r="F1030" s="5">
        <v>40.08</v>
      </c>
      <c r="G1030" s="10">
        <f t="shared" si="98"/>
        <v>521.04</v>
      </c>
      <c r="H1030" s="7">
        <f t="shared" si="99"/>
        <v>6.3124068368304183E-5</v>
      </c>
      <c r="I1030" s="8">
        <f t="shared" si="101"/>
        <v>0.98392229106378382</v>
      </c>
      <c r="J1030" s="3" t="s">
        <v>525</v>
      </c>
    </row>
    <row r="1031" spans="1:10" x14ac:dyDescent="0.25">
      <c r="A1031" s="3" t="s">
        <v>1042</v>
      </c>
      <c r="B1031" s="3" t="str">
        <f t="shared" si="96"/>
        <v>7</v>
      </c>
      <c r="C1031" s="7">
        <f t="shared" si="97"/>
        <v>6.4432989690721648E-4</v>
      </c>
      <c r="D1031" s="8">
        <f t="shared" si="100"/>
        <v>0.66365979381443085</v>
      </c>
      <c r="E1031" s="4">
        <v>115</v>
      </c>
      <c r="F1031" s="5">
        <v>4.53</v>
      </c>
      <c r="G1031" s="10">
        <f t="shared" si="98"/>
        <v>520.95000000000005</v>
      </c>
      <c r="H1031" s="7">
        <f t="shared" si="99"/>
        <v>6.3113164855803911E-5</v>
      </c>
      <c r="I1031" s="8">
        <f t="shared" si="101"/>
        <v>0.98398540422863967</v>
      </c>
      <c r="J1031" s="3" t="s">
        <v>525</v>
      </c>
    </row>
    <row r="1032" spans="1:10" x14ac:dyDescent="0.25">
      <c r="A1032" s="3" t="s">
        <v>1043</v>
      </c>
      <c r="B1032" s="3" t="str">
        <f t="shared" si="96"/>
        <v>4</v>
      </c>
      <c r="C1032" s="7">
        <f t="shared" si="97"/>
        <v>6.4432989690721648E-4</v>
      </c>
      <c r="D1032" s="8">
        <f t="shared" si="100"/>
        <v>0.66430412371133807</v>
      </c>
      <c r="E1032" s="4">
        <v>3</v>
      </c>
      <c r="F1032" s="5">
        <v>173.51</v>
      </c>
      <c r="G1032" s="10">
        <f t="shared" si="98"/>
        <v>520.53</v>
      </c>
      <c r="H1032" s="7">
        <f t="shared" si="99"/>
        <v>6.3062281797469244E-5</v>
      </c>
      <c r="I1032" s="8">
        <f t="shared" si="101"/>
        <v>0.98404846651043709</v>
      </c>
      <c r="J1032" s="3" t="s">
        <v>525</v>
      </c>
    </row>
    <row r="1033" spans="1:10" x14ac:dyDescent="0.25">
      <c r="A1033" s="3" t="s">
        <v>1044</v>
      </c>
      <c r="B1033" s="3" t="str">
        <f t="shared" si="96"/>
        <v>9</v>
      </c>
      <c r="C1033" s="7">
        <f t="shared" si="97"/>
        <v>6.4432989690721648E-4</v>
      </c>
      <c r="D1033" s="8">
        <f t="shared" si="100"/>
        <v>0.66494845360824528</v>
      </c>
      <c r="E1033" s="4">
        <v>1</v>
      </c>
      <c r="F1033" s="5">
        <v>520.1</v>
      </c>
      <c r="G1033" s="10">
        <f t="shared" si="98"/>
        <v>520.1</v>
      </c>
      <c r="H1033" s="7">
        <f t="shared" si="99"/>
        <v>6.3010187237745675E-5</v>
      </c>
      <c r="I1033" s="8">
        <f t="shared" si="101"/>
        <v>0.98411147669767485</v>
      </c>
      <c r="J1033" s="3" t="s">
        <v>525</v>
      </c>
    </row>
    <row r="1034" spans="1:10" x14ac:dyDescent="0.25">
      <c r="A1034" s="3" t="s">
        <v>1045</v>
      </c>
      <c r="B1034" s="3" t="str">
        <f t="shared" si="96"/>
        <v>3</v>
      </c>
      <c r="C1034" s="7">
        <f t="shared" si="97"/>
        <v>6.4432989690721648E-4</v>
      </c>
      <c r="D1034" s="8">
        <f t="shared" si="100"/>
        <v>0.6655927835051525</v>
      </c>
      <c r="E1034" s="4">
        <v>2</v>
      </c>
      <c r="F1034" s="5">
        <v>259.57</v>
      </c>
      <c r="G1034" s="10">
        <f t="shared" si="98"/>
        <v>519.14</v>
      </c>
      <c r="H1034" s="7">
        <f t="shared" si="99"/>
        <v>6.2893883104409324E-5</v>
      </c>
      <c r="I1034" s="8">
        <f t="shared" si="101"/>
        <v>0.98417437058077928</v>
      </c>
      <c r="J1034" s="3" t="s">
        <v>525</v>
      </c>
    </row>
    <row r="1035" spans="1:10" x14ac:dyDescent="0.25">
      <c r="A1035" s="3" t="s">
        <v>1046</v>
      </c>
      <c r="B1035" s="3" t="str">
        <f t="shared" si="96"/>
        <v>8</v>
      </c>
      <c r="C1035" s="7">
        <f t="shared" si="97"/>
        <v>6.4432989690721648E-4</v>
      </c>
      <c r="D1035" s="8">
        <f t="shared" si="100"/>
        <v>0.66623711340205971</v>
      </c>
      <c r="E1035" s="4">
        <v>35</v>
      </c>
      <c r="F1035" s="5">
        <v>14.75</v>
      </c>
      <c r="G1035" s="10">
        <f t="shared" si="98"/>
        <v>516.25</v>
      </c>
      <c r="H1035" s="7">
        <f t="shared" si="99"/>
        <v>6.2543759203011358E-5</v>
      </c>
      <c r="I1035" s="8">
        <f t="shared" si="101"/>
        <v>0.98423691433998228</v>
      </c>
      <c r="J1035" s="3" t="s">
        <v>525</v>
      </c>
    </row>
    <row r="1036" spans="1:10" x14ac:dyDescent="0.25">
      <c r="A1036" s="3" t="s">
        <v>1047</v>
      </c>
      <c r="B1036" s="3" t="str">
        <f t="shared" si="96"/>
        <v>8</v>
      </c>
      <c r="C1036" s="7">
        <f t="shared" si="97"/>
        <v>6.4432989690721648E-4</v>
      </c>
      <c r="D1036" s="8">
        <f t="shared" si="100"/>
        <v>0.66688144329896692</v>
      </c>
      <c r="E1036" s="4">
        <v>10</v>
      </c>
      <c r="F1036" s="5">
        <v>51.54</v>
      </c>
      <c r="G1036" s="10">
        <f t="shared" si="98"/>
        <v>515.4</v>
      </c>
      <c r="H1036" s="7">
        <f t="shared" si="99"/>
        <v>6.2440781584953122E-5</v>
      </c>
      <c r="I1036" s="8">
        <f t="shared" si="101"/>
        <v>0.98429935512156719</v>
      </c>
      <c r="J1036" s="3" t="s">
        <v>525</v>
      </c>
    </row>
    <row r="1037" spans="1:10" x14ac:dyDescent="0.25">
      <c r="A1037" s="3" t="s">
        <v>1048</v>
      </c>
      <c r="B1037" s="3" t="str">
        <f t="shared" si="96"/>
        <v>7</v>
      </c>
      <c r="C1037" s="7">
        <f t="shared" si="97"/>
        <v>6.4432989690721648E-4</v>
      </c>
      <c r="D1037" s="8">
        <f t="shared" si="100"/>
        <v>0.66752577319587414</v>
      </c>
      <c r="E1037" s="4">
        <v>24</v>
      </c>
      <c r="F1037" s="5">
        <v>21.44</v>
      </c>
      <c r="G1037" s="10">
        <f t="shared" si="98"/>
        <v>514.56000000000006</v>
      </c>
      <c r="H1037" s="7">
        <f t="shared" si="99"/>
        <v>6.2339015468283827E-5</v>
      </c>
      <c r="I1037" s="8">
        <f t="shared" si="101"/>
        <v>0.98436169413703545</v>
      </c>
      <c r="J1037" s="3" t="s">
        <v>525</v>
      </c>
    </row>
    <row r="1038" spans="1:10" x14ac:dyDescent="0.25">
      <c r="A1038" s="3" t="s">
        <v>1049</v>
      </c>
      <c r="B1038" s="3" t="str">
        <f t="shared" si="96"/>
        <v>5</v>
      </c>
      <c r="C1038" s="7">
        <f t="shared" si="97"/>
        <v>6.4432989690721648E-4</v>
      </c>
      <c r="D1038" s="8">
        <f t="shared" si="100"/>
        <v>0.66817010309278135</v>
      </c>
      <c r="E1038" s="4">
        <v>34</v>
      </c>
      <c r="F1038" s="5">
        <v>15.07</v>
      </c>
      <c r="G1038" s="10">
        <f t="shared" si="98"/>
        <v>512.38</v>
      </c>
      <c r="H1038" s="7">
        <f t="shared" si="99"/>
        <v>6.2074908165499185E-5</v>
      </c>
      <c r="I1038" s="8">
        <f t="shared" si="101"/>
        <v>0.9844237690452009</v>
      </c>
      <c r="J1038" s="3" t="s">
        <v>525</v>
      </c>
    </row>
    <row r="1039" spans="1:10" x14ac:dyDescent="0.25">
      <c r="A1039" s="3" t="s">
        <v>1050</v>
      </c>
      <c r="B1039" s="3" t="str">
        <f t="shared" si="96"/>
        <v>4</v>
      </c>
      <c r="C1039" s="7">
        <f t="shared" si="97"/>
        <v>6.4432989690721648E-4</v>
      </c>
      <c r="D1039" s="8">
        <f t="shared" si="100"/>
        <v>0.66881443298968857</v>
      </c>
      <c r="E1039" s="4">
        <v>17</v>
      </c>
      <c r="F1039" s="5">
        <v>30.08</v>
      </c>
      <c r="G1039" s="10">
        <f t="shared" si="98"/>
        <v>511.35999999999996</v>
      </c>
      <c r="H1039" s="7">
        <f t="shared" si="99"/>
        <v>6.195133502382932E-5</v>
      </c>
      <c r="I1039" s="8">
        <f t="shared" si="101"/>
        <v>0.98448572038022475</v>
      </c>
      <c r="J1039" s="3" t="s">
        <v>525</v>
      </c>
    </row>
    <row r="1040" spans="1:10" x14ac:dyDescent="0.25">
      <c r="A1040" s="3" t="s">
        <v>1051</v>
      </c>
      <c r="B1040" s="3" t="str">
        <f t="shared" si="96"/>
        <v>9</v>
      </c>
      <c r="C1040" s="7">
        <f t="shared" si="97"/>
        <v>6.4432989690721648E-4</v>
      </c>
      <c r="D1040" s="8">
        <f t="shared" si="100"/>
        <v>0.66945876288659578</v>
      </c>
      <c r="E1040" s="4">
        <v>29</v>
      </c>
      <c r="F1040" s="5">
        <v>17.61</v>
      </c>
      <c r="G1040" s="10">
        <f t="shared" si="98"/>
        <v>510.69</v>
      </c>
      <c r="H1040" s="7">
        <f t="shared" si="99"/>
        <v>6.1870164430771654E-5</v>
      </c>
      <c r="I1040" s="8">
        <f t="shared" si="101"/>
        <v>0.98454759054465557</v>
      </c>
      <c r="J1040" s="3" t="s">
        <v>525</v>
      </c>
    </row>
    <row r="1041" spans="1:10" x14ac:dyDescent="0.25">
      <c r="A1041" s="3" t="s">
        <v>1052</v>
      </c>
      <c r="B1041" s="3" t="str">
        <f t="shared" si="96"/>
        <v>4</v>
      </c>
      <c r="C1041" s="7">
        <f t="shared" si="97"/>
        <v>6.4432989690721648E-4</v>
      </c>
      <c r="D1041" s="8">
        <f t="shared" si="100"/>
        <v>0.670103092783503</v>
      </c>
      <c r="E1041" s="4">
        <v>3</v>
      </c>
      <c r="F1041" s="5">
        <v>170.1</v>
      </c>
      <c r="G1041" s="10">
        <f t="shared" si="98"/>
        <v>510.29999999999995</v>
      </c>
      <c r="H1041" s="7">
        <f t="shared" si="99"/>
        <v>6.1822915876603757E-5</v>
      </c>
      <c r="I1041" s="8">
        <f t="shared" si="101"/>
        <v>0.98460941346053221</v>
      </c>
      <c r="J1041" s="3" t="s">
        <v>525</v>
      </c>
    </row>
    <row r="1042" spans="1:10" x14ac:dyDescent="0.25">
      <c r="A1042" s="3" t="s">
        <v>1053</v>
      </c>
      <c r="B1042" s="3" t="str">
        <f t="shared" si="96"/>
        <v>5</v>
      </c>
      <c r="C1042" s="7">
        <f t="shared" si="97"/>
        <v>6.4432989690721648E-4</v>
      </c>
      <c r="D1042" s="8">
        <f t="shared" si="100"/>
        <v>0.67074742268041021</v>
      </c>
      <c r="E1042" s="4">
        <v>33</v>
      </c>
      <c r="F1042" s="5">
        <v>15.31</v>
      </c>
      <c r="G1042" s="10">
        <f t="shared" si="98"/>
        <v>505.23</v>
      </c>
      <c r="H1042" s="7">
        <f t="shared" si="99"/>
        <v>6.1208684672421163E-5</v>
      </c>
      <c r="I1042" s="8">
        <f t="shared" si="101"/>
        <v>0.98467062214520462</v>
      </c>
      <c r="J1042" s="3" t="s">
        <v>525</v>
      </c>
    </row>
    <row r="1043" spans="1:10" x14ac:dyDescent="0.25">
      <c r="A1043" s="3" t="s">
        <v>1054</v>
      </c>
      <c r="B1043" s="3" t="str">
        <f t="shared" si="96"/>
        <v>1</v>
      </c>
      <c r="C1043" s="7">
        <f t="shared" si="97"/>
        <v>6.4432989690721648E-4</v>
      </c>
      <c r="D1043" s="8">
        <f t="shared" si="100"/>
        <v>0.67139175257731742</v>
      </c>
      <c r="E1043" s="4">
        <v>2</v>
      </c>
      <c r="F1043" s="5">
        <v>251.71</v>
      </c>
      <c r="G1043" s="10">
        <f t="shared" si="98"/>
        <v>503.42</v>
      </c>
      <c r="H1043" s="7">
        <f t="shared" si="99"/>
        <v>6.0989402921026589E-5</v>
      </c>
      <c r="I1043" s="8">
        <f t="shared" si="101"/>
        <v>0.98473161154812561</v>
      </c>
      <c r="J1043" s="3" t="s">
        <v>525</v>
      </c>
    </row>
    <row r="1044" spans="1:10" x14ac:dyDescent="0.25">
      <c r="A1044" s="3" t="s">
        <v>1055</v>
      </c>
      <c r="B1044" s="3" t="str">
        <f t="shared" si="96"/>
        <v>1</v>
      </c>
      <c r="C1044" s="7">
        <f t="shared" si="97"/>
        <v>6.4432989690721648E-4</v>
      </c>
      <c r="D1044" s="8">
        <f t="shared" si="100"/>
        <v>0.67203608247422464</v>
      </c>
      <c r="E1044" s="4">
        <v>1</v>
      </c>
      <c r="F1044" s="5">
        <v>501.94</v>
      </c>
      <c r="G1044" s="10">
        <f t="shared" si="98"/>
        <v>501.94</v>
      </c>
      <c r="H1044" s="7">
        <f t="shared" si="99"/>
        <v>6.0810100715466378E-5</v>
      </c>
      <c r="I1044" s="8">
        <f t="shared" si="101"/>
        <v>0.98479242164884107</v>
      </c>
      <c r="J1044" s="3" t="s">
        <v>525</v>
      </c>
    </row>
    <row r="1045" spans="1:10" x14ac:dyDescent="0.25">
      <c r="A1045" s="3" t="s">
        <v>1056</v>
      </c>
      <c r="B1045" s="3" t="str">
        <f t="shared" si="96"/>
        <v>1</v>
      </c>
      <c r="C1045" s="7">
        <f t="shared" si="97"/>
        <v>6.4432989690721648E-4</v>
      </c>
      <c r="D1045" s="8">
        <f t="shared" si="100"/>
        <v>0.67268041237113185</v>
      </c>
      <c r="E1045" s="4">
        <v>1</v>
      </c>
      <c r="F1045" s="5">
        <v>501.47</v>
      </c>
      <c r="G1045" s="10">
        <f t="shared" si="98"/>
        <v>501.47</v>
      </c>
      <c r="H1045" s="7">
        <f t="shared" si="99"/>
        <v>6.0753160150187131E-5</v>
      </c>
      <c r="I1045" s="8">
        <f t="shared" si="101"/>
        <v>0.98485317480899126</v>
      </c>
      <c r="J1045" s="3" t="s">
        <v>525</v>
      </c>
    </row>
    <row r="1046" spans="1:10" x14ac:dyDescent="0.25">
      <c r="A1046" s="3" t="s">
        <v>1057</v>
      </c>
      <c r="B1046" s="3" t="str">
        <f t="shared" si="96"/>
        <v>9</v>
      </c>
      <c r="C1046" s="7">
        <f t="shared" si="97"/>
        <v>6.4432989690721648E-4</v>
      </c>
      <c r="D1046" s="8">
        <f t="shared" si="100"/>
        <v>0.67332474226803907</v>
      </c>
      <c r="E1046" s="4">
        <v>2</v>
      </c>
      <c r="F1046" s="5">
        <v>250.25</v>
      </c>
      <c r="G1046" s="10">
        <f t="shared" si="98"/>
        <v>500.5</v>
      </c>
      <c r="H1046" s="7">
        <f t="shared" si="99"/>
        <v>6.0635644515461852E-5</v>
      </c>
      <c r="I1046" s="8">
        <f t="shared" si="101"/>
        <v>0.98491381045350668</v>
      </c>
      <c r="J1046" s="3" t="s">
        <v>525</v>
      </c>
    </row>
    <row r="1047" spans="1:10" x14ac:dyDescent="0.25">
      <c r="A1047" s="3" t="s">
        <v>1058</v>
      </c>
      <c r="B1047" s="3" t="str">
        <f t="shared" si="96"/>
        <v>1</v>
      </c>
      <c r="C1047" s="7">
        <f t="shared" si="97"/>
        <v>6.4432989690721648E-4</v>
      </c>
      <c r="D1047" s="8">
        <f t="shared" si="100"/>
        <v>0.67396907216494628</v>
      </c>
      <c r="E1047" s="4">
        <v>1</v>
      </c>
      <c r="F1047" s="5">
        <v>498.19</v>
      </c>
      <c r="G1047" s="10">
        <f t="shared" si="98"/>
        <v>498.19</v>
      </c>
      <c r="H1047" s="7">
        <f t="shared" si="99"/>
        <v>6.0355787694621261E-5</v>
      </c>
      <c r="I1047" s="8">
        <f t="shared" si="101"/>
        <v>0.98497416624120127</v>
      </c>
      <c r="J1047" s="3" t="s">
        <v>525</v>
      </c>
    </row>
    <row r="1048" spans="1:10" x14ac:dyDescent="0.25">
      <c r="A1048" s="3" t="s">
        <v>1059</v>
      </c>
      <c r="B1048" s="3" t="str">
        <f t="shared" si="96"/>
        <v>5</v>
      </c>
      <c r="C1048" s="7">
        <f t="shared" si="97"/>
        <v>6.4432989690721648E-4</v>
      </c>
      <c r="D1048" s="8">
        <f t="shared" si="100"/>
        <v>0.6746134020618535</v>
      </c>
      <c r="E1048" s="4">
        <v>4</v>
      </c>
      <c r="F1048" s="5">
        <v>124.35</v>
      </c>
      <c r="G1048" s="10">
        <f t="shared" si="98"/>
        <v>497.4</v>
      </c>
      <c r="H1048" s="7">
        <f t="shared" si="99"/>
        <v>6.0260079084896552E-5</v>
      </c>
      <c r="I1048" s="8">
        <f t="shared" si="101"/>
        <v>0.98503442632028615</v>
      </c>
      <c r="J1048" s="3" t="s">
        <v>525</v>
      </c>
    </row>
    <row r="1049" spans="1:10" x14ac:dyDescent="0.25">
      <c r="A1049" s="3" t="s">
        <v>1060</v>
      </c>
      <c r="B1049" s="3" t="str">
        <f t="shared" si="96"/>
        <v>2</v>
      </c>
      <c r="C1049" s="7">
        <f t="shared" si="97"/>
        <v>6.4432989690721648E-4</v>
      </c>
      <c r="D1049" s="8">
        <f t="shared" si="100"/>
        <v>0.67525773195876071</v>
      </c>
      <c r="E1049" s="4">
        <v>12</v>
      </c>
      <c r="F1049" s="5">
        <v>41.39</v>
      </c>
      <c r="G1049" s="10">
        <f t="shared" si="98"/>
        <v>496.68</v>
      </c>
      <c r="H1049" s="7">
        <f t="shared" si="99"/>
        <v>6.0172850984894293E-5</v>
      </c>
      <c r="I1049" s="8">
        <f t="shared" si="101"/>
        <v>0.98509459917127107</v>
      </c>
      <c r="J1049" s="3" t="s">
        <v>525</v>
      </c>
    </row>
    <row r="1050" spans="1:10" x14ac:dyDescent="0.25">
      <c r="A1050" s="3" t="s">
        <v>1061</v>
      </c>
      <c r="B1050" s="3" t="str">
        <f t="shared" si="96"/>
        <v>9</v>
      </c>
      <c r="C1050" s="7">
        <f t="shared" si="97"/>
        <v>6.4432989690721648E-4</v>
      </c>
      <c r="D1050" s="8">
        <f t="shared" si="100"/>
        <v>0.67590206185566792</v>
      </c>
      <c r="E1050" s="4">
        <v>3</v>
      </c>
      <c r="F1050" s="5">
        <v>165.33</v>
      </c>
      <c r="G1050" s="10">
        <f t="shared" si="98"/>
        <v>495.99</v>
      </c>
      <c r="H1050" s="7">
        <f t="shared" si="99"/>
        <v>6.008925738905879E-5</v>
      </c>
      <c r="I1050" s="8">
        <f t="shared" si="101"/>
        <v>0.98515468842866016</v>
      </c>
      <c r="J1050" s="3" t="s">
        <v>525</v>
      </c>
    </row>
    <row r="1051" spans="1:10" x14ac:dyDescent="0.25">
      <c r="A1051" s="3" t="s">
        <v>1062</v>
      </c>
      <c r="B1051" s="3" t="str">
        <f t="shared" si="96"/>
        <v>2</v>
      </c>
      <c r="C1051" s="7">
        <f t="shared" si="97"/>
        <v>6.4432989690721648E-4</v>
      </c>
      <c r="D1051" s="8">
        <f t="shared" si="100"/>
        <v>0.67654639175257514</v>
      </c>
      <c r="E1051" s="4">
        <v>6</v>
      </c>
      <c r="F1051" s="5">
        <v>82.46</v>
      </c>
      <c r="G1051" s="10">
        <f t="shared" si="98"/>
        <v>494.76</v>
      </c>
      <c r="H1051" s="7">
        <f t="shared" si="99"/>
        <v>5.9940242718221592E-5</v>
      </c>
      <c r="I1051" s="8">
        <f t="shared" si="101"/>
        <v>0.98521462867137843</v>
      </c>
      <c r="J1051" s="3" t="s">
        <v>525</v>
      </c>
    </row>
    <row r="1052" spans="1:10" x14ac:dyDescent="0.25">
      <c r="A1052" s="3" t="s">
        <v>1063</v>
      </c>
      <c r="B1052" s="3" t="str">
        <f t="shared" si="96"/>
        <v>1</v>
      </c>
      <c r="C1052" s="7">
        <f t="shared" si="97"/>
        <v>6.4432989690721648E-4</v>
      </c>
      <c r="D1052" s="8">
        <f t="shared" si="100"/>
        <v>0.67719072164948235</v>
      </c>
      <c r="E1052" s="4">
        <v>1</v>
      </c>
      <c r="F1052" s="5">
        <v>490.8</v>
      </c>
      <c r="G1052" s="10">
        <f t="shared" si="98"/>
        <v>490.8</v>
      </c>
      <c r="H1052" s="7">
        <f t="shared" si="99"/>
        <v>5.9460488168209147E-5</v>
      </c>
      <c r="I1052" s="8">
        <f t="shared" si="101"/>
        <v>0.98527408915954662</v>
      </c>
      <c r="J1052" s="3" t="s">
        <v>525</v>
      </c>
    </row>
    <row r="1053" spans="1:10" x14ac:dyDescent="0.25">
      <c r="A1053" s="3" t="s">
        <v>1064</v>
      </c>
      <c r="B1053" s="3" t="str">
        <f t="shared" si="96"/>
        <v>1</v>
      </c>
      <c r="C1053" s="7">
        <f t="shared" si="97"/>
        <v>6.4432989690721648E-4</v>
      </c>
      <c r="D1053" s="8">
        <f t="shared" si="100"/>
        <v>0.67783505154638957</v>
      </c>
      <c r="E1053" s="4">
        <v>1</v>
      </c>
      <c r="F1053" s="5">
        <v>490.78</v>
      </c>
      <c r="G1053" s="10">
        <f t="shared" si="98"/>
        <v>490.78</v>
      </c>
      <c r="H1053" s="7">
        <f t="shared" si="99"/>
        <v>5.9458065165431305E-5</v>
      </c>
      <c r="I1053" s="8">
        <f t="shared" si="101"/>
        <v>0.985333547224712</v>
      </c>
      <c r="J1053" s="3" t="s">
        <v>525</v>
      </c>
    </row>
    <row r="1054" spans="1:10" x14ac:dyDescent="0.25">
      <c r="A1054" s="3" t="s">
        <v>1065</v>
      </c>
      <c r="B1054" s="3" t="str">
        <f t="shared" si="96"/>
        <v>6</v>
      </c>
      <c r="C1054" s="7">
        <f t="shared" si="97"/>
        <v>6.4432989690721648E-4</v>
      </c>
      <c r="D1054" s="8">
        <f t="shared" si="100"/>
        <v>0.67847938144329678</v>
      </c>
      <c r="E1054" s="4">
        <v>16</v>
      </c>
      <c r="F1054" s="5">
        <v>30.61</v>
      </c>
      <c r="G1054" s="10">
        <f t="shared" si="98"/>
        <v>489.76</v>
      </c>
      <c r="H1054" s="7">
        <f t="shared" si="99"/>
        <v>5.9334492023761433E-5</v>
      </c>
      <c r="I1054" s="8">
        <f t="shared" si="101"/>
        <v>0.98539288171673578</v>
      </c>
      <c r="J1054" s="3" t="s">
        <v>525</v>
      </c>
    </row>
    <row r="1055" spans="1:10" x14ac:dyDescent="0.25">
      <c r="A1055" s="3" t="s">
        <v>1066</v>
      </c>
      <c r="B1055" s="3" t="str">
        <f t="shared" si="96"/>
        <v>5</v>
      </c>
      <c r="C1055" s="7">
        <f t="shared" si="97"/>
        <v>6.4432989690721648E-4</v>
      </c>
      <c r="D1055" s="8">
        <f t="shared" si="100"/>
        <v>0.67912371134020399</v>
      </c>
      <c r="E1055" s="4">
        <v>2</v>
      </c>
      <c r="F1055" s="5">
        <v>244.35</v>
      </c>
      <c r="G1055" s="10">
        <f t="shared" si="98"/>
        <v>488.7</v>
      </c>
      <c r="H1055" s="7">
        <f t="shared" si="99"/>
        <v>5.9206072876535883E-5</v>
      </c>
      <c r="I1055" s="8">
        <f t="shared" si="101"/>
        <v>0.98545208778961235</v>
      </c>
      <c r="J1055" s="3" t="s">
        <v>525</v>
      </c>
    </row>
    <row r="1056" spans="1:10" x14ac:dyDescent="0.25">
      <c r="A1056" s="3" t="s">
        <v>1067</v>
      </c>
      <c r="B1056" s="3" t="str">
        <f t="shared" si="96"/>
        <v>5</v>
      </c>
      <c r="C1056" s="7">
        <f t="shared" si="97"/>
        <v>6.4432989690721648E-4</v>
      </c>
      <c r="D1056" s="8">
        <f t="shared" si="100"/>
        <v>0.67976804123711121</v>
      </c>
      <c r="E1056" s="4">
        <v>9</v>
      </c>
      <c r="F1056" s="5">
        <v>54.15</v>
      </c>
      <c r="G1056" s="10">
        <f t="shared" si="98"/>
        <v>487.34999999999997</v>
      </c>
      <c r="H1056" s="7">
        <f t="shared" si="99"/>
        <v>5.9042520189031635E-5</v>
      </c>
      <c r="I1056" s="8">
        <f t="shared" si="101"/>
        <v>0.98551113030980142</v>
      </c>
      <c r="J1056" s="3" t="s">
        <v>525</v>
      </c>
    </row>
    <row r="1057" spans="1:10" x14ac:dyDescent="0.25">
      <c r="A1057" s="3" t="s">
        <v>1068</v>
      </c>
      <c r="B1057" s="3" t="str">
        <f t="shared" si="96"/>
        <v>6</v>
      </c>
      <c r="C1057" s="7">
        <f t="shared" si="97"/>
        <v>6.4432989690721648E-4</v>
      </c>
      <c r="D1057" s="8">
        <f t="shared" si="100"/>
        <v>0.68041237113401842</v>
      </c>
      <c r="E1057" s="4">
        <v>8</v>
      </c>
      <c r="F1057" s="5">
        <v>60.89</v>
      </c>
      <c r="G1057" s="10">
        <f t="shared" si="98"/>
        <v>487.12</v>
      </c>
      <c r="H1057" s="7">
        <f t="shared" si="99"/>
        <v>5.9014655657086472E-5</v>
      </c>
      <c r="I1057" s="8">
        <f t="shared" si="101"/>
        <v>0.98557014496545847</v>
      </c>
      <c r="J1057" s="3" t="s">
        <v>525</v>
      </c>
    </row>
    <row r="1058" spans="1:10" x14ac:dyDescent="0.25">
      <c r="A1058" s="3" t="s">
        <v>1069</v>
      </c>
      <c r="B1058" s="3" t="str">
        <f t="shared" si="96"/>
        <v>1</v>
      </c>
      <c r="C1058" s="7">
        <f t="shared" si="97"/>
        <v>6.4432989690721648E-4</v>
      </c>
      <c r="D1058" s="8">
        <f t="shared" si="100"/>
        <v>0.68105670103092564</v>
      </c>
      <c r="E1058" s="4">
        <v>1</v>
      </c>
      <c r="F1058" s="5">
        <v>486.83</v>
      </c>
      <c r="G1058" s="10">
        <f t="shared" si="98"/>
        <v>486.83</v>
      </c>
      <c r="H1058" s="7">
        <f t="shared" si="99"/>
        <v>5.8979522116807782E-5</v>
      </c>
      <c r="I1058" s="8">
        <f t="shared" si="101"/>
        <v>0.98562912448757523</v>
      </c>
      <c r="J1058" s="3" t="s">
        <v>525</v>
      </c>
    </row>
    <row r="1059" spans="1:10" x14ac:dyDescent="0.25">
      <c r="A1059" s="3" t="s">
        <v>1070</v>
      </c>
      <c r="B1059" s="3" t="str">
        <f t="shared" si="96"/>
        <v>7</v>
      </c>
      <c r="C1059" s="7">
        <f t="shared" si="97"/>
        <v>6.4432989690721648E-4</v>
      </c>
      <c r="D1059" s="8">
        <f t="shared" si="100"/>
        <v>0.68170103092783285</v>
      </c>
      <c r="E1059" s="4">
        <v>4</v>
      </c>
      <c r="F1059" s="5">
        <v>121.54</v>
      </c>
      <c r="G1059" s="10">
        <f t="shared" si="98"/>
        <v>486.16</v>
      </c>
      <c r="H1059" s="7">
        <f t="shared" si="99"/>
        <v>5.8898351523750122E-5</v>
      </c>
      <c r="I1059" s="8">
        <f t="shared" si="101"/>
        <v>0.98568802283909895</v>
      </c>
      <c r="J1059" s="3" t="s">
        <v>525</v>
      </c>
    </row>
    <row r="1060" spans="1:10" x14ac:dyDescent="0.25">
      <c r="A1060" s="3" t="s">
        <v>1071</v>
      </c>
      <c r="B1060" s="3" t="str">
        <f t="shared" si="96"/>
        <v>1</v>
      </c>
      <c r="C1060" s="7">
        <f t="shared" si="97"/>
        <v>6.4432989690721648E-4</v>
      </c>
      <c r="D1060" s="8">
        <f t="shared" si="100"/>
        <v>0.68234536082474007</v>
      </c>
      <c r="E1060" s="4">
        <v>1</v>
      </c>
      <c r="F1060" s="5">
        <v>485.72</v>
      </c>
      <c r="G1060" s="10">
        <f t="shared" si="98"/>
        <v>485.72</v>
      </c>
      <c r="H1060" s="7">
        <f t="shared" si="99"/>
        <v>5.8845045462637632E-5</v>
      </c>
      <c r="I1060" s="8">
        <f t="shared" si="101"/>
        <v>0.98574686788456156</v>
      </c>
      <c r="J1060" s="3" t="s">
        <v>525</v>
      </c>
    </row>
    <row r="1061" spans="1:10" x14ac:dyDescent="0.25">
      <c r="A1061" s="3" t="s">
        <v>1072</v>
      </c>
      <c r="B1061" s="3" t="str">
        <f t="shared" si="96"/>
        <v>1</v>
      </c>
      <c r="C1061" s="7">
        <f t="shared" si="97"/>
        <v>6.4432989690721648E-4</v>
      </c>
      <c r="D1061" s="8">
        <f t="shared" si="100"/>
        <v>0.68298969072164728</v>
      </c>
      <c r="E1061" s="4">
        <v>1</v>
      </c>
      <c r="F1061" s="5">
        <v>484.76</v>
      </c>
      <c r="G1061" s="10">
        <f t="shared" si="98"/>
        <v>484.76</v>
      </c>
      <c r="H1061" s="7">
        <f t="shared" si="99"/>
        <v>5.8728741329301275E-5</v>
      </c>
      <c r="I1061" s="8">
        <f t="shared" si="101"/>
        <v>0.98580559662589085</v>
      </c>
      <c r="J1061" s="3" t="s">
        <v>525</v>
      </c>
    </row>
    <row r="1062" spans="1:10" x14ac:dyDescent="0.25">
      <c r="A1062" s="3" t="s">
        <v>1073</v>
      </c>
      <c r="B1062" s="3" t="str">
        <f t="shared" si="96"/>
        <v>8</v>
      </c>
      <c r="C1062" s="7">
        <f t="shared" si="97"/>
        <v>6.4432989690721648E-4</v>
      </c>
      <c r="D1062" s="8">
        <f t="shared" si="100"/>
        <v>0.68363402061855449</v>
      </c>
      <c r="E1062" s="4">
        <v>8</v>
      </c>
      <c r="F1062" s="5">
        <v>60.28</v>
      </c>
      <c r="G1062" s="10">
        <f t="shared" si="98"/>
        <v>482.24</v>
      </c>
      <c r="H1062" s="7">
        <f t="shared" si="99"/>
        <v>5.8423442979293356E-5</v>
      </c>
      <c r="I1062" s="8">
        <f t="shared" si="101"/>
        <v>0.98586402006887008</v>
      </c>
      <c r="J1062" s="3" t="s">
        <v>525</v>
      </c>
    </row>
    <row r="1063" spans="1:10" x14ac:dyDescent="0.25">
      <c r="A1063" s="3" t="s">
        <v>1074</v>
      </c>
      <c r="B1063" s="3" t="str">
        <f t="shared" si="96"/>
        <v>8</v>
      </c>
      <c r="C1063" s="7">
        <f t="shared" si="97"/>
        <v>6.4432989690721648E-4</v>
      </c>
      <c r="D1063" s="8">
        <f t="shared" si="100"/>
        <v>0.68427835051546171</v>
      </c>
      <c r="E1063" s="4">
        <v>15</v>
      </c>
      <c r="F1063" s="5">
        <v>32.119999999999997</v>
      </c>
      <c r="G1063" s="10">
        <f t="shared" si="98"/>
        <v>481.79999999999995</v>
      </c>
      <c r="H1063" s="7">
        <f t="shared" si="99"/>
        <v>5.8370136918180859E-5</v>
      </c>
      <c r="I1063" s="8">
        <f t="shared" si="101"/>
        <v>0.98592239020578831</v>
      </c>
      <c r="J1063" s="3" t="s">
        <v>525</v>
      </c>
    </row>
    <row r="1064" spans="1:10" x14ac:dyDescent="0.25">
      <c r="A1064" s="3" t="s">
        <v>1075</v>
      </c>
      <c r="B1064" s="3" t="str">
        <f t="shared" si="96"/>
        <v>4</v>
      </c>
      <c r="C1064" s="7">
        <f t="shared" si="97"/>
        <v>6.4432989690721648E-4</v>
      </c>
      <c r="D1064" s="8">
        <f t="shared" si="100"/>
        <v>0.68492268041236892</v>
      </c>
      <c r="E1064" s="4">
        <v>1</v>
      </c>
      <c r="F1064" s="5">
        <v>475.29</v>
      </c>
      <c r="G1064" s="10">
        <f t="shared" si="98"/>
        <v>475.29</v>
      </c>
      <c r="H1064" s="7">
        <f t="shared" si="99"/>
        <v>5.7581449513993739E-5</v>
      </c>
      <c r="I1064" s="8">
        <f t="shared" si="101"/>
        <v>0.98597997165530227</v>
      </c>
      <c r="J1064" s="3" t="s">
        <v>525</v>
      </c>
    </row>
    <row r="1065" spans="1:10" x14ac:dyDescent="0.25">
      <c r="A1065" s="3" t="s">
        <v>1076</v>
      </c>
      <c r="B1065" s="3" t="str">
        <f t="shared" si="96"/>
        <v>1</v>
      </c>
      <c r="C1065" s="7">
        <f t="shared" si="97"/>
        <v>6.4432989690721648E-4</v>
      </c>
      <c r="D1065" s="8">
        <f t="shared" si="100"/>
        <v>0.68556701030927614</v>
      </c>
      <c r="E1065" s="4">
        <v>1</v>
      </c>
      <c r="F1065" s="5">
        <v>475.16</v>
      </c>
      <c r="G1065" s="10">
        <f t="shared" si="98"/>
        <v>475.16</v>
      </c>
      <c r="H1065" s="7">
        <f t="shared" si="99"/>
        <v>5.7565699995937776E-5</v>
      </c>
      <c r="I1065" s="8">
        <f t="shared" si="101"/>
        <v>0.9860375373552982</v>
      </c>
      <c r="J1065" s="3" t="s">
        <v>525</v>
      </c>
    </row>
    <row r="1066" spans="1:10" x14ac:dyDescent="0.25">
      <c r="A1066" s="3" t="s">
        <v>1077</v>
      </c>
      <c r="B1066" s="3" t="str">
        <f t="shared" si="96"/>
        <v>8</v>
      </c>
      <c r="C1066" s="7">
        <f t="shared" si="97"/>
        <v>6.4432989690721648E-4</v>
      </c>
      <c r="D1066" s="8">
        <f t="shared" si="100"/>
        <v>0.68621134020618335</v>
      </c>
      <c r="E1066" s="4">
        <v>16</v>
      </c>
      <c r="F1066" s="5">
        <v>29.57</v>
      </c>
      <c r="G1066" s="10">
        <f t="shared" si="98"/>
        <v>473.12</v>
      </c>
      <c r="H1066" s="7">
        <f t="shared" si="99"/>
        <v>5.7318553712598026E-5</v>
      </c>
      <c r="I1066" s="8">
        <f t="shared" si="101"/>
        <v>0.9860948559090108</v>
      </c>
      <c r="J1066" s="3" t="s">
        <v>525</v>
      </c>
    </row>
    <row r="1067" spans="1:10" x14ac:dyDescent="0.25">
      <c r="A1067" s="3" t="s">
        <v>1078</v>
      </c>
      <c r="B1067" s="3" t="str">
        <f t="shared" si="96"/>
        <v>7</v>
      </c>
      <c r="C1067" s="7">
        <f t="shared" si="97"/>
        <v>6.4432989690721648E-4</v>
      </c>
      <c r="D1067" s="8">
        <f t="shared" si="100"/>
        <v>0.68685567010309057</v>
      </c>
      <c r="E1067" s="4">
        <v>3</v>
      </c>
      <c r="F1067" s="5">
        <v>157.37</v>
      </c>
      <c r="G1067" s="10">
        <f t="shared" si="98"/>
        <v>472.11</v>
      </c>
      <c r="H1067" s="7">
        <f t="shared" si="99"/>
        <v>5.7196192072317075E-5</v>
      </c>
      <c r="I1067" s="8">
        <f t="shared" si="101"/>
        <v>0.98615205210108314</v>
      </c>
      <c r="J1067" s="3" t="s">
        <v>525</v>
      </c>
    </row>
    <row r="1068" spans="1:10" x14ac:dyDescent="0.25">
      <c r="A1068" s="3" t="s">
        <v>1079</v>
      </c>
      <c r="B1068" s="3" t="str">
        <f t="shared" si="96"/>
        <v>7</v>
      </c>
      <c r="C1068" s="7">
        <f t="shared" si="97"/>
        <v>6.4432989690721648E-4</v>
      </c>
      <c r="D1068" s="8">
        <f t="shared" si="100"/>
        <v>0.68749999999999778</v>
      </c>
      <c r="E1068" s="4">
        <v>5</v>
      </c>
      <c r="F1068" s="5">
        <v>94.11</v>
      </c>
      <c r="G1068" s="10">
        <f t="shared" si="98"/>
        <v>470.55</v>
      </c>
      <c r="H1068" s="7">
        <f t="shared" si="99"/>
        <v>5.7007197855645508E-5</v>
      </c>
      <c r="I1068" s="8">
        <f t="shared" si="101"/>
        <v>0.98620905929893876</v>
      </c>
      <c r="J1068" s="3" t="s">
        <v>525</v>
      </c>
    </row>
    <row r="1069" spans="1:10" x14ac:dyDescent="0.25">
      <c r="A1069" s="3" t="s">
        <v>1080</v>
      </c>
      <c r="B1069" s="3" t="str">
        <f t="shared" si="96"/>
        <v>6</v>
      </c>
      <c r="C1069" s="7">
        <f t="shared" si="97"/>
        <v>6.4432989690721648E-4</v>
      </c>
      <c r="D1069" s="8">
        <f t="shared" si="100"/>
        <v>0.68814432989690499</v>
      </c>
      <c r="E1069" s="4">
        <v>39</v>
      </c>
      <c r="F1069" s="5">
        <v>12.04</v>
      </c>
      <c r="G1069" s="10">
        <f t="shared" si="98"/>
        <v>469.55999999999995</v>
      </c>
      <c r="H1069" s="7">
        <f t="shared" si="99"/>
        <v>5.6887259218142386E-5</v>
      </c>
      <c r="I1069" s="8">
        <f t="shared" si="101"/>
        <v>0.98626594655815691</v>
      </c>
      <c r="J1069" s="3" t="s">
        <v>525</v>
      </c>
    </row>
    <row r="1070" spans="1:10" x14ac:dyDescent="0.25">
      <c r="A1070" s="3" t="s">
        <v>1081</v>
      </c>
      <c r="B1070" s="3" t="str">
        <f t="shared" si="96"/>
        <v>7</v>
      </c>
      <c r="C1070" s="7">
        <f t="shared" si="97"/>
        <v>6.4432989690721648E-4</v>
      </c>
      <c r="D1070" s="8">
        <f t="shared" si="100"/>
        <v>0.68878865979381221</v>
      </c>
      <c r="E1070" s="4">
        <v>10</v>
      </c>
      <c r="F1070" s="5">
        <v>46.86</v>
      </c>
      <c r="G1070" s="10">
        <f t="shared" si="98"/>
        <v>468.6</v>
      </c>
      <c r="H1070" s="7">
        <f t="shared" si="99"/>
        <v>5.6770955084806049E-5</v>
      </c>
      <c r="I1070" s="8">
        <f t="shared" si="101"/>
        <v>0.98632271751324174</v>
      </c>
      <c r="J1070" s="3" t="s">
        <v>525</v>
      </c>
    </row>
    <row r="1071" spans="1:10" x14ac:dyDescent="0.25">
      <c r="A1071" s="3" t="s">
        <v>1082</v>
      </c>
      <c r="B1071" s="3" t="str">
        <f t="shared" si="96"/>
        <v>8</v>
      </c>
      <c r="C1071" s="7">
        <f t="shared" si="97"/>
        <v>6.4432989690721648E-4</v>
      </c>
      <c r="D1071" s="8">
        <f t="shared" si="100"/>
        <v>0.68943298969071942</v>
      </c>
      <c r="E1071" s="4">
        <v>13</v>
      </c>
      <c r="F1071" s="5">
        <v>35.97</v>
      </c>
      <c r="G1071" s="10">
        <f t="shared" si="98"/>
        <v>467.61</v>
      </c>
      <c r="H1071" s="7">
        <f t="shared" si="99"/>
        <v>5.6651016447302935E-5</v>
      </c>
      <c r="I1071" s="8">
        <f t="shared" si="101"/>
        <v>0.98637936852968899</v>
      </c>
      <c r="J1071" s="3" t="s">
        <v>525</v>
      </c>
    </row>
    <row r="1072" spans="1:10" x14ac:dyDescent="0.25">
      <c r="A1072" s="3" t="s">
        <v>1083</v>
      </c>
      <c r="B1072" s="3" t="str">
        <f t="shared" si="96"/>
        <v>8</v>
      </c>
      <c r="C1072" s="7">
        <f t="shared" si="97"/>
        <v>6.4432989690721648E-4</v>
      </c>
      <c r="D1072" s="8">
        <f t="shared" si="100"/>
        <v>0.69007731958762664</v>
      </c>
      <c r="E1072" s="4">
        <v>7</v>
      </c>
      <c r="F1072" s="5">
        <v>66.62</v>
      </c>
      <c r="G1072" s="10">
        <f t="shared" si="98"/>
        <v>466.34000000000003</v>
      </c>
      <c r="H1072" s="7">
        <f t="shared" si="99"/>
        <v>5.6497155770910058E-5</v>
      </c>
      <c r="I1072" s="8">
        <f t="shared" si="101"/>
        <v>0.98643586568545993</v>
      </c>
      <c r="J1072" s="3" t="s">
        <v>525</v>
      </c>
    </row>
    <row r="1073" spans="1:10" x14ac:dyDescent="0.25">
      <c r="A1073" s="3" t="s">
        <v>1084</v>
      </c>
      <c r="B1073" s="3" t="str">
        <f t="shared" si="96"/>
        <v>7</v>
      </c>
      <c r="C1073" s="7">
        <f t="shared" si="97"/>
        <v>6.4432989690721648E-4</v>
      </c>
      <c r="D1073" s="8">
        <f t="shared" si="100"/>
        <v>0.69072164948453385</v>
      </c>
      <c r="E1073" s="4">
        <v>7</v>
      </c>
      <c r="F1073" s="5">
        <v>66.489999999999995</v>
      </c>
      <c r="G1073" s="10">
        <f t="shared" si="98"/>
        <v>465.42999999999995</v>
      </c>
      <c r="H1073" s="7">
        <f t="shared" si="99"/>
        <v>5.63869091445183E-5</v>
      </c>
      <c r="I1073" s="8">
        <f t="shared" si="101"/>
        <v>0.98649225259460449</v>
      </c>
      <c r="J1073" s="3" t="s">
        <v>525</v>
      </c>
    </row>
    <row r="1074" spans="1:10" x14ac:dyDescent="0.25">
      <c r="A1074" s="3" t="s">
        <v>1085</v>
      </c>
      <c r="B1074" s="3" t="str">
        <f t="shared" si="96"/>
        <v>9</v>
      </c>
      <c r="C1074" s="7">
        <f t="shared" si="97"/>
        <v>6.4432989690721648E-4</v>
      </c>
      <c r="D1074" s="8">
        <f t="shared" si="100"/>
        <v>0.69136597938144106</v>
      </c>
      <c r="E1074" s="4">
        <v>1</v>
      </c>
      <c r="F1074" s="5">
        <v>464</v>
      </c>
      <c r="G1074" s="10">
        <f t="shared" si="98"/>
        <v>464</v>
      </c>
      <c r="H1074" s="7">
        <f t="shared" si="99"/>
        <v>5.6213664445902702E-5</v>
      </c>
      <c r="I1074" s="8">
        <f t="shared" si="101"/>
        <v>0.98654846625905035</v>
      </c>
      <c r="J1074" s="3" t="s">
        <v>525</v>
      </c>
    </row>
    <row r="1075" spans="1:10" x14ac:dyDescent="0.25">
      <c r="A1075" s="3" t="s">
        <v>1086</v>
      </c>
      <c r="B1075" s="3" t="str">
        <f t="shared" si="96"/>
        <v>7</v>
      </c>
      <c r="C1075" s="7">
        <f t="shared" si="97"/>
        <v>6.4432989690721648E-4</v>
      </c>
      <c r="D1075" s="8">
        <f t="shared" si="100"/>
        <v>0.69201030927834828</v>
      </c>
      <c r="E1075" s="4">
        <v>8</v>
      </c>
      <c r="F1075" s="5">
        <v>57.7</v>
      </c>
      <c r="G1075" s="10">
        <f t="shared" si="98"/>
        <v>461.6</v>
      </c>
      <c r="H1075" s="7">
        <f t="shared" si="99"/>
        <v>5.5922904112561826E-5</v>
      </c>
      <c r="I1075" s="8">
        <f t="shared" si="101"/>
        <v>0.98660438916316295</v>
      </c>
      <c r="J1075" s="3" t="s">
        <v>525</v>
      </c>
    </row>
    <row r="1076" spans="1:10" x14ac:dyDescent="0.25">
      <c r="A1076" s="3" t="s">
        <v>1087</v>
      </c>
      <c r="B1076" s="3" t="str">
        <f t="shared" si="96"/>
        <v>5</v>
      </c>
      <c r="C1076" s="7">
        <f t="shared" si="97"/>
        <v>6.4432989690721648E-4</v>
      </c>
      <c r="D1076" s="8">
        <f t="shared" si="100"/>
        <v>0.69265463917525549</v>
      </c>
      <c r="E1076" s="4">
        <v>4</v>
      </c>
      <c r="F1076" s="5">
        <v>115.21</v>
      </c>
      <c r="G1076" s="10">
        <f t="shared" si="98"/>
        <v>460.84</v>
      </c>
      <c r="H1076" s="7">
        <f t="shared" si="99"/>
        <v>5.5830830007003874E-5</v>
      </c>
      <c r="I1076" s="8">
        <f t="shared" si="101"/>
        <v>0.98666021999317</v>
      </c>
      <c r="J1076" s="3" t="s">
        <v>525</v>
      </c>
    </row>
    <row r="1077" spans="1:10" x14ac:dyDescent="0.25">
      <c r="A1077" s="3" t="s">
        <v>1088</v>
      </c>
      <c r="B1077" s="3" t="str">
        <f t="shared" si="96"/>
        <v>8</v>
      </c>
      <c r="C1077" s="7">
        <f t="shared" si="97"/>
        <v>6.4432989690721648E-4</v>
      </c>
      <c r="D1077" s="8">
        <f t="shared" si="100"/>
        <v>0.69329896907216271</v>
      </c>
      <c r="E1077" s="4">
        <v>21</v>
      </c>
      <c r="F1077" s="5">
        <v>21.93</v>
      </c>
      <c r="G1077" s="10">
        <f t="shared" si="98"/>
        <v>460.53</v>
      </c>
      <c r="H1077" s="7">
        <f t="shared" si="99"/>
        <v>5.5793273463947348E-5</v>
      </c>
      <c r="I1077" s="8">
        <f t="shared" si="101"/>
        <v>0.98671601326663394</v>
      </c>
      <c r="J1077" s="3" t="s">
        <v>525</v>
      </c>
    </row>
    <row r="1078" spans="1:10" x14ac:dyDescent="0.25">
      <c r="A1078" s="3" t="s">
        <v>1089</v>
      </c>
      <c r="B1078" s="3" t="str">
        <f t="shared" si="96"/>
        <v>4</v>
      </c>
      <c r="C1078" s="7">
        <f t="shared" si="97"/>
        <v>6.4432989690721648E-4</v>
      </c>
      <c r="D1078" s="8">
        <f t="shared" si="100"/>
        <v>0.69394329896906992</v>
      </c>
      <c r="E1078" s="4">
        <v>4</v>
      </c>
      <c r="F1078" s="5">
        <v>114.83</v>
      </c>
      <c r="G1078" s="10">
        <f t="shared" si="98"/>
        <v>459.32</v>
      </c>
      <c r="H1078" s="7">
        <f t="shared" si="99"/>
        <v>5.5646681795887992E-5</v>
      </c>
      <c r="I1078" s="8">
        <f t="shared" si="101"/>
        <v>0.98677165994842986</v>
      </c>
      <c r="J1078" s="3" t="s">
        <v>525</v>
      </c>
    </row>
    <row r="1079" spans="1:10" x14ac:dyDescent="0.25">
      <c r="A1079" s="3" t="s">
        <v>1090</v>
      </c>
      <c r="B1079" s="3" t="str">
        <f t="shared" si="96"/>
        <v>4</v>
      </c>
      <c r="C1079" s="7">
        <f t="shared" si="97"/>
        <v>6.4432989690721648E-4</v>
      </c>
      <c r="D1079" s="8">
        <f t="shared" si="100"/>
        <v>0.69458762886597714</v>
      </c>
      <c r="E1079" s="4">
        <v>1</v>
      </c>
      <c r="F1079" s="5">
        <v>459.16</v>
      </c>
      <c r="G1079" s="10">
        <f t="shared" si="98"/>
        <v>459.16</v>
      </c>
      <c r="H1079" s="7">
        <f t="shared" si="99"/>
        <v>5.5627297773665271E-5</v>
      </c>
      <c r="I1079" s="8">
        <f t="shared" si="101"/>
        <v>0.9868272872462035</v>
      </c>
      <c r="J1079" s="3" t="s">
        <v>525</v>
      </c>
    </row>
    <row r="1080" spans="1:10" x14ac:dyDescent="0.25">
      <c r="A1080" s="3" t="s">
        <v>1091</v>
      </c>
      <c r="B1080" s="3" t="str">
        <f t="shared" si="96"/>
        <v>4</v>
      </c>
      <c r="C1080" s="7">
        <f t="shared" si="97"/>
        <v>6.4432989690721648E-4</v>
      </c>
      <c r="D1080" s="8">
        <f t="shared" si="100"/>
        <v>0.69523195876288435</v>
      </c>
      <c r="E1080" s="4">
        <v>9</v>
      </c>
      <c r="F1080" s="5">
        <v>50.88</v>
      </c>
      <c r="G1080" s="10">
        <f t="shared" si="98"/>
        <v>457.92</v>
      </c>
      <c r="H1080" s="7">
        <f t="shared" si="99"/>
        <v>5.5477071601439151E-5</v>
      </c>
      <c r="I1080" s="8">
        <f t="shared" si="101"/>
        <v>0.98688276431780497</v>
      </c>
      <c r="J1080" s="3" t="s">
        <v>525</v>
      </c>
    </row>
    <row r="1081" spans="1:10" x14ac:dyDescent="0.25">
      <c r="A1081" s="3" t="s">
        <v>1092</v>
      </c>
      <c r="B1081" s="3" t="str">
        <f t="shared" si="96"/>
        <v>5</v>
      </c>
      <c r="C1081" s="7">
        <f t="shared" si="97"/>
        <v>6.4432989690721648E-4</v>
      </c>
      <c r="D1081" s="8">
        <f t="shared" si="100"/>
        <v>0.69587628865979156</v>
      </c>
      <c r="E1081" s="4">
        <v>7</v>
      </c>
      <c r="F1081" s="5">
        <v>64.989999999999995</v>
      </c>
      <c r="G1081" s="10">
        <f t="shared" si="98"/>
        <v>454.92999999999995</v>
      </c>
      <c r="H1081" s="7">
        <f t="shared" si="99"/>
        <v>5.5114832686151965E-5</v>
      </c>
      <c r="I1081" s="8">
        <f t="shared" si="101"/>
        <v>0.98693787915049114</v>
      </c>
      <c r="J1081" s="3" t="s">
        <v>525</v>
      </c>
    </row>
    <row r="1082" spans="1:10" x14ac:dyDescent="0.25">
      <c r="A1082" s="3" t="s">
        <v>1093</v>
      </c>
      <c r="B1082" s="3" t="str">
        <f t="shared" si="96"/>
        <v>9</v>
      </c>
      <c r="C1082" s="7">
        <f t="shared" si="97"/>
        <v>6.4432989690721648E-4</v>
      </c>
      <c r="D1082" s="8">
        <f t="shared" si="100"/>
        <v>0.69652061855669878</v>
      </c>
      <c r="E1082" s="4">
        <v>1</v>
      </c>
      <c r="F1082" s="5">
        <v>453.25</v>
      </c>
      <c r="G1082" s="10">
        <f t="shared" si="98"/>
        <v>453.25</v>
      </c>
      <c r="H1082" s="7">
        <f t="shared" si="99"/>
        <v>5.4911300452813362E-5</v>
      </c>
      <c r="I1082" s="8">
        <f t="shared" si="101"/>
        <v>0.9869927904509439</v>
      </c>
      <c r="J1082" s="3" t="s">
        <v>525</v>
      </c>
    </row>
    <row r="1083" spans="1:10" x14ac:dyDescent="0.25">
      <c r="A1083" s="3" t="s">
        <v>1094</v>
      </c>
      <c r="B1083" s="3" t="str">
        <f t="shared" si="96"/>
        <v>8</v>
      </c>
      <c r="C1083" s="7">
        <f t="shared" si="97"/>
        <v>6.4432989690721648E-4</v>
      </c>
      <c r="D1083" s="8">
        <f t="shared" si="100"/>
        <v>0.69716494845360599</v>
      </c>
      <c r="E1083" s="4">
        <v>45</v>
      </c>
      <c r="F1083" s="5">
        <v>10.02</v>
      </c>
      <c r="G1083" s="10">
        <f t="shared" si="98"/>
        <v>450.9</v>
      </c>
      <c r="H1083" s="7">
        <f t="shared" si="99"/>
        <v>5.4626597626417078E-5</v>
      </c>
      <c r="I1083" s="8">
        <f t="shared" si="101"/>
        <v>0.98704741704857035</v>
      </c>
      <c r="J1083" s="3" t="s">
        <v>525</v>
      </c>
    </row>
    <row r="1084" spans="1:10" x14ac:dyDescent="0.25">
      <c r="A1084" s="3" t="s">
        <v>1095</v>
      </c>
      <c r="B1084" s="3" t="str">
        <f t="shared" si="96"/>
        <v>9</v>
      </c>
      <c r="C1084" s="7">
        <f t="shared" si="97"/>
        <v>6.4432989690721648E-4</v>
      </c>
      <c r="D1084" s="8">
        <f t="shared" si="100"/>
        <v>0.69780927835051321</v>
      </c>
      <c r="E1084" s="4">
        <v>3</v>
      </c>
      <c r="F1084" s="5">
        <v>149.75</v>
      </c>
      <c r="G1084" s="10">
        <f t="shared" si="98"/>
        <v>449.25</v>
      </c>
      <c r="H1084" s="7">
        <f t="shared" si="99"/>
        <v>5.4426699897245232E-5</v>
      </c>
      <c r="I1084" s="8">
        <f t="shared" si="101"/>
        <v>0.98710184374846754</v>
      </c>
      <c r="J1084" s="3" t="s">
        <v>525</v>
      </c>
    </row>
    <row r="1085" spans="1:10" x14ac:dyDescent="0.25">
      <c r="A1085" s="3" t="s">
        <v>1096</v>
      </c>
      <c r="B1085" s="3" t="str">
        <f t="shared" si="96"/>
        <v>1</v>
      </c>
      <c r="C1085" s="7">
        <f t="shared" si="97"/>
        <v>6.4432989690721648E-4</v>
      </c>
      <c r="D1085" s="8">
        <f t="shared" si="100"/>
        <v>0.69845360824742042</v>
      </c>
      <c r="E1085" s="4">
        <v>1</v>
      </c>
      <c r="F1085" s="5">
        <v>448.76</v>
      </c>
      <c r="G1085" s="10">
        <f t="shared" si="98"/>
        <v>448.76</v>
      </c>
      <c r="H1085" s="7">
        <f t="shared" si="99"/>
        <v>5.4367336329188136E-5</v>
      </c>
      <c r="I1085" s="8">
        <f t="shared" si="101"/>
        <v>0.98715621108479679</v>
      </c>
      <c r="J1085" s="3" t="s">
        <v>525</v>
      </c>
    </row>
    <row r="1086" spans="1:10" x14ac:dyDescent="0.25">
      <c r="A1086" s="3" t="s">
        <v>1097</v>
      </c>
      <c r="B1086" s="3" t="str">
        <f t="shared" si="96"/>
        <v>7</v>
      </c>
      <c r="C1086" s="7">
        <f t="shared" si="97"/>
        <v>6.4432989690721648E-4</v>
      </c>
      <c r="D1086" s="8">
        <f t="shared" si="100"/>
        <v>0.69909793814432764</v>
      </c>
      <c r="E1086" s="4">
        <v>3</v>
      </c>
      <c r="F1086" s="5">
        <v>149.58000000000001</v>
      </c>
      <c r="G1086" s="10">
        <f t="shared" si="98"/>
        <v>448.74</v>
      </c>
      <c r="H1086" s="7">
        <f t="shared" si="99"/>
        <v>5.43649133264103E-5</v>
      </c>
      <c r="I1086" s="8">
        <f t="shared" si="101"/>
        <v>0.98721057599812323</v>
      </c>
      <c r="J1086" s="3" t="s">
        <v>525</v>
      </c>
    </row>
    <row r="1087" spans="1:10" x14ac:dyDescent="0.25">
      <c r="A1087" s="3" t="s">
        <v>1098</v>
      </c>
      <c r="B1087" s="3" t="str">
        <f t="shared" si="96"/>
        <v>8</v>
      </c>
      <c r="C1087" s="7">
        <f t="shared" si="97"/>
        <v>6.4432989690721648E-4</v>
      </c>
      <c r="D1087" s="8">
        <f t="shared" si="100"/>
        <v>0.69974226804123485</v>
      </c>
      <c r="E1087" s="4">
        <v>8</v>
      </c>
      <c r="F1087" s="5">
        <v>55.9</v>
      </c>
      <c r="G1087" s="10">
        <f t="shared" si="98"/>
        <v>447.2</v>
      </c>
      <c r="H1087" s="7">
        <f t="shared" si="99"/>
        <v>5.4178342112516568E-5</v>
      </c>
      <c r="I1087" s="8">
        <f t="shared" si="101"/>
        <v>0.98726475434023575</v>
      </c>
      <c r="J1087" s="3" t="s">
        <v>525</v>
      </c>
    </row>
    <row r="1088" spans="1:10" x14ac:dyDescent="0.25">
      <c r="A1088" s="3" t="s">
        <v>1099</v>
      </c>
      <c r="B1088" s="3" t="str">
        <f t="shared" si="96"/>
        <v>3</v>
      </c>
      <c r="C1088" s="7">
        <f t="shared" si="97"/>
        <v>6.4432989690721648E-4</v>
      </c>
      <c r="D1088" s="8">
        <f t="shared" si="100"/>
        <v>0.70038659793814206</v>
      </c>
      <c r="E1088" s="4">
        <v>1</v>
      </c>
      <c r="F1088" s="5">
        <v>446.9</v>
      </c>
      <c r="G1088" s="10">
        <f t="shared" si="98"/>
        <v>446.9</v>
      </c>
      <c r="H1088" s="7">
        <f t="shared" si="99"/>
        <v>5.4141997070848956E-5</v>
      </c>
      <c r="I1088" s="8">
        <f t="shared" si="101"/>
        <v>0.98731889633730663</v>
      </c>
      <c r="J1088" s="3" t="s">
        <v>525</v>
      </c>
    </row>
    <row r="1089" spans="1:10" x14ac:dyDescent="0.25">
      <c r="A1089" s="3" t="s">
        <v>1100</v>
      </c>
      <c r="B1089" s="3" t="str">
        <f t="shared" si="96"/>
        <v>1</v>
      </c>
      <c r="C1089" s="7">
        <f t="shared" si="97"/>
        <v>6.4432989690721648E-4</v>
      </c>
      <c r="D1089" s="8">
        <f t="shared" si="100"/>
        <v>0.70103092783504928</v>
      </c>
      <c r="E1089" s="4">
        <v>1</v>
      </c>
      <c r="F1089" s="5">
        <v>446.87</v>
      </c>
      <c r="G1089" s="10">
        <f t="shared" si="98"/>
        <v>446.87</v>
      </c>
      <c r="H1089" s="7">
        <f t="shared" si="99"/>
        <v>5.4138362566682198E-5</v>
      </c>
      <c r="I1089" s="8">
        <f t="shared" si="101"/>
        <v>0.98737303469987336</v>
      </c>
      <c r="J1089" s="3" t="s">
        <v>525</v>
      </c>
    </row>
    <row r="1090" spans="1:10" x14ac:dyDescent="0.25">
      <c r="A1090" s="3" t="s">
        <v>1101</v>
      </c>
      <c r="B1090" s="3" t="str">
        <f t="shared" ref="B1090:B1153" si="102">RIGHT(A1090,1)</f>
        <v>8</v>
      </c>
      <c r="C1090" s="7">
        <f t="shared" ref="C1090:C1153" si="103">1/COUNTA(A$2:A$1553)</f>
        <v>6.4432989690721648E-4</v>
      </c>
      <c r="D1090" s="8">
        <f t="shared" si="100"/>
        <v>0.70167525773195649</v>
      </c>
      <c r="E1090" s="4">
        <v>18</v>
      </c>
      <c r="F1090" s="5">
        <v>24.8</v>
      </c>
      <c r="G1090" s="10">
        <f t="shared" ref="G1090:G1153" si="104">E1090*F1090</f>
        <v>446.40000000000003</v>
      </c>
      <c r="H1090" s="7">
        <f t="shared" ref="H1090:H1153" si="105">G1090/SUM(G$2:G$1553)</f>
        <v>5.4081422001402945E-5</v>
      </c>
      <c r="I1090" s="8">
        <f t="shared" si="101"/>
        <v>0.98742711612187473</v>
      </c>
      <c r="J1090" s="3" t="s">
        <v>525</v>
      </c>
    </row>
    <row r="1091" spans="1:10" x14ac:dyDescent="0.25">
      <c r="A1091" s="3" t="s">
        <v>1102</v>
      </c>
      <c r="B1091" s="3" t="str">
        <f t="shared" si="102"/>
        <v>8</v>
      </c>
      <c r="C1091" s="7">
        <f t="shared" si="103"/>
        <v>6.4432989690721648E-4</v>
      </c>
      <c r="D1091" s="8">
        <f t="shared" ref="D1091:D1154" si="106">D1090+C1091</f>
        <v>0.70231958762886371</v>
      </c>
      <c r="E1091" s="4">
        <v>6</v>
      </c>
      <c r="F1091" s="5">
        <v>73.64</v>
      </c>
      <c r="G1091" s="10">
        <f t="shared" si="104"/>
        <v>441.84000000000003</v>
      </c>
      <c r="H1091" s="7">
        <f t="shared" si="105"/>
        <v>5.3528977368055283E-5</v>
      </c>
      <c r="I1091" s="8">
        <f t="shared" ref="I1091:I1154" si="107">I1090+H1091</f>
        <v>0.98748064509924283</v>
      </c>
      <c r="J1091" s="3" t="s">
        <v>525</v>
      </c>
    </row>
    <row r="1092" spans="1:10" x14ac:dyDescent="0.25">
      <c r="A1092" s="3" t="s">
        <v>1103</v>
      </c>
      <c r="B1092" s="3" t="str">
        <f t="shared" si="102"/>
        <v>4</v>
      </c>
      <c r="C1092" s="7">
        <f t="shared" si="103"/>
        <v>6.4432989690721648E-4</v>
      </c>
      <c r="D1092" s="8">
        <f t="shared" si="106"/>
        <v>0.70296391752577092</v>
      </c>
      <c r="E1092" s="4">
        <v>5</v>
      </c>
      <c r="F1092" s="5">
        <v>88.27</v>
      </c>
      <c r="G1092" s="10">
        <f t="shared" si="104"/>
        <v>441.34999999999997</v>
      </c>
      <c r="H1092" s="7">
        <f t="shared" si="105"/>
        <v>5.3469613799998179E-5</v>
      </c>
      <c r="I1092" s="8">
        <f t="shared" si="107"/>
        <v>0.98753411471304287</v>
      </c>
      <c r="J1092" s="3" t="s">
        <v>525</v>
      </c>
    </row>
    <row r="1093" spans="1:10" x14ac:dyDescent="0.25">
      <c r="A1093" s="3" t="s">
        <v>1104</v>
      </c>
      <c r="B1093" s="3" t="str">
        <f t="shared" si="102"/>
        <v>1</v>
      </c>
      <c r="C1093" s="7">
        <f t="shared" si="103"/>
        <v>6.4432989690721648E-4</v>
      </c>
      <c r="D1093" s="8">
        <f t="shared" si="106"/>
        <v>0.70360824742267813</v>
      </c>
      <c r="E1093" s="4">
        <v>1</v>
      </c>
      <c r="F1093" s="5">
        <v>441.33</v>
      </c>
      <c r="G1093" s="10">
        <f t="shared" si="104"/>
        <v>441.33</v>
      </c>
      <c r="H1093" s="7">
        <f t="shared" si="105"/>
        <v>5.3467190797220337E-5</v>
      </c>
      <c r="I1093" s="8">
        <f t="shared" si="107"/>
        <v>0.98758758190384011</v>
      </c>
      <c r="J1093" s="3" t="s">
        <v>525</v>
      </c>
    </row>
    <row r="1094" spans="1:10" x14ac:dyDescent="0.25">
      <c r="A1094" s="3" t="s">
        <v>1105</v>
      </c>
      <c r="B1094" s="3" t="str">
        <f t="shared" si="102"/>
        <v>1</v>
      </c>
      <c r="C1094" s="7">
        <f t="shared" si="103"/>
        <v>6.4432989690721648E-4</v>
      </c>
      <c r="D1094" s="8">
        <f t="shared" si="106"/>
        <v>0.70425257731958535</v>
      </c>
      <c r="E1094" s="4">
        <v>1</v>
      </c>
      <c r="F1094" s="5">
        <v>441.18</v>
      </c>
      <c r="G1094" s="10">
        <f t="shared" si="104"/>
        <v>441.18</v>
      </c>
      <c r="H1094" s="7">
        <f t="shared" si="105"/>
        <v>5.3449018276386538E-5</v>
      </c>
      <c r="I1094" s="8">
        <f t="shared" si="107"/>
        <v>0.98764103092211653</v>
      </c>
      <c r="J1094" s="3" t="s">
        <v>525</v>
      </c>
    </row>
    <row r="1095" spans="1:10" x14ac:dyDescent="0.25">
      <c r="A1095" s="3" t="s">
        <v>1106</v>
      </c>
      <c r="B1095" s="3" t="str">
        <f t="shared" si="102"/>
        <v>8</v>
      </c>
      <c r="C1095" s="7">
        <f t="shared" si="103"/>
        <v>6.4432989690721648E-4</v>
      </c>
      <c r="D1095" s="8">
        <f t="shared" si="106"/>
        <v>0.70489690721649256</v>
      </c>
      <c r="E1095" s="4">
        <v>7</v>
      </c>
      <c r="F1095" s="5">
        <v>62.32</v>
      </c>
      <c r="G1095" s="10">
        <f t="shared" si="104"/>
        <v>436.24</v>
      </c>
      <c r="H1095" s="7">
        <f t="shared" si="105"/>
        <v>5.28505365902599E-5</v>
      </c>
      <c r="I1095" s="8">
        <f t="shared" si="107"/>
        <v>0.98769388145870674</v>
      </c>
      <c r="J1095" s="3" t="s">
        <v>525</v>
      </c>
    </row>
    <row r="1096" spans="1:10" x14ac:dyDescent="0.25">
      <c r="A1096" s="3" t="s">
        <v>1107</v>
      </c>
      <c r="B1096" s="3" t="str">
        <f t="shared" si="102"/>
        <v>5</v>
      </c>
      <c r="C1096" s="7">
        <f t="shared" si="103"/>
        <v>6.4432989690721648E-4</v>
      </c>
      <c r="D1096" s="8">
        <f t="shared" si="106"/>
        <v>0.70554123711339978</v>
      </c>
      <c r="E1096" s="4">
        <v>25</v>
      </c>
      <c r="F1096" s="5">
        <v>17.399999999999999</v>
      </c>
      <c r="G1096" s="10">
        <f t="shared" si="104"/>
        <v>434.99999999999994</v>
      </c>
      <c r="H1096" s="7">
        <f t="shared" si="105"/>
        <v>5.2700310418033773E-5</v>
      </c>
      <c r="I1096" s="8">
        <f t="shared" si="107"/>
        <v>0.98774658176912478</v>
      </c>
      <c r="J1096" s="3" t="s">
        <v>525</v>
      </c>
    </row>
    <row r="1097" spans="1:10" x14ac:dyDescent="0.25">
      <c r="A1097" s="3" t="s">
        <v>1108</v>
      </c>
      <c r="B1097" s="3" t="str">
        <f t="shared" si="102"/>
        <v>8</v>
      </c>
      <c r="C1097" s="7">
        <f t="shared" si="103"/>
        <v>6.4432989690721648E-4</v>
      </c>
      <c r="D1097" s="8">
        <f t="shared" si="106"/>
        <v>0.70618556701030699</v>
      </c>
      <c r="E1097" s="4">
        <v>32</v>
      </c>
      <c r="F1097" s="5">
        <v>13.59</v>
      </c>
      <c r="G1097" s="10">
        <f t="shared" si="104"/>
        <v>434.88</v>
      </c>
      <c r="H1097" s="7">
        <f t="shared" si="105"/>
        <v>5.2685772401366738E-5</v>
      </c>
      <c r="I1097" s="8">
        <f t="shared" si="107"/>
        <v>0.98779926754152614</v>
      </c>
      <c r="J1097" s="3" t="s">
        <v>525</v>
      </c>
    </row>
    <row r="1098" spans="1:10" x14ac:dyDescent="0.25">
      <c r="A1098" s="3" t="s">
        <v>1109</v>
      </c>
      <c r="B1098" s="3" t="str">
        <f t="shared" si="102"/>
        <v>1</v>
      </c>
      <c r="C1098" s="7">
        <f t="shared" si="103"/>
        <v>6.4432989690721648E-4</v>
      </c>
      <c r="D1098" s="8">
        <f t="shared" si="106"/>
        <v>0.70682989690721421</v>
      </c>
      <c r="E1098" s="4">
        <v>1</v>
      </c>
      <c r="F1098" s="5">
        <v>434.05</v>
      </c>
      <c r="G1098" s="10">
        <f t="shared" si="104"/>
        <v>434.05</v>
      </c>
      <c r="H1098" s="7">
        <f t="shared" si="105"/>
        <v>5.2585217786086351E-5</v>
      </c>
      <c r="I1098" s="8">
        <f t="shared" si="107"/>
        <v>0.9878518527593122</v>
      </c>
      <c r="J1098" s="3" t="s">
        <v>525</v>
      </c>
    </row>
    <row r="1099" spans="1:10" x14ac:dyDescent="0.25">
      <c r="A1099" s="3" t="s">
        <v>1110</v>
      </c>
      <c r="B1099" s="3" t="str">
        <f t="shared" si="102"/>
        <v>8</v>
      </c>
      <c r="C1099" s="7">
        <f t="shared" si="103"/>
        <v>6.4432989690721648E-4</v>
      </c>
      <c r="D1099" s="8">
        <f t="shared" si="106"/>
        <v>0.70747422680412142</v>
      </c>
      <c r="E1099" s="4">
        <v>9</v>
      </c>
      <c r="F1099" s="5">
        <v>48.08</v>
      </c>
      <c r="G1099" s="10">
        <f t="shared" si="104"/>
        <v>432.71999999999997</v>
      </c>
      <c r="H1099" s="7">
        <f t="shared" si="105"/>
        <v>5.2424088101359946E-5</v>
      </c>
      <c r="I1099" s="8">
        <f t="shared" si="107"/>
        <v>0.98790427684741355</v>
      </c>
      <c r="J1099" s="3" t="s">
        <v>525</v>
      </c>
    </row>
    <row r="1100" spans="1:10" x14ac:dyDescent="0.25">
      <c r="A1100" s="3" t="s">
        <v>1111</v>
      </c>
      <c r="B1100" s="3" t="str">
        <f t="shared" si="102"/>
        <v>9</v>
      </c>
      <c r="C1100" s="7">
        <f t="shared" si="103"/>
        <v>6.4432989690721648E-4</v>
      </c>
      <c r="D1100" s="8">
        <f t="shared" si="106"/>
        <v>0.70811855670102863</v>
      </c>
      <c r="E1100" s="4">
        <v>3</v>
      </c>
      <c r="F1100" s="5">
        <v>144.19999999999999</v>
      </c>
      <c r="G1100" s="10">
        <f t="shared" si="104"/>
        <v>432.59999999999997</v>
      </c>
      <c r="H1100" s="7">
        <f t="shared" si="105"/>
        <v>5.2409550084692897E-5</v>
      </c>
      <c r="I1100" s="8">
        <f t="shared" si="107"/>
        <v>0.98795668639749823</v>
      </c>
      <c r="J1100" s="3" t="s">
        <v>525</v>
      </c>
    </row>
    <row r="1101" spans="1:10" x14ac:dyDescent="0.25">
      <c r="A1101" s="3" t="s">
        <v>1112</v>
      </c>
      <c r="B1101" s="3" t="str">
        <f t="shared" si="102"/>
        <v>3</v>
      </c>
      <c r="C1101" s="7">
        <f t="shared" si="103"/>
        <v>6.4432989690721648E-4</v>
      </c>
      <c r="D1101" s="8">
        <f t="shared" si="106"/>
        <v>0.70876288659793585</v>
      </c>
      <c r="E1101" s="4">
        <v>1</v>
      </c>
      <c r="F1101" s="5">
        <v>431.51</v>
      </c>
      <c r="G1101" s="10">
        <f t="shared" si="104"/>
        <v>431.51</v>
      </c>
      <c r="H1101" s="7">
        <f t="shared" si="105"/>
        <v>5.227749643330059E-5</v>
      </c>
      <c r="I1101" s="8">
        <f t="shared" si="107"/>
        <v>0.98800896389393156</v>
      </c>
      <c r="J1101" s="3" t="s">
        <v>525</v>
      </c>
    </row>
    <row r="1102" spans="1:10" x14ac:dyDescent="0.25">
      <c r="A1102" s="3" t="s">
        <v>1113</v>
      </c>
      <c r="B1102" s="3" t="str">
        <f t="shared" si="102"/>
        <v>5</v>
      </c>
      <c r="C1102" s="7">
        <f t="shared" si="103"/>
        <v>6.4432989690721648E-4</v>
      </c>
      <c r="D1102" s="8">
        <f t="shared" si="106"/>
        <v>0.70940721649484306</v>
      </c>
      <c r="E1102" s="4">
        <v>5</v>
      </c>
      <c r="F1102" s="5">
        <v>86.28</v>
      </c>
      <c r="G1102" s="10">
        <f t="shared" si="104"/>
        <v>431.4</v>
      </c>
      <c r="H1102" s="7">
        <f t="shared" si="105"/>
        <v>5.2264169918022462E-5</v>
      </c>
      <c r="I1102" s="8">
        <f t="shared" si="107"/>
        <v>0.98806122806384955</v>
      </c>
      <c r="J1102" s="3" t="s">
        <v>525</v>
      </c>
    </row>
    <row r="1103" spans="1:10" x14ac:dyDescent="0.25">
      <c r="A1103" s="3" t="s">
        <v>1114</v>
      </c>
      <c r="B1103" s="3" t="str">
        <f t="shared" si="102"/>
        <v>8</v>
      </c>
      <c r="C1103" s="7">
        <f t="shared" si="103"/>
        <v>6.4432989690721648E-4</v>
      </c>
      <c r="D1103" s="8">
        <f t="shared" si="106"/>
        <v>0.71005154639175028</v>
      </c>
      <c r="E1103" s="4">
        <v>7</v>
      </c>
      <c r="F1103" s="5">
        <v>61.29</v>
      </c>
      <c r="G1103" s="10">
        <f t="shared" si="104"/>
        <v>429.03</v>
      </c>
      <c r="H1103" s="7">
        <f t="shared" si="105"/>
        <v>5.197704408884835E-5</v>
      </c>
      <c r="I1103" s="8">
        <f t="shared" si="107"/>
        <v>0.98811320510793843</v>
      </c>
      <c r="J1103" s="3" t="s">
        <v>525</v>
      </c>
    </row>
    <row r="1104" spans="1:10" x14ac:dyDescent="0.25">
      <c r="A1104" s="3" t="s">
        <v>1115</v>
      </c>
      <c r="B1104" s="3" t="str">
        <f t="shared" si="102"/>
        <v>3</v>
      </c>
      <c r="C1104" s="7">
        <f t="shared" si="103"/>
        <v>6.4432989690721648E-4</v>
      </c>
      <c r="D1104" s="8">
        <f t="shared" si="106"/>
        <v>0.71069587628865749</v>
      </c>
      <c r="E1104" s="4">
        <v>1</v>
      </c>
      <c r="F1104" s="5">
        <v>427.41</v>
      </c>
      <c r="G1104" s="10">
        <f t="shared" si="104"/>
        <v>427.41</v>
      </c>
      <c r="H1104" s="7">
        <f t="shared" si="105"/>
        <v>5.1780780863843261E-5</v>
      </c>
      <c r="I1104" s="8">
        <f t="shared" si="107"/>
        <v>0.98816498588880231</v>
      </c>
      <c r="J1104" s="3" t="s">
        <v>525</v>
      </c>
    </row>
    <row r="1105" spans="1:10" x14ac:dyDescent="0.25">
      <c r="A1105" s="3" t="s">
        <v>1116</v>
      </c>
      <c r="B1105" s="3" t="str">
        <f t="shared" si="102"/>
        <v>9</v>
      </c>
      <c r="C1105" s="7">
        <f t="shared" si="103"/>
        <v>6.4432989690721648E-4</v>
      </c>
      <c r="D1105" s="8">
        <f t="shared" si="106"/>
        <v>0.71134020618556471</v>
      </c>
      <c r="E1105" s="4">
        <v>1</v>
      </c>
      <c r="F1105" s="5">
        <v>427.24</v>
      </c>
      <c r="G1105" s="10">
        <f t="shared" si="104"/>
        <v>427.24</v>
      </c>
      <c r="H1105" s="7">
        <f t="shared" si="105"/>
        <v>5.1760185340231619E-5</v>
      </c>
      <c r="I1105" s="8">
        <f t="shared" si="107"/>
        <v>0.98821674607414256</v>
      </c>
      <c r="J1105" s="3" t="s">
        <v>525</v>
      </c>
    </row>
    <row r="1106" spans="1:10" x14ac:dyDescent="0.25">
      <c r="A1106" s="3" t="s">
        <v>1117</v>
      </c>
      <c r="B1106" s="3" t="str">
        <f t="shared" si="102"/>
        <v>9</v>
      </c>
      <c r="C1106" s="7">
        <f t="shared" si="103"/>
        <v>6.4432989690721648E-4</v>
      </c>
      <c r="D1106" s="8">
        <f t="shared" si="106"/>
        <v>0.71198453608247192</v>
      </c>
      <c r="E1106" s="4">
        <v>2</v>
      </c>
      <c r="F1106" s="5">
        <v>212.72</v>
      </c>
      <c r="G1106" s="10">
        <f t="shared" si="104"/>
        <v>425.44</v>
      </c>
      <c r="H1106" s="7">
        <f t="shared" si="105"/>
        <v>5.154211509022596E-5</v>
      </c>
      <c r="I1106" s="8">
        <f t="shared" si="107"/>
        <v>0.98826828818923274</v>
      </c>
      <c r="J1106" s="3" t="s">
        <v>525</v>
      </c>
    </row>
    <row r="1107" spans="1:10" x14ac:dyDescent="0.25">
      <c r="A1107" s="3" t="s">
        <v>1118</v>
      </c>
      <c r="B1107" s="3" t="str">
        <f t="shared" si="102"/>
        <v>2</v>
      </c>
      <c r="C1107" s="7">
        <f t="shared" si="103"/>
        <v>6.4432989690721648E-4</v>
      </c>
      <c r="D1107" s="8">
        <f t="shared" si="106"/>
        <v>0.71262886597937913</v>
      </c>
      <c r="E1107" s="4">
        <v>7</v>
      </c>
      <c r="F1107" s="5">
        <v>60.74</v>
      </c>
      <c r="G1107" s="10">
        <f t="shared" si="104"/>
        <v>425.18</v>
      </c>
      <c r="H1107" s="7">
        <f t="shared" si="105"/>
        <v>5.1510616054114033E-5</v>
      </c>
      <c r="I1107" s="8">
        <f t="shared" si="107"/>
        <v>0.98831979880528686</v>
      </c>
      <c r="J1107" s="3" t="s">
        <v>525</v>
      </c>
    </row>
    <row r="1108" spans="1:10" x14ac:dyDescent="0.25">
      <c r="A1108" s="3" t="s">
        <v>1119</v>
      </c>
      <c r="B1108" s="3" t="str">
        <f t="shared" si="102"/>
        <v>3</v>
      </c>
      <c r="C1108" s="7">
        <f t="shared" si="103"/>
        <v>6.4432989690721648E-4</v>
      </c>
      <c r="D1108" s="8">
        <f t="shared" si="106"/>
        <v>0.71327319587628635</v>
      </c>
      <c r="E1108" s="4">
        <v>1</v>
      </c>
      <c r="F1108" s="5">
        <v>423.37</v>
      </c>
      <c r="G1108" s="10">
        <f t="shared" si="104"/>
        <v>423.37</v>
      </c>
      <c r="H1108" s="7">
        <f t="shared" si="105"/>
        <v>5.1291334302719453E-5</v>
      </c>
      <c r="I1108" s="8">
        <f t="shared" si="107"/>
        <v>0.98837109013958957</v>
      </c>
      <c r="J1108" s="3" t="s">
        <v>525</v>
      </c>
    </row>
    <row r="1109" spans="1:10" x14ac:dyDescent="0.25">
      <c r="A1109" s="3" t="s">
        <v>1120</v>
      </c>
      <c r="B1109" s="3" t="str">
        <f t="shared" si="102"/>
        <v>8</v>
      </c>
      <c r="C1109" s="7">
        <f t="shared" si="103"/>
        <v>6.4432989690721648E-4</v>
      </c>
      <c r="D1109" s="8">
        <f t="shared" si="106"/>
        <v>0.71391752577319356</v>
      </c>
      <c r="E1109" s="4">
        <v>63</v>
      </c>
      <c r="F1109" s="5">
        <v>6.7</v>
      </c>
      <c r="G1109" s="10">
        <f t="shared" si="104"/>
        <v>422.1</v>
      </c>
      <c r="H1109" s="7">
        <f t="shared" si="105"/>
        <v>5.1137473626326575E-5</v>
      </c>
      <c r="I1109" s="8">
        <f t="shared" si="107"/>
        <v>0.98842222761321585</v>
      </c>
      <c r="J1109" s="3" t="s">
        <v>525</v>
      </c>
    </row>
    <row r="1110" spans="1:10" x14ac:dyDescent="0.25">
      <c r="A1110" s="3" t="s">
        <v>1121</v>
      </c>
      <c r="B1110" s="3" t="str">
        <f t="shared" si="102"/>
        <v>8</v>
      </c>
      <c r="C1110" s="7">
        <f t="shared" si="103"/>
        <v>6.4432989690721648E-4</v>
      </c>
      <c r="D1110" s="8">
        <f t="shared" si="106"/>
        <v>0.71456185567010078</v>
      </c>
      <c r="E1110" s="4">
        <v>16</v>
      </c>
      <c r="F1110" s="5">
        <v>26.31</v>
      </c>
      <c r="G1110" s="10">
        <f t="shared" si="104"/>
        <v>420.96</v>
      </c>
      <c r="H1110" s="7">
        <f t="shared" si="105"/>
        <v>5.0999362467989655E-5</v>
      </c>
      <c r="I1110" s="8">
        <f t="shared" si="107"/>
        <v>0.98847322697568385</v>
      </c>
      <c r="J1110" s="3" t="s">
        <v>525</v>
      </c>
    </row>
    <row r="1111" spans="1:10" x14ac:dyDescent="0.25">
      <c r="A1111" s="3" t="s">
        <v>1122</v>
      </c>
      <c r="B1111" s="3" t="str">
        <f t="shared" si="102"/>
        <v>9</v>
      </c>
      <c r="C1111" s="7">
        <f t="shared" si="103"/>
        <v>6.4432989690721648E-4</v>
      </c>
      <c r="D1111" s="8">
        <f t="shared" si="106"/>
        <v>0.71520618556700799</v>
      </c>
      <c r="E1111" s="4">
        <v>1</v>
      </c>
      <c r="F1111" s="5">
        <v>420.54</v>
      </c>
      <c r="G1111" s="10">
        <f t="shared" si="104"/>
        <v>420.54</v>
      </c>
      <c r="H1111" s="7">
        <f t="shared" si="105"/>
        <v>5.0948479409655008E-5</v>
      </c>
      <c r="I1111" s="8">
        <f t="shared" si="107"/>
        <v>0.98852417545509352</v>
      </c>
      <c r="J1111" s="3" t="s">
        <v>525</v>
      </c>
    </row>
    <row r="1112" spans="1:10" x14ac:dyDescent="0.25">
      <c r="A1112" s="3" t="s">
        <v>1123</v>
      </c>
      <c r="B1112" s="3" t="str">
        <f t="shared" si="102"/>
        <v>3</v>
      </c>
      <c r="C1112" s="7">
        <f t="shared" si="103"/>
        <v>6.4432989690721648E-4</v>
      </c>
      <c r="D1112" s="8">
        <f t="shared" si="106"/>
        <v>0.7158505154639152</v>
      </c>
      <c r="E1112" s="4">
        <v>1</v>
      </c>
      <c r="F1112" s="5">
        <v>417.83</v>
      </c>
      <c r="G1112" s="10">
        <f t="shared" si="104"/>
        <v>417.83</v>
      </c>
      <c r="H1112" s="7">
        <f t="shared" si="105"/>
        <v>5.0620162533257598E-5</v>
      </c>
      <c r="I1112" s="8">
        <f t="shared" si="107"/>
        <v>0.98857479561762673</v>
      </c>
      <c r="J1112" s="3" t="s">
        <v>525</v>
      </c>
    </row>
    <row r="1113" spans="1:10" x14ac:dyDescent="0.25">
      <c r="A1113" s="3" t="s">
        <v>1124</v>
      </c>
      <c r="B1113" s="3" t="str">
        <f t="shared" si="102"/>
        <v>9</v>
      </c>
      <c r="C1113" s="7">
        <f t="shared" si="103"/>
        <v>6.4432989690721648E-4</v>
      </c>
      <c r="D1113" s="8">
        <f t="shared" si="106"/>
        <v>0.71649484536082242</v>
      </c>
      <c r="E1113" s="4">
        <v>6</v>
      </c>
      <c r="F1113" s="5">
        <v>69.62</v>
      </c>
      <c r="G1113" s="10">
        <f t="shared" si="104"/>
        <v>417.72</v>
      </c>
      <c r="H1113" s="7">
        <f t="shared" si="105"/>
        <v>5.0606836017979477E-5</v>
      </c>
      <c r="I1113" s="8">
        <f t="shared" si="107"/>
        <v>0.98862540245364472</v>
      </c>
      <c r="J1113" s="3" t="s">
        <v>525</v>
      </c>
    </row>
    <row r="1114" spans="1:10" x14ac:dyDescent="0.25">
      <c r="A1114" s="3" t="s">
        <v>1125</v>
      </c>
      <c r="B1114" s="3" t="str">
        <f t="shared" si="102"/>
        <v>8</v>
      </c>
      <c r="C1114" s="7">
        <f t="shared" si="103"/>
        <v>6.4432989690721648E-4</v>
      </c>
      <c r="D1114" s="8">
        <f t="shared" si="106"/>
        <v>0.71713917525772963</v>
      </c>
      <c r="E1114" s="4">
        <v>20</v>
      </c>
      <c r="F1114" s="5">
        <v>20.84</v>
      </c>
      <c r="G1114" s="10">
        <f t="shared" si="104"/>
        <v>416.8</v>
      </c>
      <c r="H1114" s="7">
        <f t="shared" si="105"/>
        <v>5.0495377890198805E-5</v>
      </c>
      <c r="I1114" s="8">
        <f t="shared" si="107"/>
        <v>0.98867589783153487</v>
      </c>
      <c r="J1114" s="3" t="s">
        <v>525</v>
      </c>
    </row>
    <row r="1115" spans="1:10" x14ac:dyDescent="0.25">
      <c r="A1115" s="3" t="s">
        <v>1126</v>
      </c>
      <c r="B1115" s="3" t="str">
        <f t="shared" si="102"/>
        <v>8</v>
      </c>
      <c r="C1115" s="7">
        <f t="shared" si="103"/>
        <v>6.4432989690721648E-4</v>
      </c>
      <c r="D1115" s="8">
        <f t="shared" si="106"/>
        <v>0.71778350515463685</v>
      </c>
      <c r="E1115" s="4">
        <v>12</v>
      </c>
      <c r="F1115" s="5">
        <v>34.72</v>
      </c>
      <c r="G1115" s="10">
        <f t="shared" si="104"/>
        <v>416.64</v>
      </c>
      <c r="H1115" s="7">
        <f t="shared" si="105"/>
        <v>5.0475993867976077E-5</v>
      </c>
      <c r="I1115" s="8">
        <f t="shared" si="107"/>
        <v>0.98872637382540285</v>
      </c>
      <c r="J1115" s="3" t="s">
        <v>525</v>
      </c>
    </row>
    <row r="1116" spans="1:10" x14ac:dyDescent="0.25">
      <c r="A1116" s="3" t="s">
        <v>1127</v>
      </c>
      <c r="B1116" s="3" t="str">
        <f t="shared" si="102"/>
        <v>1</v>
      </c>
      <c r="C1116" s="7">
        <f t="shared" si="103"/>
        <v>6.4432989690721648E-4</v>
      </c>
      <c r="D1116" s="8">
        <f t="shared" si="106"/>
        <v>0.71842783505154406</v>
      </c>
      <c r="E1116" s="4">
        <v>1</v>
      </c>
      <c r="F1116" s="5">
        <v>414.58</v>
      </c>
      <c r="G1116" s="10">
        <f t="shared" si="104"/>
        <v>414.58</v>
      </c>
      <c r="H1116" s="7">
        <f t="shared" si="105"/>
        <v>5.0226424581858492E-5</v>
      </c>
      <c r="I1116" s="8">
        <f t="shared" si="107"/>
        <v>0.98877660024998471</v>
      </c>
      <c r="J1116" s="3" t="s">
        <v>525</v>
      </c>
    </row>
    <row r="1117" spans="1:10" x14ac:dyDescent="0.25">
      <c r="A1117" s="3" t="s">
        <v>1128</v>
      </c>
      <c r="B1117" s="3" t="str">
        <f t="shared" si="102"/>
        <v>4</v>
      </c>
      <c r="C1117" s="7">
        <f t="shared" si="103"/>
        <v>6.4432989690721648E-4</v>
      </c>
      <c r="D1117" s="8">
        <f t="shared" si="106"/>
        <v>0.71907216494845128</v>
      </c>
      <c r="E1117" s="4">
        <v>1</v>
      </c>
      <c r="F1117" s="5">
        <v>414.33</v>
      </c>
      <c r="G1117" s="10">
        <f t="shared" si="104"/>
        <v>414.33</v>
      </c>
      <c r="H1117" s="7">
        <f t="shared" si="105"/>
        <v>5.0196137047135486E-5</v>
      </c>
      <c r="I1117" s="8">
        <f t="shared" si="107"/>
        <v>0.98882679638703186</v>
      </c>
      <c r="J1117" s="3" t="s">
        <v>525</v>
      </c>
    </row>
    <row r="1118" spans="1:10" x14ac:dyDescent="0.25">
      <c r="A1118" s="3" t="s">
        <v>1129</v>
      </c>
      <c r="B1118" s="3" t="str">
        <f t="shared" si="102"/>
        <v>2</v>
      </c>
      <c r="C1118" s="7">
        <f t="shared" si="103"/>
        <v>6.4432989690721648E-4</v>
      </c>
      <c r="D1118" s="8">
        <f t="shared" si="106"/>
        <v>0.71971649484535849</v>
      </c>
      <c r="E1118" s="4">
        <v>5</v>
      </c>
      <c r="F1118" s="5">
        <v>82.81</v>
      </c>
      <c r="G1118" s="10">
        <f t="shared" si="104"/>
        <v>414.05</v>
      </c>
      <c r="H1118" s="7">
        <f t="shared" si="105"/>
        <v>5.0162215008245717E-5</v>
      </c>
      <c r="I1118" s="8">
        <f t="shared" si="107"/>
        <v>0.98887695860204006</v>
      </c>
      <c r="J1118" s="3" t="s">
        <v>525</v>
      </c>
    </row>
    <row r="1119" spans="1:10" x14ac:dyDescent="0.25">
      <c r="A1119" s="3" t="s">
        <v>1130</v>
      </c>
      <c r="B1119" s="3" t="str">
        <f t="shared" si="102"/>
        <v>6</v>
      </c>
      <c r="C1119" s="7">
        <f t="shared" si="103"/>
        <v>6.4432989690721648E-4</v>
      </c>
      <c r="D1119" s="8">
        <f t="shared" si="106"/>
        <v>0.7203608247422657</v>
      </c>
      <c r="E1119" s="4">
        <v>7</v>
      </c>
      <c r="F1119" s="5">
        <v>58.93</v>
      </c>
      <c r="G1119" s="10">
        <f t="shared" si="104"/>
        <v>412.51</v>
      </c>
      <c r="H1119" s="7">
        <f t="shared" si="105"/>
        <v>4.9975643794351985E-5</v>
      </c>
      <c r="I1119" s="8">
        <f t="shared" si="107"/>
        <v>0.98892693424583444</v>
      </c>
      <c r="J1119" s="3" t="s">
        <v>525</v>
      </c>
    </row>
    <row r="1120" spans="1:10" x14ac:dyDescent="0.25">
      <c r="A1120" s="3" t="s">
        <v>1131</v>
      </c>
      <c r="B1120" s="3" t="str">
        <f t="shared" si="102"/>
        <v>8</v>
      </c>
      <c r="C1120" s="7">
        <f t="shared" si="103"/>
        <v>6.4432989690721648E-4</v>
      </c>
      <c r="D1120" s="8">
        <f t="shared" si="106"/>
        <v>0.72100515463917292</v>
      </c>
      <c r="E1120" s="4">
        <v>6</v>
      </c>
      <c r="F1120" s="5">
        <v>68.59</v>
      </c>
      <c r="G1120" s="10">
        <f t="shared" si="104"/>
        <v>411.54</v>
      </c>
      <c r="H1120" s="7">
        <f t="shared" si="105"/>
        <v>4.9858128159626719E-5</v>
      </c>
      <c r="I1120" s="8">
        <f t="shared" si="107"/>
        <v>0.98897679237399405</v>
      </c>
      <c r="J1120" s="3" t="s">
        <v>525</v>
      </c>
    </row>
    <row r="1121" spans="1:10" x14ac:dyDescent="0.25">
      <c r="A1121" s="3" t="s">
        <v>1132</v>
      </c>
      <c r="B1121" s="3" t="str">
        <f t="shared" si="102"/>
        <v>7</v>
      </c>
      <c r="C1121" s="7">
        <f t="shared" si="103"/>
        <v>6.4432989690721648E-4</v>
      </c>
      <c r="D1121" s="8">
        <f t="shared" si="106"/>
        <v>0.72164948453608013</v>
      </c>
      <c r="E1121" s="4">
        <v>9</v>
      </c>
      <c r="F1121" s="5">
        <v>45.58</v>
      </c>
      <c r="G1121" s="10">
        <f t="shared" si="104"/>
        <v>410.21999999999997</v>
      </c>
      <c r="H1121" s="7">
        <f t="shared" si="105"/>
        <v>4.9698209976289229E-5</v>
      </c>
      <c r="I1121" s="8">
        <f t="shared" si="107"/>
        <v>0.9890264905839703</v>
      </c>
      <c r="J1121" s="3" t="s">
        <v>525</v>
      </c>
    </row>
    <row r="1122" spans="1:10" x14ac:dyDescent="0.25">
      <c r="A1122" s="3" t="s">
        <v>1133</v>
      </c>
      <c r="B1122" s="3" t="str">
        <f t="shared" si="102"/>
        <v>6</v>
      </c>
      <c r="C1122" s="7">
        <f t="shared" si="103"/>
        <v>6.4432989690721648E-4</v>
      </c>
      <c r="D1122" s="8">
        <f t="shared" si="106"/>
        <v>0.72229381443298735</v>
      </c>
      <c r="E1122" s="4">
        <v>37</v>
      </c>
      <c r="F1122" s="5">
        <v>11.05</v>
      </c>
      <c r="G1122" s="10">
        <f t="shared" si="104"/>
        <v>408.85</v>
      </c>
      <c r="H1122" s="7">
        <f t="shared" si="105"/>
        <v>4.9532234286007152E-5</v>
      </c>
      <c r="I1122" s="8">
        <f t="shared" si="107"/>
        <v>0.98907602281825635</v>
      </c>
      <c r="J1122" s="3" t="s">
        <v>525</v>
      </c>
    </row>
    <row r="1123" spans="1:10" x14ac:dyDescent="0.25">
      <c r="A1123" s="3" t="s">
        <v>1134</v>
      </c>
      <c r="B1123" s="3" t="str">
        <f t="shared" si="102"/>
        <v>3</v>
      </c>
      <c r="C1123" s="7">
        <f t="shared" si="103"/>
        <v>6.4432989690721648E-4</v>
      </c>
      <c r="D1123" s="8">
        <f t="shared" si="106"/>
        <v>0.72293814432989456</v>
      </c>
      <c r="E1123" s="4">
        <v>1</v>
      </c>
      <c r="F1123" s="5">
        <v>407.83</v>
      </c>
      <c r="G1123" s="10">
        <f t="shared" si="104"/>
        <v>407.83</v>
      </c>
      <c r="H1123" s="7">
        <f t="shared" si="105"/>
        <v>4.9408661144337281E-5</v>
      </c>
      <c r="I1123" s="8">
        <f t="shared" si="107"/>
        <v>0.98912543147940069</v>
      </c>
      <c r="J1123" s="3" t="s">
        <v>525</v>
      </c>
    </row>
    <row r="1124" spans="1:10" x14ac:dyDescent="0.25">
      <c r="A1124" s="3" t="s">
        <v>1135</v>
      </c>
      <c r="B1124" s="3" t="str">
        <f t="shared" si="102"/>
        <v>7</v>
      </c>
      <c r="C1124" s="7">
        <f t="shared" si="103"/>
        <v>6.4432989690721648E-4</v>
      </c>
      <c r="D1124" s="8">
        <f t="shared" si="106"/>
        <v>0.72358247422680178</v>
      </c>
      <c r="E1124" s="4">
        <v>3</v>
      </c>
      <c r="F1124" s="5">
        <v>135.47999999999999</v>
      </c>
      <c r="G1124" s="10">
        <f t="shared" si="104"/>
        <v>406.43999999999994</v>
      </c>
      <c r="H1124" s="7">
        <f t="shared" si="105"/>
        <v>4.9240262451277348E-5</v>
      </c>
      <c r="I1124" s="8">
        <f t="shared" si="107"/>
        <v>0.98917467174185192</v>
      </c>
      <c r="J1124" s="3" t="s">
        <v>525</v>
      </c>
    </row>
    <row r="1125" spans="1:10" x14ac:dyDescent="0.25">
      <c r="A1125" s="3" t="s">
        <v>1136</v>
      </c>
      <c r="B1125" s="3" t="str">
        <f t="shared" si="102"/>
        <v>8</v>
      </c>
      <c r="C1125" s="7">
        <f t="shared" si="103"/>
        <v>6.4432989690721648E-4</v>
      </c>
      <c r="D1125" s="8">
        <f t="shared" si="106"/>
        <v>0.72422680412370899</v>
      </c>
      <c r="E1125" s="4">
        <v>76</v>
      </c>
      <c r="F1125" s="5">
        <v>5.34</v>
      </c>
      <c r="G1125" s="10">
        <f t="shared" si="104"/>
        <v>405.84</v>
      </c>
      <c r="H1125" s="7">
        <f t="shared" si="105"/>
        <v>4.916757236794213E-5</v>
      </c>
      <c r="I1125" s="8">
        <f t="shared" si="107"/>
        <v>0.98922383931421987</v>
      </c>
      <c r="J1125" s="3" t="s">
        <v>525</v>
      </c>
    </row>
    <row r="1126" spans="1:10" x14ac:dyDescent="0.25">
      <c r="A1126" s="3" t="s">
        <v>1137</v>
      </c>
      <c r="B1126" s="3" t="str">
        <f t="shared" si="102"/>
        <v>4</v>
      </c>
      <c r="C1126" s="7">
        <f t="shared" si="103"/>
        <v>6.4432989690721648E-4</v>
      </c>
      <c r="D1126" s="8">
        <f t="shared" si="106"/>
        <v>0.7248711340206162</v>
      </c>
      <c r="E1126" s="4">
        <v>1</v>
      </c>
      <c r="F1126" s="5">
        <v>404.29</v>
      </c>
      <c r="G1126" s="10">
        <f t="shared" si="104"/>
        <v>404.29</v>
      </c>
      <c r="H1126" s="7">
        <f t="shared" si="105"/>
        <v>4.8979789652659491E-5</v>
      </c>
      <c r="I1126" s="8">
        <f t="shared" si="107"/>
        <v>0.98927281910387255</v>
      </c>
      <c r="J1126" s="3" t="s">
        <v>525</v>
      </c>
    </row>
    <row r="1127" spans="1:10" x14ac:dyDescent="0.25">
      <c r="A1127" s="3" t="s">
        <v>1138</v>
      </c>
      <c r="B1127" s="3" t="str">
        <f t="shared" si="102"/>
        <v>3</v>
      </c>
      <c r="C1127" s="7">
        <f t="shared" si="103"/>
        <v>6.4432989690721648E-4</v>
      </c>
      <c r="D1127" s="8">
        <f t="shared" si="106"/>
        <v>0.72551546391752342</v>
      </c>
      <c r="E1127" s="4">
        <v>1</v>
      </c>
      <c r="F1127" s="5">
        <v>403.12</v>
      </c>
      <c r="G1127" s="10">
        <f t="shared" si="104"/>
        <v>403.12</v>
      </c>
      <c r="H1127" s="7">
        <f t="shared" si="105"/>
        <v>4.8838043990155813E-5</v>
      </c>
      <c r="I1127" s="8">
        <f t="shared" si="107"/>
        <v>0.98932165714786269</v>
      </c>
      <c r="J1127" s="3" t="s">
        <v>525</v>
      </c>
    </row>
    <row r="1128" spans="1:10" x14ac:dyDescent="0.25">
      <c r="A1128" s="3" t="s">
        <v>1139</v>
      </c>
      <c r="B1128" s="3" t="str">
        <f t="shared" si="102"/>
        <v>9</v>
      </c>
      <c r="C1128" s="7">
        <f t="shared" si="103"/>
        <v>6.4432989690721648E-4</v>
      </c>
      <c r="D1128" s="8">
        <f t="shared" si="106"/>
        <v>0.72615979381443063</v>
      </c>
      <c r="E1128" s="4">
        <v>1</v>
      </c>
      <c r="F1128" s="5">
        <v>402.96</v>
      </c>
      <c r="G1128" s="10">
        <f t="shared" si="104"/>
        <v>402.96</v>
      </c>
      <c r="H1128" s="7">
        <f t="shared" si="105"/>
        <v>4.8818659967933086E-5</v>
      </c>
      <c r="I1128" s="8">
        <f t="shared" si="107"/>
        <v>0.98937047580783066</v>
      </c>
      <c r="J1128" s="3" t="s">
        <v>525</v>
      </c>
    </row>
    <row r="1129" spans="1:10" x14ac:dyDescent="0.25">
      <c r="A1129" s="3" t="s">
        <v>1140</v>
      </c>
      <c r="B1129" s="3" t="str">
        <f t="shared" si="102"/>
        <v>1</v>
      </c>
      <c r="C1129" s="7">
        <f t="shared" si="103"/>
        <v>6.4432989690721648E-4</v>
      </c>
      <c r="D1129" s="8">
        <f t="shared" si="106"/>
        <v>0.72680412371133785</v>
      </c>
      <c r="E1129" s="4">
        <v>1</v>
      </c>
      <c r="F1129" s="5">
        <v>401.97</v>
      </c>
      <c r="G1129" s="10">
        <f t="shared" si="104"/>
        <v>401.97</v>
      </c>
      <c r="H1129" s="7">
        <f t="shared" si="105"/>
        <v>4.8698721330429978E-5</v>
      </c>
      <c r="I1129" s="8">
        <f t="shared" si="107"/>
        <v>0.98941917452916106</v>
      </c>
      <c r="J1129" s="3" t="s">
        <v>525</v>
      </c>
    </row>
    <row r="1130" spans="1:10" x14ac:dyDescent="0.25">
      <c r="A1130" s="3" t="s">
        <v>1141</v>
      </c>
      <c r="B1130" s="3" t="str">
        <f t="shared" si="102"/>
        <v>3</v>
      </c>
      <c r="C1130" s="7">
        <f t="shared" si="103"/>
        <v>6.4432989690721648E-4</v>
      </c>
      <c r="D1130" s="8">
        <f t="shared" si="106"/>
        <v>0.72744845360824506</v>
      </c>
      <c r="E1130" s="4">
        <v>1</v>
      </c>
      <c r="F1130" s="5">
        <v>399.72</v>
      </c>
      <c r="G1130" s="10">
        <f t="shared" si="104"/>
        <v>399.72</v>
      </c>
      <c r="H1130" s="7">
        <f t="shared" si="105"/>
        <v>4.8426133517922908E-5</v>
      </c>
      <c r="I1130" s="8">
        <f t="shared" si="107"/>
        <v>0.98946760066267903</v>
      </c>
      <c r="J1130" s="3" t="s">
        <v>525</v>
      </c>
    </row>
    <row r="1131" spans="1:10" x14ac:dyDescent="0.25">
      <c r="A1131" s="3" t="s">
        <v>1142</v>
      </c>
      <c r="B1131" s="3" t="str">
        <f t="shared" si="102"/>
        <v>4</v>
      </c>
      <c r="C1131" s="7">
        <f t="shared" si="103"/>
        <v>6.4432989690721648E-4</v>
      </c>
      <c r="D1131" s="8">
        <f t="shared" si="106"/>
        <v>0.72809278350515227</v>
      </c>
      <c r="E1131" s="4">
        <v>3</v>
      </c>
      <c r="F1131" s="5">
        <v>132.77000000000001</v>
      </c>
      <c r="G1131" s="10">
        <f t="shared" si="104"/>
        <v>398.31000000000006</v>
      </c>
      <c r="H1131" s="7">
        <f t="shared" si="105"/>
        <v>4.8255311822085146E-5</v>
      </c>
      <c r="I1131" s="8">
        <f t="shared" si="107"/>
        <v>0.98951585597450109</v>
      </c>
      <c r="J1131" s="3" t="s">
        <v>525</v>
      </c>
    </row>
    <row r="1132" spans="1:10" x14ac:dyDescent="0.25">
      <c r="A1132" s="3" t="s">
        <v>1143</v>
      </c>
      <c r="B1132" s="3" t="str">
        <f t="shared" si="102"/>
        <v>8</v>
      </c>
      <c r="C1132" s="7">
        <f t="shared" si="103"/>
        <v>6.4432989690721648E-4</v>
      </c>
      <c r="D1132" s="8">
        <f t="shared" si="106"/>
        <v>0.72873711340205949</v>
      </c>
      <c r="E1132" s="4">
        <v>18</v>
      </c>
      <c r="F1132" s="5">
        <v>22.07</v>
      </c>
      <c r="G1132" s="10">
        <f t="shared" si="104"/>
        <v>397.26</v>
      </c>
      <c r="H1132" s="7">
        <f t="shared" si="105"/>
        <v>4.8128104176248503E-5</v>
      </c>
      <c r="I1132" s="8">
        <f t="shared" si="107"/>
        <v>0.98956398407867729</v>
      </c>
      <c r="J1132" s="3" t="s">
        <v>525</v>
      </c>
    </row>
    <row r="1133" spans="1:10" x14ac:dyDescent="0.25">
      <c r="A1133" s="3" t="s">
        <v>1144</v>
      </c>
      <c r="B1133" s="3" t="str">
        <f t="shared" si="102"/>
        <v>9</v>
      </c>
      <c r="C1133" s="7">
        <f t="shared" si="103"/>
        <v>6.4432989690721648E-4</v>
      </c>
      <c r="D1133" s="8">
        <f t="shared" si="106"/>
        <v>0.7293814432989667</v>
      </c>
      <c r="E1133" s="4">
        <v>1</v>
      </c>
      <c r="F1133" s="5">
        <v>396.76</v>
      </c>
      <c r="G1133" s="10">
        <f t="shared" si="104"/>
        <v>396.76</v>
      </c>
      <c r="H1133" s="7">
        <f t="shared" si="105"/>
        <v>4.8067529106802485E-5</v>
      </c>
      <c r="I1133" s="8">
        <f t="shared" si="107"/>
        <v>0.98961205160778409</v>
      </c>
      <c r="J1133" s="3" t="s">
        <v>525</v>
      </c>
    </row>
    <row r="1134" spans="1:10" x14ac:dyDescent="0.25">
      <c r="A1134" s="3" t="s">
        <v>1145</v>
      </c>
      <c r="B1134" s="3" t="str">
        <f t="shared" si="102"/>
        <v>4</v>
      </c>
      <c r="C1134" s="7">
        <f t="shared" si="103"/>
        <v>6.4432989690721648E-4</v>
      </c>
      <c r="D1134" s="8">
        <f t="shared" si="106"/>
        <v>0.73002577319587392</v>
      </c>
      <c r="E1134" s="4">
        <v>2</v>
      </c>
      <c r="F1134" s="5">
        <v>198.21</v>
      </c>
      <c r="G1134" s="10">
        <f t="shared" si="104"/>
        <v>396.42</v>
      </c>
      <c r="H1134" s="7">
        <f t="shared" si="105"/>
        <v>4.8026338059579202E-5</v>
      </c>
      <c r="I1134" s="8">
        <f t="shared" si="107"/>
        <v>0.98966007794584365</v>
      </c>
      <c r="J1134" s="3" t="s">
        <v>525</v>
      </c>
    </row>
    <row r="1135" spans="1:10" x14ac:dyDescent="0.25">
      <c r="A1135" s="3" t="s">
        <v>1146</v>
      </c>
      <c r="B1135" s="3" t="str">
        <f t="shared" si="102"/>
        <v>6</v>
      </c>
      <c r="C1135" s="7">
        <f t="shared" si="103"/>
        <v>6.4432989690721648E-4</v>
      </c>
      <c r="D1135" s="8">
        <f t="shared" si="106"/>
        <v>0.73067010309278113</v>
      </c>
      <c r="E1135" s="4">
        <v>16</v>
      </c>
      <c r="F1135" s="5">
        <v>24.75</v>
      </c>
      <c r="G1135" s="10">
        <f t="shared" si="104"/>
        <v>396</v>
      </c>
      <c r="H1135" s="7">
        <f t="shared" si="105"/>
        <v>4.7975455001244547E-5</v>
      </c>
      <c r="I1135" s="8">
        <f t="shared" si="107"/>
        <v>0.98970805340084489</v>
      </c>
      <c r="J1135" s="3" t="s">
        <v>525</v>
      </c>
    </row>
    <row r="1136" spans="1:10" x14ac:dyDescent="0.25">
      <c r="A1136" s="3" t="s">
        <v>1147</v>
      </c>
      <c r="B1136" s="3" t="str">
        <f t="shared" si="102"/>
        <v>9</v>
      </c>
      <c r="C1136" s="7">
        <f t="shared" si="103"/>
        <v>6.4432989690721648E-4</v>
      </c>
      <c r="D1136" s="8">
        <f t="shared" si="106"/>
        <v>0.73131443298968835</v>
      </c>
      <c r="E1136" s="4">
        <v>1</v>
      </c>
      <c r="F1136" s="5">
        <v>394.71</v>
      </c>
      <c r="G1136" s="10">
        <f t="shared" si="104"/>
        <v>394.71</v>
      </c>
      <c r="H1136" s="7">
        <f t="shared" si="105"/>
        <v>4.7819171322073821E-5</v>
      </c>
      <c r="I1136" s="8">
        <f t="shared" si="107"/>
        <v>0.98975587257216702</v>
      </c>
      <c r="J1136" s="3" t="s">
        <v>525</v>
      </c>
    </row>
    <row r="1137" spans="1:10" x14ac:dyDescent="0.25">
      <c r="A1137" s="3" t="s">
        <v>1148</v>
      </c>
      <c r="B1137" s="3" t="str">
        <f t="shared" si="102"/>
        <v>6</v>
      </c>
      <c r="C1137" s="7">
        <f t="shared" si="103"/>
        <v>6.4432989690721648E-4</v>
      </c>
      <c r="D1137" s="8">
        <f t="shared" si="106"/>
        <v>0.73195876288659556</v>
      </c>
      <c r="E1137" s="4">
        <v>10</v>
      </c>
      <c r="F1137" s="5">
        <v>39.24</v>
      </c>
      <c r="G1137" s="10">
        <f t="shared" si="104"/>
        <v>392.40000000000003</v>
      </c>
      <c r="H1137" s="7">
        <f t="shared" si="105"/>
        <v>4.7539314501233236E-5</v>
      </c>
      <c r="I1137" s="8">
        <f t="shared" si="107"/>
        <v>0.98980341188666821</v>
      </c>
      <c r="J1137" s="3" t="s">
        <v>525</v>
      </c>
    </row>
    <row r="1138" spans="1:10" x14ac:dyDescent="0.25">
      <c r="A1138" s="3" t="s">
        <v>1149</v>
      </c>
      <c r="B1138" s="3" t="str">
        <f t="shared" si="102"/>
        <v>8</v>
      </c>
      <c r="C1138" s="7">
        <f t="shared" si="103"/>
        <v>6.4432989690721648E-4</v>
      </c>
      <c r="D1138" s="8">
        <f t="shared" si="106"/>
        <v>0.73260309278350277</v>
      </c>
      <c r="E1138" s="4">
        <v>19</v>
      </c>
      <c r="F1138" s="5">
        <v>20.53</v>
      </c>
      <c r="G1138" s="10">
        <f t="shared" si="104"/>
        <v>390.07000000000005</v>
      </c>
      <c r="H1138" s="7">
        <f t="shared" si="105"/>
        <v>4.7257034677614802E-5</v>
      </c>
      <c r="I1138" s="8">
        <f t="shared" si="107"/>
        <v>0.98985066892134577</v>
      </c>
      <c r="J1138" s="3" t="s">
        <v>525</v>
      </c>
    </row>
    <row r="1139" spans="1:10" x14ac:dyDescent="0.25">
      <c r="A1139" s="3" t="s">
        <v>1150</v>
      </c>
      <c r="B1139" s="3" t="str">
        <f t="shared" si="102"/>
        <v>8</v>
      </c>
      <c r="C1139" s="7">
        <f t="shared" si="103"/>
        <v>6.4432989690721648E-4</v>
      </c>
      <c r="D1139" s="8">
        <f t="shared" si="106"/>
        <v>0.73324742268040999</v>
      </c>
      <c r="E1139" s="4">
        <v>11</v>
      </c>
      <c r="F1139" s="5">
        <v>35.39</v>
      </c>
      <c r="G1139" s="10">
        <f t="shared" si="104"/>
        <v>389.29</v>
      </c>
      <c r="H1139" s="7">
        <f t="shared" si="105"/>
        <v>4.7162537569279015E-5</v>
      </c>
      <c r="I1139" s="8">
        <f t="shared" si="107"/>
        <v>0.98989783145891508</v>
      </c>
      <c r="J1139" s="3" t="s">
        <v>525</v>
      </c>
    </row>
    <row r="1140" spans="1:10" x14ac:dyDescent="0.25">
      <c r="A1140" s="3" t="s">
        <v>1151</v>
      </c>
      <c r="B1140" s="3" t="str">
        <f t="shared" si="102"/>
        <v>8</v>
      </c>
      <c r="C1140" s="7">
        <f t="shared" si="103"/>
        <v>6.4432989690721648E-4</v>
      </c>
      <c r="D1140" s="8">
        <f t="shared" si="106"/>
        <v>0.7338917525773172</v>
      </c>
      <c r="E1140" s="4">
        <v>19</v>
      </c>
      <c r="F1140" s="5">
        <v>20.47</v>
      </c>
      <c r="G1140" s="10">
        <f t="shared" si="104"/>
        <v>388.92999999999995</v>
      </c>
      <c r="H1140" s="7">
        <f t="shared" si="105"/>
        <v>4.7118923519277875E-5</v>
      </c>
      <c r="I1140" s="8">
        <f t="shared" si="107"/>
        <v>0.98994495038243435</v>
      </c>
      <c r="J1140" s="3" t="s">
        <v>525</v>
      </c>
    </row>
    <row r="1141" spans="1:10" x14ac:dyDescent="0.25">
      <c r="A1141" s="3" t="s">
        <v>1152</v>
      </c>
      <c r="B1141" s="3" t="str">
        <f t="shared" si="102"/>
        <v>5</v>
      </c>
      <c r="C1141" s="7">
        <f t="shared" si="103"/>
        <v>6.4432989690721648E-4</v>
      </c>
      <c r="D1141" s="8">
        <f t="shared" si="106"/>
        <v>0.73453608247422442</v>
      </c>
      <c r="E1141" s="4">
        <v>2</v>
      </c>
      <c r="F1141" s="5">
        <v>194.2</v>
      </c>
      <c r="G1141" s="10">
        <f t="shared" si="104"/>
        <v>388.4</v>
      </c>
      <c r="H1141" s="7">
        <f t="shared" si="105"/>
        <v>4.70547139456651E-5</v>
      </c>
      <c r="I1141" s="8">
        <f t="shared" si="107"/>
        <v>0.98999200509637997</v>
      </c>
      <c r="J1141" s="3" t="s">
        <v>525</v>
      </c>
    </row>
    <row r="1142" spans="1:10" x14ac:dyDescent="0.25">
      <c r="A1142" s="3" t="s">
        <v>1153</v>
      </c>
      <c r="B1142" s="3" t="str">
        <f t="shared" si="102"/>
        <v>4</v>
      </c>
      <c r="C1142" s="7">
        <f t="shared" si="103"/>
        <v>6.4432989690721648E-4</v>
      </c>
      <c r="D1142" s="8">
        <f t="shared" si="106"/>
        <v>0.73518041237113163</v>
      </c>
      <c r="E1142" s="4">
        <v>1</v>
      </c>
      <c r="F1142" s="5">
        <v>388.34</v>
      </c>
      <c r="G1142" s="10">
        <f t="shared" si="104"/>
        <v>388.34</v>
      </c>
      <c r="H1142" s="7">
        <f t="shared" si="105"/>
        <v>4.7047444937331579E-5</v>
      </c>
      <c r="I1142" s="8">
        <f t="shared" si="107"/>
        <v>0.9900390525413173</v>
      </c>
      <c r="J1142" s="3" t="s">
        <v>525</v>
      </c>
    </row>
    <row r="1143" spans="1:10" x14ac:dyDescent="0.25">
      <c r="A1143" s="3" t="s">
        <v>1154</v>
      </c>
      <c r="B1143" s="3" t="str">
        <f t="shared" si="102"/>
        <v>9</v>
      </c>
      <c r="C1143" s="7">
        <f t="shared" si="103"/>
        <v>6.4432989690721648E-4</v>
      </c>
      <c r="D1143" s="8">
        <f t="shared" si="106"/>
        <v>0.73582474226803884</v>
      </c>
      <c r="E1143" s="4">
        <v>3</v>
      </c>
      <c r="F1143" s="5">
        <v>129.19</v>
      </c>
      <c r="G1143" s="10">
        <f t="shared" si="104"/>
        <v>387.57</v>
      </c>
      <c r="H1143" s="7">
        <f t="shared" si="105"/>
        <v>4.695415933038472E-5</v>
      </c>
      <c r="I1143" s="8">
        <f t="shared" si="107"/>
        <v>0.99008600670064772</v>
      </c>
      <c r="J1143" s="3" t="s">
        <v>525</v>
      </c>
    </row>
    <row r="1144" spans="1:10" x14ac:dyDescent="0.25">
      <c r="A1144" s="3" t="s">
        <v>1155</v>
      </c>
      <c r="B1144" s="3" t="str">
        <f t="shared" si="102"/>
        <v>3</v>
      </c>
      <c r="C1144" s="7">
        <f t="shared" si="103"/>
        <v>6.4432989690721648E-4</v>
      </c>
      <c r="D1144" s="8">
        <f t="shared" si="106"/>
        <v>0.73646907216494606</v>
      </c>
      <c r="E1144" s="4">
        <v>2</v>
      </c>
      <c r="F1144" s="5">
        <v>192.69</v>
      </c>
      <c r="G1144" s="10">
        <f t="shared" si="104"/>
        <v>385.38</v>
      </c>
      <c r="H1144" s="7">
        <f t="shared" si="105"/>
        <v>4.668884052621117E-5</v>
      </c>
      <c r="I1144" s="8">
        <f t="shared" si="107"/>
        <v>0.99013269554117389</v>
      </c>
      <c r="J1144" s="3" t="s">
        <v>525</v>
      </c>
    </row>
    <row r="1145" spans="1:10" x14ac:dyDescent="0.25">
      <c r="A1145" s="3" t="s">
        <v>1156</v>
      </c>
      <c r="B1145" s="3" t="str">
        <f t="shared" si="102"/>
        <v>4</v>
      </c>
      <c r="C1145" s="7">
        <f t="shared" si="103"/>
        <v>6.4432989690721648E-4</v>
      </c>
      <c r="D1145" s="8">
        <f t="shared" si="106"/>
        <v>0.73711340206185327</v>
      </c>
      <c r="E1145" s="4">
        <v>1</v>
      </c>
      <c r="F1145" s="5">
        <v>385.24</v>
      </c>
      <c r="G1145" s="10">
        <f t="shared" si="104"/>
        <v>385.24</v>
      </c>
      <c r="H1145" s="7">
        <f t="shared" si="105"/>
        <v>4.6671879506766286E-5</v>
      </c>
      <c r="I1145" s="8">
        <f t="shared" si="107"/>
        <v>0.99017936742068069</v>
      </c>
      <c r="J1145" s="3" t="s">
        <v>525</v>
      </c>
    </row>
    <row r="1146" spans="1:10" x14ac:dyDescent="0.25">
      <c r="A1146" s="3" t="s">
        <v>1157</v>
      </c>
      <c r="B1146" s="3" t="str">
        <f t="shared" si="102"/>
        <v>4</v>
      </c>
      <c r="C1146" s="7">
        <f t="shared" si="103"/>
        <v>6.4432989690721648E-4</v>
      </c>
      <c r="D1146" s="8">
        <f t="shared" si="106"/>
        <v>0.73775773195876049</v>
      </c>
      <c r="E1146" s="4">
        <v>10</v>
      </c>
      <c r="F1146" s="5">
        <v>38.450000000000003</v>
      </c>
      <c r="G1146" s="10">
        <f t="shared" si="104"/>
        <v>384.5</v>
      </c>
      <c r="H1146" s="7">
        <f t="shared" si="105"/>
        <v>4.6582228403986183E-5</v>
      </c>
      <c r="I1146" s="8">
        <f t="shared" si="107"/>
        <v>0.99022594964908472</v>
      </c>
      <c r="J1146" s="3" t="s">
        <v>525</v>
      </c>
    </row>
    <row r="1147" spans="1:10" x14ac:dyDescent="0.25">
      <c r="A1147" s="3" t="s">
        <v>1158</v>
      </c>
      <c r="B1147" s="3" t="str">
        <f t="shared" si="102"/>
        <v>8</v>
      </c>
      <c r="C1147" s="7">
        <f t="shared" si="103"/>
        <v>6.4432989690721648E-4</v>
      </c>
      <c r="D1147" s="8">
        <f t="shared" si="106"/>
        <v>0.7384020618556677</v>
      </c>
      <c r="E1147" s="4">
        <v>8</v>
      </c>
      <c r="F1147" s="5">
        <v>48.01</v>
      </c>
      <c r="G1147" s="10">
        <f t="shared" si="104"/>
        <v>384.08</v>
      </c>
      <c r="H1147" s="7">
        <f t="shared" si="105"/>
        <v>4.6531345345651522E-5</v>
      </c>
      <c r="I1147" s="8">
        <f t="shared" si="107"/>
        <v>0.99027248099443033</v>
      </c>
      <c r="J1147" s="3" t="s">
        <v>525</v>
      </c>
    </row>
    <row r="1148" spans="1:10" x14ac:dyDescent="0.25">
      <c r="A1148" s="3" t="s">
        <v>1159</v>
      </c>
      <c r="B1148" s="3" t="str">
        <f t="shared" si="102"/>
        <v>9</v>
      </c>
      <c r="C1148" s="7">
        <f t="shared" si="103"/>
        <v>6.4432989690721648E-4</v>
      </c>
      <c r="D1148" s="8">
        <f t="shared" si="106"/>
        <v>0.73904639175257492</v>
      </c>
      <c r="E1148" s="4">
        <v>1</v>
      </c>
      <c r="F1148" s="5">
        <v>382.38</v>
      </c>
      <c r="G1148" s="10">
        <f t="shared" si="104"/>
        <v>382.38</v>
      </c>
      <c r="H1148" s="7">
        <f t="shared" si="105"/>
        <v>4.632539010953507E-5</v>
      </c>
      <c r="I1148" s="8">
        <f t="shared" si="107"/>
        <v>0.99031880638453984</v>
      </c>
      <c r="J1148" s="3" t="s">
        <v>525</v>
      </c>
    </row>
    <row r="1149" spans="1:10" x14ac:dyDescent="0.25">
      <c r="A1149" s="3" t="s">
        <v>1160</v>
      </c>
      <c r="B1149" s="3" t="str">
        <f t="shared" si="102"/>
        <v>1</v>
      </c>
      <c r="C1149" s="7">
        <f t="shared" si="103"/>
        <v>6.4432989690721648E-4</v>
      </c>
      <c r="D1149" s="8">
        <f t="shared" si="106"/>
        <v>0.73969072164948213</v>
      </c>
      <c r="E1149" s="4">
        <v>1</v>
      </c>
      <c r="F1149" s="5">
        <v>380.09</v>
      </c>
      <c r="G1149" s="10">
        <f t="shared" si="104"/>
        <v>380.09</v>
      </c>
      <c r="H1149" s="7">
        <f t="shared" si="105"/>
        <v>4.6047956291472321E-5</v>
      </c>
      <c r="I1149" s="8">
        <f t="shared" si="107"/>
        <v>0.99036485434083132</v>
      </c>
      <c r="J1149" s="3" t="s">
        <v>525</v>
      </c>
    </row>
    <row r="1150" spans="1:10" x14ac:dyDescent="0.25">
      <c r="A1150" s="3" t="s">
        <v>1161</v>
      </c>
      <c r="B1150" s="3" t="str">
        <f t="shared" si="102"/>
        <v>2</v>
      </c>
      <c r="C1150" s="7">
        <f t="shared" si="103"/>
        <v>6.4432989690721648E-4</v>
      </c>
      <c r="D1150" s="8">
        <f t="shared" si="106"/>
        <v>0.74033505154638934</v>
      </c>
      <c r="E1150" s="4">
        <v>59</v>
      </c>
      <c r="F1150" s="5">
        <v>6.42</v>
      </c>
      <c r="G1150" s="10">
        <f t="shared" si="104"/>
        <v>378.78</v>
      </c>
      <c r="H1150" s="7">
        <f t="shared" si="105"/>
        <v>4.5889249609523759E-5</v>
      </c>
      <c r="I1150" s="8">
        <f t="shared" si="107"/>
        <v>0.9904107435904409</v>
      </c>
      <c r="J1150" s="3" t="s">
        <v>525</v>
      </c>
    </row>
    <row r="1151" spans="1:10" x14ac:dyDescent="0.25">
      <c r="A1151" s="3" t="s">
        <v>1162</v>
      </c>
      <c r="B1151" s="3" t="str">
        <f t="shared" si="102"/>
        <v>6</v>
      </c>
      <c r="C1151" s="7">
        <f t="shared" si="103"/>
        <v>6.4432989690721648E-4</v>
      </c>
      <c r="D1151" s="8">
        <f t="shared" si="106"/>
        <v>0.74097938144329656</v>
      </c>
      <c r="E1151" s="4">
        <v>81</v>
      </c>
      <c r="F1151" s="5">
        <v>4.67</v>
      </c>
      <c r="G1151" s="10">
        <f t="shared" si="104"/>
        <v>378.27</v>
      </c>
      <c r="H1151" s="7">
        <f t="shared" si="105"/>
        <v>4.5827463038688819E-5</v>
      </c>
      <c r="I1151" s="8">
        <f t="shared" si="107"/>
        <v>0.99045657105347962</v>
      </c>
      <c r="J1151" s="3" t="s">
        <v>525</v>
      </c>
    </row>
    <row r="1152" spans="1:10" x14ac:dyDescent="0.25">
      <c r="A1152" s="3" t="s">
        <v>1163</v>
      </c>
      <c r="B1152" s="3" t="str">
        <f t="shared" si="102"/>
        <v>7</v>
      </c>
      <c r="C1152" s="7">
        <f t="shared" si="103"/>
        <v>6.4432989690721648E-4</v>
      </c>
      <c r="D1152" s="8">
        <f t="shared" si="106"/>
        <v>0.74162371134020377</v>
      </c>
      <c r="E1152" s="4">
        <v>4</v>
      </c>
      <c r="F1152" s="5">
        <v>94.56</v>
      </c>
      <c r="G1152" s="10">
        <f t="shared" si="104"/>
        <v>378.24</v>
      </c>
      <c r="H1152" s="7">
        <f t="shared" si="105"/>
        <v>4.5823828534522062E-5</v>
      </c>
      <c r="I1152" s="8">
        <f t="shared" si="107"/>
        <v>0.99050239488201419</v>
      </c>
      <c r="J1152" s="3" t="s">
        <v>525</v>
      </c>
    </row>
    <row r="1153" spans="1:10" x14ac:dyDescent="0.25">
      <c r="A1153" s="3" t="s">
        <v>1164</v>
      </c>
      <c r="B1153" s="3" t="str">
        <f t="shared" si="102"/>
        <v>1</v>
      </c>
      <c r="C1153" s="7">
        <f t="shared" si="103"/>
        <v>6.4432989690721648E-4</v>
      </c>
      <c r="D1153" s="8">
        <f t="shared" si="106"/>
        <v>0.74226804123711099</v>
      </c>
      <c r="E1153" s="4">
        <v>1</v>
      </c>
      <c r="F1153" s="5">
        <v>377.19</v>
      </c>
      <c r="G1153" s="10">
        <f t="shared" si="104"/>
        <v>377.19</v>
      </c>
      <c r="H1153" s="7">
        <f t="shared" si="105"/>
        <v>4.5696620888685427E-5</v>
      </c>
      <c r="I1153" s="8">
        <f t="shared" si="107"/>
        <v>0.99054809150290291</v>
      </c>
      <c r="J1153" s="3" t="s">
        <v>525</v>
      </c>
    </row>
    <row r="1154" spans="1:10" x14ac:dyDescent="0.25">
      <c r="A1154" s="3" t="s">
        <v>1165</v>
      </c>
      <c r="B1154" s="3" t="str">
        <f t="shared" ref="B1154:B1217" si="108">RIGHT(A1154,1)</f>
        <v>4</v>
      </c>
      <c r="C1154" s="7">
        <f t="shared" ref="C1154:C1217" si="109">1/COUNTA(A$2:A$1553)</f>
        <v>6.4432989690721648E-4</v>
      </c>
      <c r="D1154" s="8">
        <f t="shared" si="106"/>
        <v>0.7429123711340182</v>
      </c>
      <c r="E1154" s="4">
        <v>2</v>
      </c>
      <c r="F1154" s="5">
        <v>187.54</v>
      </c>
      <c r="G1154" s="10">
        <f t="shared" ref="G1154:G1217" si="110">E1154*F1154</f>
        <v>375.08</v>
      </c>
      <c r="H1154" s="7">
        <f t="shared" ref="H1154:H1217" si="111">G1154/SUM(G$2:G$1553)</f>
        <v>4.5440994095623241E-5</v>
      </c>
      <c r="I1154" s="8">
        <f t="shared" si="107"/>
        <v>0.99059353249699855</v>
      </c>
      <c r="J1154" s="3" t="s">
        <v>525</v>
      </c>
    </row>
    <row r="1155" spans="1:10" x14ac:dyDescent="0.25">
      <c r="A1155" s="3" t="s">
        <v>1166</v>
      </c>
      <c r="B1155" s="3" t="str">
        <f t="shared" si="108"/>
        <v>4</v>
      </c>
      <c r="C1155" s="7">
        <f t="shared" si="109"/>
        <v>6.4432989690721648E-4</v>
      </c>
      <c r="D1155" s="8">
        <f t="shared" ref="D1155:D1218" si="112">D1154+C1155</f>
        <v>0.74355670103092542</v>
      </c>
      <c r="E1155" s="4">
        <v>13</v>
      </c>
      <c r="F1155" s="5">
        <v>28.85</v>
      </c>
      <c r="G1155" s="10">
        <f t="shared" si="110"/>
        <v>375.05</v>
      </c>
      <c r="H1155" s="7">
        <f t="shared" si="111"/>
        <v>4.5437359591456484E-5</v>
      </c>
      <c r="I1155" s="8">
        <f t="shared" ref="I1155:I1218" si="113">I1154+H1155</f>
        <v>0.99063896985659006</v>
      </c>
      <c r="J1155" s="3" t="s">
        <v>525</v>
      </c>
    </row>
    <row r="1156" spans="1:10" x14ac:dyDescent="0.25">
      <c r="A1156" s="3" t="s">
        <v>1167</v>
      </c>
      <c r="B1156" s="3" t="str">
        <f t="shared" si="108"/>
        <v>4</v>
      </c>
      <c r="C1156" s="7">
        <f t="shared" si="109"/>
        <v>6.4432989690721648E-4</v>
      </c>
      <c r="D1156" s="8">
        <f t="shared" si="112"/>
        <v>0.74420103092783263</v>
      </c>
      <c r="E1156" s="4">
        <v>1</v>
      </c>
      <c r="F1156" s="5">
        <v>375.01</v>
      </c>
      <c r="G1156" s="10">
        <f t="shared" si="110"/>
        <v>375.01</v>
      </c>
      <c r="H1156" s="7">
        <f t="shared" si="111"/>
        <v>4.5432513585900799E-5</v>
      </c>
      <c r="I1156" s="8">
        <f t="shared" si="113"/>
        <v>0.99068440237017596</v>
      </c>
      <c r="J1156" s="3" t="s">
        <v>525</v>
      </c>
    </row>
    <row r="1157" spans="1:10" x14ac:dyDescent="0.25">
      <c r="A1157" s="3" t="s">
        <v>1168</v>
      </c>
      <c r="B1157" s="3" t="str">
        <f t="shared" si="108"/>
        <v>4</v>
      </c>
      <c r="C1157" s="7">
        <f t="shared" si="109"/>
        <v>6.4432989690721648E-4</v>
      </c>
      <c r="D1157" s="8">
        <f t="shared" si="112"/>
        <v>0.74484536082473984</v>
      </c>
      <c r="E1157" s="4">
        <v>1</v>
      </c>
      <c r="F1157" s="5">
        <v>374.5</v>
      </c>
      <c r="G1157" s="10">
        <f t="shared" si="110"/>
        <v>374.5</v>
      </c>
      <c r="H1157" s="7">
        <f t="shared" si="111"/>
        <v>4.5370727015065866E-5</v>
      </c>
      <c r="I1157" s="8">
        <f t="shared" si="113"/>
        <v>0.99072977309719101</v>
      </c>
      <c r="J1157" s="3" t="s">
        <v>525</v>
      </c>
    </row>
    <row r="1158" spans="1:10" x14ac:dyDescent="0.25">
      <c r="A1158" s="3" t="s">
        <v>1169</v>
      </c>
      <c r="B1158" s="3" t="str">
        <f t="shared" si="108"/>
        <v>4</v>
      </c>
      <c r="C1158" s="7">
        <f t="shared" si="109"/>
        <v>6.4432989690721648E-4</v>
      </c>
      <c r="D1158" s="8">
        <f t="shared" si="112"/>
        <v>0.74548969072164706</v>
      </c>
      <c r="E1158" s="4">
        <v>1</v>
      </c>
      <c r="F1158" s="5">
        <v>373.33</v>
      </c>
      <c r="G1158" s="10">
        <f t="shared" si="110"/>
        <v>373.33</v>
      </c>
      <c r="H1158" s="7">
        <f t="shared" si="111"/>
        <v>4.5228981352562182E-5</v>
      </c>
      <c r="I1158" s="8">
        <f t="shared" si="113"/>
        <v>0.99077500207854352</v>
      </c>
      <c r="J1158" s="3" t="s">
        <v>525</v>
      </c>
    </row>
    <row r="1159" spans="1:10" x14ac:dyDescent="0.25">
      <c r="A1159" s="3" t="s">
        <v>1170</v>
      </c>
      <c r="B1159" s="3" t="str">
        <f t="shared" si="108"/>
        <v>4</v>
      </c>
      <c r="C1159" s="7">
        <f t="shared" si="109"/>
        <v>6.4432989690721648E-4</v>
      </c>
      <c r="D1159" s="8">
        <f t="shared" si="112"/>
        <v>0.74613402061855427</v>
      </c>
      <c r="E1159" s="4">
        <v>1</v>
      </c>
      <c r="F1159" s="5">
        <v>373.23</v>
      </c>
      <c r="G1159" s="10">
        <f t="shared" si="110"/>
        <v>373.23</v>
      </c>
      <c r="H1159" s="7">
        <f t="shared" si="111"/>
        <v>4.5216866338672982E-5</v>
      </c>
      <c r="I1159" s="8">
        <f t="shared" si="113"/>
        <v>0.99082021894488215</v>
      </c>
      <c r="J1159" s="3" t="s">
        <v>525</v>
      </c>
    </row>
    <row r="1160" spans="1:10" x14ac:dyDescent="0.25">
      <c r="A1160" s="3" t="s">
        <v>1171</v>
      </c>
      <c r="B1160" s="3" t="str">
        <f t="shared" si="108"/>
        <v>5</v>
      </c>
      <c r="C1160" s="7">
        <f t="shared" si="109"/>
        <v>6.4432989690721648E-4</v>
      </c>
      <c r="D1160" s="8">
        <f t="shared" si="112"/>
        <v>0.74677835051546149</v>
      </c>
      <c r="E1160" s="4">
        <v>2</v>
      </c>
      <c r="F1160" s="5">
        <v>185.25</v>
      </c>
      <c r="G1160" s="10">
        <f t="shared" si="110"/>
        <v>370.5</v>
      </c>
      <c r="H1160" s="7">
        <f t="shared" si="111"/>
        <v>4.4886126459497737E-5</v>
      </c>
      <c r="I1160" s="8">
        <f t="shared" si="113"/>
        <v>0.99086510507134162</v>
      </c>
      <c r="J1160" s="3" t="s">
        <v>525</v>
      </c>
    </row>
    <row r="1161" spans="1:10" x14ac:dyDescent="0.25">
      <c r="A1161" s="3" t="s">
        <v>1172</v>
      </c>
      <c r="B1161" s="3" t="str">
        <f t="shared" si="108"/>
        <v>9</v>
      </c>
      <c r="C1161" s="7">
        <f t="shared" si="109"/>
        <v>6.4432989690721648E-4</v>
      </c>
      <c r="D1161" s="8">
        <f t="shared" si="112"/>
        <v>0.7474226804123687</v>
      </c>
      <c r="E1161" s="4">
        <v>1</v>
      </c>
      <c r="F1161" s="5">
        <v>369.17</v>
      </c>
      <c r="G1161" s="10">
        <f t="shared" si="110"/>
        <v>369.17</v>
      </c>
      <c r="H1161" s="7">
        <f t="shared" si="111"/>
        <v>4.4724996774771339E-5</v>
      </c>
      <c r="I1161" s="8">
        <f t="shared" si="113"/>
        <v>0.99090983006811639</v>
      </c>
      <c r="J1161" s="3" t="s">
        <v>525</v>
      </c>
    </row>
    <row r="1162" spans="1:10" x14ac:dyDescent="0.25">
      <c r="A1162" s="3" t="s">
        <v>1173</v>
      </c>
      <c r="B1162" s="3" t="str">
        <f t="shared" si="108"/>
        <v>5</v>
      </c>
      <c r="C1162" s="7">
        <f t="shared" si="109"/>
        <v>6.4432989690721648E-4</v>
      </c>
      <c r="D1162" s="8">
        <f t="shared" si="112"/>
        <v>0.74806701030927591</v>
      </c>
      <c r="E1162" s="4">
        <v>3</v>
      </c>
      <c r="F1162" s="5">
        <v>123.01</v>
      </c>
      <c r="G1162" s="10">
        <f t="shared" si="110"/>
        <v>369.03000000000003</v>
      </c>
      <c r="H1162" s="7">
        <f t="shared" si="111"/>
        <v>4.4708035755326454E-5</v>
      </c>
      <c r="I1162" s="8">
        <f t="shared" si="113"/>
        <v>0.99095453810387168</v>
      </c>
      <c r="J1162" s="3" t="s">
        <v>525</v>
      </c>
    </row>
    <row r="1163" spans="1:10" x14ac:dyDescent="0.25">
      <c r="A1163" s="3" t="s">
        <v>1174</v>
      </c>
      <c r="B1163" s="3" t="str">
        <f t="shared" si="108"/>
        <v>9</v>
      </c>
      <c r="C1163" s="7">
        <f t="shared" si="109"/>
        <v>6.4432989690721648E-4</v>
      </c>
      <c r="D1163" s="8">
        <f t="shared" si="112"/>
        <v>0.74871134020618313</v>
      </c>
      <c r="E1163" s="4">
        <v>1</v>
      </c>
      <c r="F1163" s="5">
        <v>368.9</v>
      </c>
      <c r="G1163" s="10">
        <f t="shared" si="110"/>
        <v>368.9</v>
      </c>
      <c r="H1163" s="7">
        <f t="shared" si="111"/>
        <v>4.4692286237270484E-5</v>
      </c>
      <c r="I1163" s="8">
        <f t="shared" si="113"/>
        <v>0.99099923039010895</v>
      </c>
      <c r="J1163" s="3" t="s">
        <v>525</v>
      </c>
    </row>
    <row r="1164" spans="1:10" x14ac:dyDescent="0.25">
      <c r="A1164" s="3" t="s">
        <v>1175</v>
      </c>
      <c r="B1164" s="3" t="str">
        <f t="shared" si="108"/>
        <v>9</v>
      </c>
      <c r="C1164" s="7">
        <f t="shared" si="109"/>
        <v>6.4432989690721648E-4</v>
      </c>
      <c r="D1164" s="8">
        <f t="shared" si="112"/>
        <v>0.74935567010309034</v>
      </c>
      <c r="E1164" s="4">
        <v>2</v>
      </c>
      <c r="F1164" s="5">
        <v>184.42</v>
      </c>
      <c r="G1164" s="10">
        <f t="shared" si="110"/>
        <v>368.84</v>
      </c>
      <c r="H1164" s="7">
        <f t="shared" si="111"/>
        <v>4.4685017228936963E-5</v>
      </c>
      <c r="I1164" s="8">
        <f t="shared" si="113"/>
        <v>0.99104391540733794</v>
      </c>
      <c r="J1164" s="3" t="s">
        <v>525</v>
      </c>
    </row>
    <row r="1165" spans="1:10" x14ac:dyDescent="0.25">
      <c r="A1165" s="3" t="s">
        <v>1176</v>
      </c>
      <c r="B1165" s="3" t="str">
        <f t="shared" si="108"/>
        <v>8</v>
      </c>
      <c r="C1165" s="7">
        <f t="shared" si="109"/>
        <v>6.4432989690721648E-4</v>
      </c>
      <c r="D1165" s="8">
        <f t="shared" si="112"/>
        <v>0.74999999999999756</v>
      </c>
      <c r="E1165" s="4">
        <v>14</v>
      </c>
      <c r="F1165" s="5">
        <v>26.28</v>
      </c>
      <c r="G1165" s="10">
        <f t="shared" si="110"/>
        <v>367.92</v>
      </c>
      <c r="H1165" s="7">
        <f t="shared" si="111"/>
        <v>4.4573559101156297E-5</v>
      </c>
      <c r="I1165" s="8">
        <f t="shared" si="113"/>
        <v>0.99108848896643909</v>
      </c>
      <c r="J1165" s="3" t="s">
        <v>525</v>
      </c>
    </row>
    <row r="1166" spans="1:10" x14ac:dyDescent="0.25">
      <c r="A1166" s="3" t="s">
        <v>1177</v>
      </c>
      <c r="B1166" s="3" t="str">
        <f t="shared" si="108"/>
        <v>8</v>
      </c>
      <c r="C1166" s="7">
        <f t="shared" si="109"/>
        <v>6.4432989690721648E-4</v>
      </c>
      <c r="D1166" s="8">
        <f t="shared" si="112"/>
        <v>0.75064432989690477</v>
      </c>
      <c r="E1166" s="4">
        <v>23</v>
      </c>
      <c r="F1166" s="5">
        <v>15.98</v>
      </c>
      <c r="G1166" s="10">
        <f t="shared" si="110"/>
        <v>367.54</v>
      </c>
      <c r="H1166" s="7">
        <f t="shared" si="111"/>
        <v>4.4527522048377328E-5</v>
      </c>
      <c r="I1166" s="8">
        <f t="shared" si="113"/>
        <v>0.99113301648848751</v>
      </c>
      <c r="J1166" s="3" t="s">
        <v>525</v>
      </c>
    </row>
    <row r="1167" spans="1:10" x14ac:dyDescent="0.25">
      <c r="A1167" s="3" t="s">
        <v>1178</v>
      </c>
      <c r="B1167" s="3" t="str">
        <f t="shared" si="108"/>
        <v>4</v>
      </c>
      <c r="C1167" s="7">
        <f t="shared" si="109"/>
        <v>6.4432989690721648E-4</v>
      </c>
      <c r="D1167" s="8">
        <f t="shared" si="112"/>
        <v>0.75128865979381199</v>
      </c>
      <c r="E1167" s="4">
        <v>1</v>
      </c>
      <c r="F1167" s="5">
        <v>367.38</v>
      </c>
      <c r="G1167" s="10">
        <f t="shared" si="110"/>
        <v>367.38</v>
      </c>
      <c r="H1167" s="7">
        <f t="shared" si="111"/>
        <v>4.4508138026154601E-5</v>
      </c>
      <c r="I1167" s="8">
        <f t="shared" si="113"/>
        <v>0.99117752462651365</v>
      </c>
      <c r="J1167" s="3" t="s">
        <v>525</v>
      </c>
    </row>
    <row r="1168" spans="1:10" x14ac:dyDescent="0.25">
      <c r="A1168" s="3" t="s">
        <v>1179</v>
      </c>
      <c r="B1168" s="3" t="str">
        <f t="shared" si="108"/>
        <v>9</v>
      </c>
      <c r="C1168" s="7">
        <f t="shared" si="109"/>
        <v>6.4432989690721648E-4</v>
      </c>
      <c r="D1168" s="8">
        <f t="shared" si="112"/>
        <v>0.7519329896907192</v>
      </c>
      <c r="E1168" s="4">
        <v>1</v>
      </c>
      <c r="F1168" s="5">
        <v>364.31</v>
      </c>
      <c r="G1168" s="10">
        <f t="shared" si="110"/>
        <v>364.31</v>
      </c>
      <c r="H1168" s="7">
        <f t="shared" si="111"/>
        <v>4.4136207099756058E-5</v>
      </c>
      <c r="I1168" s="8">
        <f t="shared" si="113"/>
        <v>0.9912216608336134</v>
      </c>
      <c r="J1168" s="3" t="s">
        <v>525</v>
      </c>
    </row>
    <row r="1169" spans="1:10" x14ac:dyDescent="0.25">
      <c r="A1169" s="3" t="s">
        <v>1180</v>
      </c>
      <c r="B1169" s="3" t="str">
        <f t="shared" si="108"/>
        <v>9</v>
      </c>
      <c r="C1169" s="7">
        <f t="shared" si="109"/>
        <v>6.4432989690721648E-4</v>
      </c>
      <c r="D1169" s="8">
        <f t="shared" si="112"/>
        <v>0.75257731958762641</v>
      </c>
      <c r="E1169" s="4">
        <v>2</v>
      </c>
      <c r="F1169" s="5">
        <v>181.5</v>
      </c>
      <c r="G1169" s="10">
        <f t="shared" si="110"/>
        <v>363</v>
      </c>
      <c r="H1169" s="7">
        <f t="shared" si="111"/>
        <v>4.3977500417807502E-5</v>
      </c>
      <c r="I1169" s="8">
        <f t="shared" si="113"/>
        <v>0.99126563833403125</v>
      </c>
      <c r="J1169" s="3" t="s">
        <v>525</v>
      </c>
    </row>
    <row r="1170" spans="1:10" x14ac:dyDescent="0.25">
      <c r="A1170" s="3" t="s">
        <v>1181</v>
      </c>
      <c r="B1170" s="3" t="str">
        <f t="shared" si="108"/>
        <v>2</v>
      </c>
      <c r="C1170" s="7">
        <f t="shared" si="109"/>
        <v>6.4432989690721648E-4</v>
      </c>
      <c r="D1170" s="8">
        <f t="shared" si="112"/>
        <v>0.75322164948453363</v>
      </c>
      <c r="E1170" s="4">
        <v>52</v>
      </c>
      <c r="F1170" s="5">
        <v>6.97</v>
      </c>
      <c r="G1170" s="10">
        <f t="shared" si="110"/>
        <v>362.44</v>
      </c>
      <c r="H1170" s="7">
        <f t="shared" si="111"/>
        <v>4.3909656340027963E-5</v>
      </c>
      <c r="I1170" s="8">
        <f t="shared" si="113"/>
        <v>0.9913095479903713</v>
      </c>
      <c r="J1170" s="3" t="s">
        <v>525</v>
      </c>
    </row>
    <row r="1171" spans="1:10" x14ac:dyDescent="0.25">
      <c r="A1171" s="3" t="s">
        <v>1182</v>
      </c>
      <c r="B1171" s="3" t="str">
        <f t="shared" si="108"/>
        <v>9</v>
      </c>
      <c r="C1171" s="7">
        <f t="shared" si="109"/>
        <v>6.4432989690721648E-4</v>
      </c>
      <c r="D1171" s="8">
        <f t="shared" si="112"/>
        <v>0.75386597938144084</v>
      </c>
      <c r="E1171" s="4">
        <v>1</v>
      </c>
      <c r="F1171" s="5">
        <v>362.01</v>
      </c>
      <c r="G1171" s="10">
        <f t="shared" si="110"/>
        <v>362.01</v>
      </c>
      <c r="H1171" s="7">
        <f t="shared" si="111"/>
        <v>4.3857561780304388E-5</v>
      </c>
      <c r="I1171" s="8">
        <f t="shared" si="113"/>
        <v>0.99135340555215157</v>
      </c>
      <c r="J1171" s="3" t="s">
        <v>525</v>
      </c>
    </row>
    <row r="1172" spans="1:10" x14ac:dyDescent="0.25">
      <c r="A1172" s="3" t="s">
        <v>1183</v>
      </c>
      <c r="B1172" s="3" t="str">
        <f t="shared" si="108"/>
        <v>1</v>
      </c>
      <c r="C1172" s="7">
        <f t="shared" si="109"/>
        <v>6.4432989690721648E-4</v>
      </c>
      <c r="D1172" s="8">
        <f t="shared" si="112"/>
        <v>0.75451030927834806</v>
      </c>
      <c r="E1172" s="4">
        <v>1</v>
      </c>
      <c r="F1172" s="5">
        <v>359.31</v>
      </c>
      <c r="G1172" s="10">
        <f t="shared" si="110"/>
        <v>359.31</v>
      </c>
      <c r="H1172" s="7">
        <f t="shared" si="111"/>
        <v>4.3530456405295906E-5</v>
      </c>
      <c r="I1172" s="8">
        <f t="shared" si="113"/>
        <v>0.99139693600855683</v>
      </c>
      <c r="J1172" s="3" t="s">
        <v>525</v>
      </c>
    </row>
    <row r="1173" spans="1:10" x14ac:dyDescent="0.25">
      <c r="A1173" s="3" t="s">
        <v>1184</v>
      </c>
      <c r="B1173" s="3" t="str">
        <f t="shared" si="108"/>
        <v>6</v>
      </c>
      <c r="C1173" s="7">
        <f t="shared" si="109"/>
        <v>6.4432989690721648E-4</v>
      </c>
      <c r="D1173" s="8">
        <f t="shared" si="112"/>
        <v>0.75515463917525527</v>
      </c>
      <c r="E1173" s="4">
        <v>4</v>
      </c>
      <c r="F1173" s="5">
        <v>89.81</v>
      </c>
      <c r="G1173" s="10">
        <f t="shared" si="110"/>
        <v>359.24</v>
      </c>
      <c r="H1173" s="7">
        <f t="shared" si="111"/>
        <v>4.3521975895573464E-5</v>
      </c>
      <c r="I1173" s="8">
        <f t="shared" si="113"/>
        <v>0.99144045798445235</v>
      </c>
      <c r="J1173" s="3" t="s">
        <v>525</v>
      </c>
    </row>
    <row r="1174" spans="1:10" x14ac:dyDescent="0.25">
      <c r="A1174" s="3" t="s">
        <v>1185</v>
      </c>
      <c r="B1174" s="3" t="str">
        <f t="shared" si="108"/>
        <v>9</v>
      </c>
      <c r="C1174" s="7">
        <f t="shared" si="109"/>
        <v>6.4432989690721648E-4</v>
      </c>
      <c r="D1174" s="8">
        <f t="shared" si="112"/>
        <v>0.75579896907216249</v>
      </c>
      <c r="E1174" s="4">
        <v>1</v>
      </c>
      <c r="F1174" s="5">
        <v>357.78</v>
      </c>
      <c r="G1174" s="10">
        <f t="shared" si="110"/>
        <v>357.78</v>
      </c>
      <c r="H1174" s="7">
        <f t="shared" si="111"/>
        <v>4.3345096692791089E-5</v>
      </c>
      <c r="I1174" s="8">
        <f t="shared" si="113"/>
        <v>0.99148380308114514</v>
      </c>
      <c r="J1174" s="3" t="s">
        <v>525</v>
      </c>
    </row>
    <row r="1175" spans="1:10" x14ac:dyDescent="0.25">
      <c r="A1175" s="3" t="s">
        <v>1186</v>
      </c>
      <c r="B1175" s="3" t="str">
        <f t="shared" si="108"/>
        <v>2</v>
      </c>
      <c r="C1175" s="7">
        <f t="shared" si="109"/>
        <v>6.4432989690721648E-4</v>
      </c>
      <c r="D1175" s="8">
        <f t="shared" si="112"/>
        <v>0.7564432989690697</v>
      </c>
      <c r="E1175" s="4">
        <v>82</v>
      </c>
      <c r="F1175" s="5">
        <v>4.3499999999999996</v>
      </c>
      <c r="G1175" s="10">
        <f t="shared" si="110"/>
        <v>356.7</v>
      </c>
      <c r="H1175" s="7">
        <f t="shared" si="111"/>
        <v>4.3214254542787696E-5</v>
      </c>
      <c r="I1175" s="8">
        <f t="shared" si="113"/>
        <v>0.99152701733568793</v>
      </c>
      <c r="J1175" s="3" t="s">
        <v>525</v>
      </c>
    </row>
    <row r="1176" spans="1:10" x14ac:dyDescent="0.25">
      <c r="A1176" s="3" t="s">
        <v>1187</v>
      </c>
      <c r="B1176" s="3" t="str">
        <f t="shared" si="108"/>
        <v>4</v>
      </c>
      <c r="C1176" s="7">
        <f t="shared" si="109"/>
        <v>6.4432989690721648E-4</v>
      </c>
      <c r="D1176" s="8">
        <f t="shared" si="112"/>
        <v>0.75708762886597691</v>
      </c>
      <c r="E1176" s="4">
        <v>1</v>
      </c>
      <c r="F1176" s="5">
        <v>356.66</v>
      </c>
      <c r="G1176" s="10">
        <f t="shared" si="110"/>
        <v>356.66</v>
      </c>
      <c r="H1176" s="7">
        <f t="shared" si="111"/>
        <v>4.3209408537232024E-5</v>
      </c>
      <c r="I1176" s="8">
        <f t="shared" si="113"/>
        <v>0.99157022674422512</v>
      </c>
      <c r="J1176" s="3" t="s">
        <v>525</v>
      </c>
    </row>
    <row r="1177" spans="1:10" x14ac:dyDescent="0.25">
      <c r="A1177" s="3" t="s">
        <v>1188</v>
      </c>
      <c r="B1177" s="3" t="str">
        <f t="shared" si="108"/>
        <v>9</v>
      </c>
      <c r="C1177" s="7">
        <f t="shared" si="109"/>
        <v>6.4432989690721648E-4</v>
      </c>
      <c r="D1177" s="8">
        <f t="shared" si="112"/>
        <v>0.75773195876288413</v>
      </c>
      <c r="E1177" s="4">
        <v>17</v>
      </c>
      <c r="F1177" s="5">
        <v>20.96</v>
      </c>
      <c r="G1177" s="10">
        <f t="shared" si="110"/>
        <v>356.32</v>
      </c>
      <c r="H1177" s="7">
        <f t="shared" si="111"/>
        <v>4.3168217490008727E-5</v>
      </c>
      <c r="I1177" s="8">
        <f t="shared" si="113"/>
        <v>0.99161339496171519</v>
      </c>
      <c r="J1177" s="3" t="s">
        <v>525</v>
      </c>
    </row>
    <row r="1178" spans="1:10" x14ac:dyDescent="0.25">
      <c r="A1178" s="3" t="s">
        <v>1189</v>
      </c>
      <c r="B1178" s="3" t="str">
        <f t="shared" si="108"/>
        <v>8</v>
      </c>
      <c r="C1178" s="7">
        <f t="shared" si="109"/>
        <v>6.4432989690721648E-4</v>
      </c>
      <c r="D1178" s="8">
        <f t="shared" si="112"/>
        <v>0.75837628865979134</v>
      </c>
      <c r="E1178" s="4">
        <v>9</v>
      </c>
      <c r="F1178" s="5">
        <v>39.4</v>
      </c>
      <c r="G1178" s="10">
        <f t="shared" si="110"/>
        <v>354.59999999999997</v>
      </c>
      <c r="H1178" s="7">
        <f t="shared" si="111"/>
        <v>4.2959839251114432E-5</v>
      </c>
      <c r="I1178" s="8">
        <f t="shared" si="113"/>
        <v>0.99165635480096626</v>
      </c>
      <c r="J1178" s="3" t="s">
        <v>525</v>
      </c>
    </row>
    <row r="1179" spans="1:10" x14ac:dyDescent="0.25">
      <c r="A1179" s="3" t="s">
        <v>1190</v>
      </c>
      <c r="B1179" s="3" t="str">
        <f t="shared" si="108"/>
        <v>6</v>
      </c>
      <c r="C1179" s="7">
        <f t="shared" si="109"/>
        <v>6.4432989690721648E-4</v>
      </c>
      <c r="D1179" s="8">
        <f t="shared" si="112"/>
        <v>0.75902061855669856</v>
      </c>
      <c r="E1179" s="4">
        <v>4</v>
      </c>
      <c r="F1179" s="5">
        <v>88.5</v>
      </c>
      <c r="G1179" s="10">
        <f t="shared" si="110"/>
        <v>354</v>
      </c>
      <c r="H1179" s="7">
        <f t="shared" si="111"/>
        <v>4.2887149167779214E-5</v>
      </c>
      <c r="I1179" s="8">
        <f t="shared" si="113"/>
        <v>0.99169924195013404</v>
      </c>
      <c r="J1179" s="3" t="s">
        <v>525</v>
      </c>
    </row>
    <row r="1180" spans="1:10" x14ac:dyDescent="0.25">
      <c r="A1180" s="3" t="s">
        <v>1191</v>
      </c>
      <c r="B1180" s="3" t="str">
        <f t="shared" si="108"/>
        <v>9</v>
      </c>
      <c r="C1180" s="7">
        <f t="shared" si="109"/>
        <v>6.4432989690721648E-4</v>
      </c>
      <c r="D1180" s="8">
        <f t="shared" si="112"/>
        <v>0.75966494845360577</v>
      </c>
      <c r="E1180" s="4">
        <v>1</v>
      </c>
      <c r="F1180" s="5">
        <v>353.45</v>
      </c>
      <c r="G1180" s="10">
        <f t="shared" si="110"/>
        <v>353.45</v>
      </c>
      <c r="H1180" s="7">
        <f t="shared" si="111"/>
        <v>4.2820516591388597E-5</v>
      </c>
      <c r="I1180" s="8">
        <f t="shared" si="113"/>
        <v>0.99174206246672547</v>
      </c>
      <c r="J1180" s="3" t="s">
        <v>525</v>
      </c>
    </row>
    <row r="1181" spans="1:10" x14ac:dyDescent="0.25">
      <c r="A1181" s="3" t="s">
        <v>1192</v>
      </c>
      <c r="B1181" s="3" t="str">
        <f t="shared" si="108"/>
        <v>8</v>
      </c>
      <c r="C1181" s="7">
        <f t="shared" si="109"/>
        <v>6.4432989690721648E-4</v>
      </c>
      <c r="D1181" s="8">
        <f t="shared" si="112"/>
        <v>0.76030927835051298</v>
      </c>
      <c r="E1181" s="4">
        <v>14</v>
      </c>
      <c r="F1181" s="5">
        <v>25.17</v>
      </c>
      <c r="G1181" s="10">
        <f t="shared" si="110"/>
        <v>352.38</v>
      </c>
      <c r="H1181" s="7">
        <f t="shared" si="111"/>
        <v>4.2690885942774125E-5</v>
      </c>
      <c r="I1181" s="8">
        <f t="shared" si="113"/>
        <v>0.99178475335266825</v>
      </c>
      <c r="J1181" s="3" t="s">
        <v>525</v>
      </c>
    </row>
    <row r="1182" spans="1:10" x14ac:dyDescent="0.25">
      <c r="A1182" s="3" t="s">
        <v>1193</v>
      </c>
      <c r="B1182" s="3" t="str">
        <f t="shared" si="108"/>
        <v>9</v>
      </c>
      <c r="C1182" s="7">
        <f t="shared" si="109"/>
        <v>6.4432989690721648E-4</v>
      </c>
      <c r="D1182" s="8">
        <f t="shared" si="112"/>
        <v>0.7609536082474202</v>
      </c>
      <c r="E1182" s="4">
        <v>2</v>
      </c>
      <c r="F1182" s="5">
        <v>175.12</v>
      </c>
      <c r="G1182" s="10">
        <f t="shared" si="110"/>
        <v>350.24</v>
      </c>
      <c r="H1182" s="7">
        <f t="shared" si="111"/>
        <v>4.2431624645545176E-5</v>
      </c>
      <c r="I1182" s="8">
        <f t="shared" si="113"/>
        <v>0.99182718497731381</v>
      </c>
      <c r="J1182" s="3" t="s">
        <v>525</v>
      </c>
    </row>
    <row r="1183" spans="1:10" x14ac:dyDescent="0.25">
      <c r="A1183" s="3" t="s">
        <v>1194</v>
      </c>
      <c r="B1183" s="3" t="str">
        <f t="shared" si="108"/>
        <v>4</v>
      </c>
      <c r="C1183" s="7">
        <f t="shared" si="109"/>
        <v>6.4432989690721648E-4</v>
      </c>
      <c r="D1183" s="8">
        <f t="shared" si="112"/>
        <v>0.76159793814432741</v>
      </c>
      <c r="E1183" s="4">
        <v>1</v>
      </c>
      <c r="F1183" s="5">
        <v>350.17</v>
      </c>
      <c r="G1183" s="10">
        <f t="shared" si="110"/>
        <v>350.17</v>
      </c>
      <c r="H1183" s="7">
        <f t="shared" si="111"/>
        <v>4.2423144135822733E-5</v>
      </c>
      <c r="I1183" s="8">
        <f t="shared" si="113"/>
        <v>0.99186960812144964</v>
      </c>
      <c r="J1183" s="3" t="s">
        <v>525</v>
      </c>
    </row>
    <row r="1184" spans="1:10" x14ac:dyDescent="0.25">
      <c r="A1184" s="3" t="s">
        <v>1195</v>
      </c>
      <c r="B1184" s="3" t="str">
        <f t="shared" si="108"/>
        <v>9</v>
      </c>
      <c r="C1184" s="7">
        <f t="shared" si="109"/>
        <v>6.4432989690721648E-4</v>
      </c>
      <c r="D1184" s="8">
        <f t="shared" si="112"/>
        <v>0.76224226804123463</v>
      </c>
      <c r="E1184" s="4">
        <v>2</v>
      </c>
      <c r="F1184" s="5">
        <v>175.06</v>
      </c>
      <c r="G1184" s="10">
        <f t="shared" si="110"/>
        <v>350.12</v>
      </c>
      <c r="H1184" s="7">
        <f t="shared" si="111"/>
        <v>4.2417086628878134E-5</v>
      </c>
      <c r="I1184" s="8">
        <f t="shared" si="113"/>
        <v>0.99191202520807853</v>
      </c>
      <c r="J1184" s="3" t="s">
        <v>525</v>
      </c>
    </row>
    <row r="1185" spans="1:10" x14ac:dyDescent="0.25">
      <c r="A1185" s="3" t="s">
        <v>1196</v>
      </c>
      <c r="B1185" s="3" t="str">
        <f t="shared" si="108"/>
        <v>1</v>
      </c>
      <c r="C1185" s="7">
        <f t="shared" si="109"/>
        <v>6.4432989690721648E-4</v>
      </c>
      <c r="D1185" s="8">
        <f t="shared" si="112"/>
        <v>0.76288659793814184</v>
      </c>
      <c r="E1185" s="4">
        <v>1</v>
      </c>
      <c r="F1185" s="5">
        <v>350.01</v>
      </c>
      <c r="G1185" s="10">
        <f t="shared" si="110"/>
        <v>350.01</v>
      </c>
      <c r="H1185" s="7">
        <f t="shared" si="111"/>
        <v>4.2403760113600006E-5</v>
      </c>
      <c r="I1185" s="8">
        <f t="shared" si="113"/>
        <v>0.99195442896819208</v>
      </c>
      <c r="J1185" s="3" t="s">
        <v>525</v>
      </c>
    </row>
    <row r="1186" spans="1:10" x14ac:dyDescent="0.25">
      <c r="A1186" s="3" t="s">
        <v>1197</v>
      </c>
      <c r="B1186" s="3" t="str">
        <f t="shared" si="108"/>
        <v>7</v>
      </c>
      <c r="C1186" s="7">
        <f t="shared" si="109"/>
        <v>6.4432989690721648E-4</v>
      </c>
      <c r="D1186" s="8">
        <f t="shared" si="112"/>
        <v>0.76353092783504906</v>
      </c>
      <c r="E1186" s="4">
        <v>2</v>
      </c>
      <c r="F1186" s="5">
        <v>173.95</v>
      </c>
      <c r="G1186" s="10">
        <f t="shared" si="110"/>
        <v>347.9</v>
      </c>
      <c r="H1186" s="7">
        <f t="shared" si="111"/>
        <v>4.214813332053782E-5</v>
      </c>
      <c r="I1186" s="8">
        <f t="shared" si="113"/>
        <v>0.99199657710151257</v>
      </c>
      <c r="J1186" s="3" t="s">
        <v>525</v>
      </c>
    </row>
    <row r="1187" spans="1:10" x14ac:dyDescent="0.25">
      <c r="A1187" s="3" t="s">
        <v>1198</v>
      </c>
      <c r="B1187" s="3" t="str">
        <f t="shared" si="108"/>
        <v>9</v>
      </c>
      <c r="C1187" s="7">
        <f t="shared" si="109"/>
        <v>6.4432989690721648E-4</v>
      </c>
      <c r="D1187" s="8">
        <f t="shared" si="112"/>
        <v>0.76417525773195627</v>
      </c>
      <c r="E1187" s="4">
        <v>1</v>
      </c>
      <c r="F1187" s="5">
        <v>347.71</v>
      </c>
      <c r="G1187" s="10">
        <f t="shared" si="110"/>
        <v>347.71</v>
      </c>
      <c r="H1187" s="7">
        <f t="shared" si="111"/>
        <v>4.2125114794148336E-5</v>
      </c>
      <c r="I1187" s="8">
        <f t="shared" si="113"/>
        <v>0.99203870221630674</v>
      </c>
      <c r="J1187" s="3" t="s">
        <v>525</v>
      </c>
    </row>
    <row r="1188" spans="1:10" x14ac:dyDescent="0.25">
      <c r="A1188" s="3" t="s">
        <v>1199</v>
      </c>
      <c r="B1188" s="3" t="str">
        <f t="shared" si="108"/>
        <v>1</v>
      </c>
      <c r="C1188" s="7">
        <f t="shared" si="109"/>
        <v>6.4432989690721648E-4</v>
      </c>
      <c r="D1188" s="8">
        <f t="shared" si="112"/>
        <v>0.76481958762886348</v>
      </c>
      <c r="E1188" s="4">
        <v>1</v>
      </c>
      <c r="F1188" s="5">
        <v>344.9</v>
      </c>
      <c r="G1188" s="10">
        <f t="shared" si="110"/>
        <v>344.9</v>
      </c>
      <c r="H1188" s="7">
        <f t="shared" si="111"/>
        <v>4.1784682903861727E-5</v>
      </c>
      <c r="I1188" s="8">
        <f t="shared" si="113"/>
        <v>0.99208048689921058</v>
      </c>
      <c r="J1188" s="3" t="s">
        <v>525</v>
      </c>
    </row>
    <row r="1189" spans="1:10" x14ac:dyDescent="0.25">
      <c r="A1189" s="3" t="s">
        <v>1200</v>
      </c>
      <c r="B1189" s="3" t="str">
        <f t="shared" si="108"/>
        <v>1</v>
      </c>
      <c r="C1189" s="7">
        <f t="shared" si="109"/>
        <v>6.4432989690721648E-4</v>
      </c>
      <c r="D1189" s="8">
        <f t="shared" si="112"/>
        <v>0.7654639175257707</v>
      </c>
      <c r="E1189" s="4">
        <v>1</v>
      </c>
      <c r="F1189" s="5">
        <v>344.48</v>
      </c>
      <c r="G1189" s="10">
        <f t="shared" si="110"/>
        <v>344.48</v>
      </c>
      <c r="H1189" s="7">
        <f t="shared" si="111"/>
        <v>4.1733799845527072E-5</v>
      </c>
      <c r="I1189" s="8">
        <f t="shared" si="113"/>
        <v>0.99212222069905609</v>
      </c>
      <c r="J1189" s="3" t="s">
        <v>525</v>
      </c>
    </row>
    <row r="1190" spans="1:10" x14ac:dyDescent="0.25">
      <c r="A1190" s="3" t="s">
        <v>1201</v>
      </c>
      <c r="B1190" s="3" t="str">
        <f t="shared" si="108"/>
        <v>8</v>
      </c>
      <c r="C1190" s="7">
        <f t="shared" si="109"/>
        <v>6.4432989690721648E-4</v>
      </c>
      <c r="D1190" s="8">
        <f t="shared" si="112"/>
        <v>0.76610824742267791</v>
      </c>
      <c r="E1190" s="4">
        <v>71</v>
      </c>
      <c r="F1190" s="5">
        <v>4.8499999999999996</v>
      </c>
      <c r="G1190" s="10">
        <f t="shared" si="110"/>
        <v>344.34999999999997</v>
      </c>
      <c r="H1190" s="7">
        <f t="shared" si="111"/>
        <v>4.1718050327471102E-5</v>
      </c>
      <c r="I1190" s="8">
        <f t="shared" si="113"/>
        <v>0.99216393874938358</v>
      </c>
      <c r="J1190" s="3" t="s">
        <v>525</v>
      </c>
    </row>
    <row r="1191" spans="1:10" x14ac:dyDescent="0.25">
      <c r="A1191" s="3" t="s">
        <v>1202</v>
      </c>
      <c r="B1191" s="3" t="str">
        <f t="shared" si="108"/>
        <v>9</v>
      </c>
      <c r="C1191" s="7">
        <f t="shared" si="109"/>
        <v>6.4432989690721648E-4</v>
      </c>
      <c r="D1191" s="8">
        <f t="shared" si="112"/>
        <v>0.76675257731958513</v>
      </c>
      <c r="E1191" s="4">
        <v>1</v>
      </c>
      <c r="F1191" s="5">
        <v>343.66</v>
      </c>
      <c r="G1191" s="10">
        <f t="shared" si="110"/>
        <v>343.66</v>
      </c>
      <c r="H1191" s="7">
        <f t="shared" si="111"/>
        <v>4.1634456731635607E-5</v>
      </c>
      <c r="I1191" s="8">
        <f t="shared" si="113"/>
        <v>0.99220557320611524</v>
      </c>
      <c r="J1191" s="3" t="s">
        <v>525</v>
      </c>
    </row>
    <row r="1192" spans="1:10" x14ac:dyDescent="0.25">
      <c r="A1192" s="3" t="s">
        <v>1203</v>
      </c>
      <c r="B1192" s="3" t="str">
        <f t="shared" si="108"/>
        <v>9</v>
      </c>
      <c r="C1192" s="7">
        <f t="shared" si="109"/>
        <v>6.4432989690721648E-4</v>
      </c>
      <c r="D1192" s="8">
        <f t="shared" si="112"/>
        <v>0.76739690721649234</v>
      </c>
      <c r="E1192" s="4">
        <v>4</v>
      </c>
      <c r="F1192" s="5">
        <v>85.85</v>
      </c>
      <c r="G1192" s="10">
        <f t="shared" si="110"/>
        <v>343.4</v>
      </c>
      <c r="H1192" s="7">
        <f t="shared" si="111"/>
        <v>4.1602957695523673E-5</v>
      </c>
      <c r="I1192" s="8">
        <f t="shared" si="113"/>
        <v>0.99224717616381075</v>
      </c>
      <c r="J1192" s="3" t="s">
        <v>525</v>
      </c>
    </row>
    <row r="1193" spans="1:10" x14ac:dyDescent="0.25">
      <c r="A1193" s="3" t="s">
        <v>1204</v>
      </c>
      <c r="B1193" s="3" t="str">
        <f t="shared" si="108"/>
        <v>7</v>
      </c>
      <c r="C1193" s="7">
        <f t="shared" si="109"/>
        <v>6.4432989690721648E-4</v>
      </c>
      <c r="D1193" s="8">
        <f t="shared" si="112"/>
        <v>0.76804123711339956</v>
      </c>
      <c r="E1193" s="4">
        <v>2</v>
      </c>
      <c r="F1193" s="5">
        <v>171.43</v>
      </c>
      <c r="G1193" s="10">
        <f t="shared" si="110"/>
        <v>342.86</v>
      </c>
      <c r="H1193" s="7">
        <f t="shared" si="111"/>
        <v>4.1537536620521983E-5</v>
      </c>
      <c r="I1193" s="8">
        <f t="shared" si="113"/>
        <v>0.99228871370043126</v>
      </c>
      <c r="J1193" s="3" t="s">
        <v>525</v>
      </c>
    </row>
    <row r="1194" spans="1:10" x14ac:dyDescent="0.25">
      <c r="A1194" s="3" t="s">
        <v>1205</v>
      </c>
      <c r="B1194" s="3" t="str">
        <f t="shared" si="108"/>
        <v>9</v>
      </c>
      <c r="C1194" s="7">
        <f t="shared" si="109"/>
        <v>6.4432989690721648E-4</v>
      </c>
      <c r="D1194" s="8">
        <f t="shared" si="112"/>
        <v>0.76868556701030677</v>
      </c>
      <c r="E1194" s="4">
        <v>1</v>
      </c>
      <c r="F1194" s="5">
        <v>341.74</v>
      </c>
      <c r="G1194" s="10">
        <f t="shared" si="110"/>
        <v>341.74</v>
      </c>
      <c r="H1194" s="7">
        <f t="shared" si="111"/>
        <v>4.1401848464962906E-5</v>
      </c>
      <c r="I1194" s="8">
        <f t="shared" si="113"/>
        <v>0.99233011554889627</v>
      </c>
      <c r="J1194" s="3" t="s">
        <v>525</v>
      </c>
    </row>
    <row r="1195" spans="1:10" x14ac:dyDescent="0.25">
      <c r="A1195" s="3" t="s">
        <v>1206</v>
      </c>
      <c r="B1195" s="3" t="str">
        <f t="shared" si="108"/>
        <v>3</v>
      </c>
      <c r="C1195" s="7">
        <f t="shared" si="109"/>
        <v>6.4432989690721648E-4</v>
      </c>
      <c r="D1195" s="8">
        <f t="shared" si="112"/>
        <v>0.76932989690721398</v>
      </c>
      <c r="E1195" s="4">
        <v>1</v>
      </c>
      <c r="F1195" s="5">
        <v>339.7</v>
      </c>
      <c r="G1195" s="10">
        <f t="shared" si="110"/>
        <v>339.7</v>
      </c>
      <c r="H1195" s="7">
        <f t="shared" si="111"/>
        <v>4.1154702181623162E-5</v>
      </c>
      <c r="I1195" s="8">
        <f t="shared" si="113"/>
        <v>0.99237127025107785</v>
      </c>
      <c r="J1195" s="3" t="s">
        <v>525</v>
      </c>
    </row>
    <row r="1196" spans="1:10" x14ac:dyDescent="0.25">
      <c r="A1196" s="3" t="s">
        <v>1207</v>
      </c>
      <c r="B1196" s="3" t="str">
        <f t="shared" si="108"/>
        <v>4</v>
      </c>
      <c r="C1196" s="7">
        <f t="shared" si="109"/>
        <v>6.4432989690721648E-4</v>
      </c>
      <c r="D1196" s="8">
        <f t="shared" si="112"/>
        <v>0.7699742268041212</v>
      </c>
      <c r="E1196" s="4">
        <v>1</v>
      </c>
      <c r="F1196" s="5">
        <v>338.86</v>
      </c>
      <c r="G1196" s="10">
        <f t="shared" si="110"/>
        <v>338.86</v>
      </c>
      <c r="H1196" s="7">
        <f t="shared" si="111"/>
        <v>4.1052936064953854E-5</v>
      </c>
      <c r="I1196" s="8">
        <f t="shared" si="113"/>
        <v>0.99241232318714279</v>
      </c>
      <c r="J1196" s="3" t="s">
        <v>525</v>
      </c>
    </row>
    <row r="1197" spans="1:10" x14ac:dyDescent="0.25">
      <c r="A1197" s="3" t="s">
        <v>1208</v>
      </c>
      <c r="B1197" s="3" t="str">
        <f t="shared" si="108"/>
        <v>1</v>
      </c>
      <c r="C1197" s="7">
        <f t="shared" si="109"/>
        <v>6.4432989690721648E-4</v>
      </c>
      <c r="D1197" s="8">
        <f t="shared" si="112"/>
        <v>0.77061855670102841</v>
      </c>
      <c r="E1197" s="4">
        <v>1</v>
      </c>
      <c r="F1197" s="5">
        <v>337.84</v>
      </c>
      <c r="G1197" s="10">
        <f t="shared" si="110"/>
        <v>337.84</v>
      </c>
      <c r="H1197" s="7">
        <f t="shared" si="111"/>
        <v>4.0929362923283982E-5</v>
      </c>
      <c r="I1197" s="8">
        <f t="shared" si="113"/>
        <v>0.99245325255006611</v>
      </c>
      <c r="J1197" s="3" t="s">
        <v>525</v>
      </c>
    </row>
    <row r="1198" spans="1:10" x14ac:dyDescent="0.25">
      <c r="A1198" s="3" t="s">
        <v>1209</v>
      </c>
      <c r="B1198" s="3" t="str">
        <f t="shared" si="108"/>
        <v>6</v>
      </c>
      <c r="C1198" s="7">
        <f t="shared" si="109"/>
        <v>6.4432989690721648E-4</v>
      </c>
      <c r="D1198" s="8">
        <f t="shared" si="112"/>
        <v>0.77126288659793563</v>
      </c>
      <c r="E1198" s="4">
        <v>10</v>
      </c>
      <c r="F1198" s="5">
        <v>33.729999999999997</v>
      </c>
      <c r="G1198" s="10">
        <f t="shared" si="110"/>
        <v>337.29999999999995</v>
      </c>
      <c r="H1198" s="7">
        <f t="shared" si="111"/>
        <v>4.0863941848282279E-5</v>
      </c>
      <c r="I1198" s="8">
        <f t="shared" si="113"/>
        <v>0.99249411649191444</v>
      </c>
      <c r="J1198" s="3" t="s">
        <v>525</v>
      </c>
    </row>
    <row r="1199" spans="1:10" x14ac:dyDescent="0.25">
      <c r="A1199" s="3" t="s">
        <v>1210</v>
      </c>
      <c r="B1199" s="3" t="str">
        <f t="shared" si="108"/>
        <v>8</v>
      </c>
      <c r="C1199" s="7">
        <f t="shared" si="109"/>
        <v>6.4432989690721648E-4</v>
      </c>
      <c r="D1199" s="8">
        <f t="shared" si="112"/>
        <v>0.77190721649484284</v>
      </c>
      <c r="E1199" s="4">
        <v>8</v>
      </c>
      <c r="F1199" s="5">
        <v>41.99</v>
      </c>
      <c r="G1199" s="10">
        <f t="shared" si="110"/>
        <v>335.92</v>
      </c>
      <c r="H1199" s="7">
        <f t="shared" si="111"/>
        <v>4.0696754656611281E-5</v>
      </c>
      <c r="I1199" s="8">
        <f t="shared" si="113"/>
        <v>0.992534813246571</v>
      </c>
      <c r="J1199" s="3" t="s">
        <v>525</v>
      </c>
    </row>
    <row r="1200" spans="1:10" x14ac:dyDescent="0.25">
      <c r="A1200" s="3" t="s">
        <v>1211</v>
      </c>
      <c r="B1200" s="3" t="str">
        <f t="shared" si="108"/>
        <v>4</v>
      </c>
      <c r="C1200" s="7">
        <f t="shared" si="109"/>
        <v>6.4432989690721648E-4</v>
      </c>
      <c r="D1200" s="8">
        <f t="shared" si="112"/>
        <v>0.77255154639175005</v>
      </c>
      <c r="E1200" s="4">
        <v>2</v>
      </c>
      <c r="F1200" s="5">
        <v>167.88</v>
      </c>
      <c r="G1200" s="10">
        <f t="shared" si="110"/>
        <v>335.76</v>
      </c>
      <c r="H1200" s="7">
        <f t="shared" si="111"/>
        <v>4.0677370634388554E-5</v>
      </c>
      <c r="I1200" s="8">
        <f t="shared" si="113"/>
        <v>0.9925754906172054</v>
      </c>
      <c r="J1200" s="3" t="s">
        <v>525</v>
      </c>
    </row>
    <row r="1201" spans="1:10" x14ac:dyDescent="0.25">
      <c r="A1201" s="3" t="s">
        <v>1212</v>
      </c>
      <c r="B1201" s="3" t="str">
        <f t="shared" si="108"/>
        <v>6</v>
      </c>
      <c r="C1201" s="7">
        <f t="shared" si="109"/>
        <v>6.4432989690721648E-4</v>
      </c>
      <c r="D1201" s="8">
        <f t="shared" si="112"/>
        <v>0.77319587628865727</v>
      </c>
      <c r="E1201" s="4">
        <v>9</v>
      </c>
      <c r="F1201" s="5">
        <v>37.28</v>
      </c>
      <c r="G1201" s="10">
        <f t="shared" si="110"/>
        <v>335.52</v>
      </c>
      <c r="H1201" s="7">
        <f t="shared" si="111"/>
        <v>4.064829460105447E-5</v>
      </c>
      <c r="I1201" s="8">
        <f t="shared" si="113"/>
        <v>0.99261613891180644</v>
      </c>
      <c r="J1201" s="3" t="s">
        <v>525</v>
      </c>
    </row>
    <row r="1202" spans="1:10" x14ac:dyDescent="0.25">
      <c r="A1202" s="3" t="s">
        <v>1213</v>
      </c>
      <c r="B1202" s="3" t="str">
        <f t="shared" si="108"/>
        <v>8</v>
      </c>
      <c r="C1202" s="7">
        <f t="shared" si="109"/>
        <v>6.4432989690721648E-4</v>
      </c>
      <c r="D1202" s="8">
        <f t="shared" si="112"/>
        <v>0.77384020618556448</v>
      </c>
      <c r="E1202" s="4">
        <v>6</v>
      </c>
      <c r="F1202" s="5">
        <v>55.76</v>
      </c>
      <c r="G1202" s="10">
        <f t="shared" si="110"/>
        <v>334.56</v>
      </c>
      <c r="H1202" s="7">
        <f t="shared" si="111"/>
        <v>4.0531990467718119E-5</v>
      </c>
      <c r="I1202" s="8">
        <f t="shared" si="113"/>
        <v>0.99265667090227416</v>
      </c>
      <c r="J1202" s="3" t="s">
        <v>525</v>
      </c>
    </row>
    <row r="1203" spans="1:10" x14ac:dyDescent="0.25">
      <c r="A1203" s="3" t="s">
        <v>1214</v>
      </c>
      <c r="B1203" s="3" t="str">
        <f t="shared" si="108"/>
        <v>4</v>
      </c>
      <c r="C1203" s="7">
        <f t="shared" si="109"/>
        <v>6.4432989690721648E-4</v>
      </c>
      <c r="D1203" s="8">
        <f t="shared" si="112"/>
        <v>0.7744845360824717</v>
      </c>
      <c r="E1203" s="4">
        <v>2</v>
      </c>
      <c r="F1203" s="5">
        <v>166.22</v>
      </c>
      <c r="G1203" s="10">
        <f t="shared" si="110"/>
        <v>332.44</v>
      </c>
      <c r="H1203" s="7">
        <f t="shared" si="111"/>
        <v>4.0275152173267012E-5</v>
      </c>
      <c r="I1203" s="8">
        <f t="shared" si="113"/>
        <v>0.99269694605444747</v>
      </c>
      <c r="J1203" s="3" t="s">
        <v>525</v>
      </c>
    </row>
    <row r="1204" spans="1:10" x14ac:dyDescent="0.25">
      <c r="A1204" s="3" t="s">
        <v>1215</v>
      </c>
      <c r="B1204" s="3" t="str">
        <f t="shared" si="108"/>
        <v>7</v>
      </c>
      <c r="C1204" s="7">
        <f t="shared" si="109"/>
        <v>6.4432989690721648E-4</v>
      </c>
      <c r="D1204" s="8">
        <f t="shared" si="112"/>
        <v>0.77512886597937891</v>
      </c>
      <c r="E1204" s="4">
        <v>2</v>
      </c>
      <c r="F1204" s="5">
        <v>165.96</v>
      </c>
      <c r="G1204" s="10">
        <f t="shared" si="110"/>
        <v>331.92</v>
      </c>
      <c r="H1204" s="7">
        <f t="shared" si="111"/>
        <v>4.0212154101043158E-5</v>
      </c>
      <c r="I1204" s="8">
        <f t="shared" si="113"/>
        <v>0.99273715820854846</v>
      </c>
      <c r="J1204" s="3" t="s">
        <v>525</v>
      </c>
    </row>
    <row r="1205" spans="1:10" x14ac:dyDescent="0.25">
      <c r="A1205" s="3" t="s">
        <v>1216</v>
      </c>
      <c r="B1205" s="3" t="str">
        <f t="shared" si="108"/>
        <v>2</v>
      </c>
      <c r="C1205" s="7">
        <f t="shared" si="109"/>
        <v>6.4432989690721648E-4</v>
      </c>
      <c r="D1205" s="8">
        <f t="shared" si="112"/>
        <v>0.77577319587628613</v>
      </c>
      <c r="E1205" s="4">
        <v>6</v>
      </c>
      <c r="F1205" s="5">
        <v>55.3</v>
      </c>
      <c r="G1205" s="10">
        <f t="shared" si="110"/>
        <v>331.79999999999995</v>
      </c>
      <c r="H1205" s="7">
        <f t="shared" si="111"/>
        <v>4.0197616084376103E-5</v>
      </c>
      <c r="I1205" s="8">
        <f t="shared" si="113"/>
        <v>0.99277735582463289</v>
      </c>
      <c r="J1205" s="3" t="s">
        <v>525</v>
      </c>
    </row>
    <row r="1206" spans="1:10" x14ac:dyDescent="0.25">
      <c r="A1206" s="3" t="s">
        <v>1217</v>
      </c>
      <c r="B1206" s="3" t="str">
        <f t="shared" si="108"/>
        <v>3</v>
      </c>
      <c r="C1206" s="7">
        <f t="shared" si="109"/>
        <v>6.4432989690721648E-4</v>
      </c>
      <c r="D1206" s="8">
        <f t="shared" si="112"/>
        <v>0.77641752577319334</v>
      </c>
      <c r="E1206" s="4">
        <v>1</v>
      </c>
      <c r="F1206" s="5">
        <v>331.6</v>
      </c>
      <c r="G1206" s="10">
        <f t="shared" si="110"/>
        <v>331.6</v>
      </c>
      <c r="H1206" s="7">
        <f t="shared" si="111"/>
        <v>4.0173386056597711E-5</v>
      </c>
      <c r="I1206" s="8">
        <f t="shared" si="113"/>
        <v>0.99281752921068944</v>
      </c>
      <c r="J1206" s="3" t="s">
        <v>525</v>
      </c>
    </row>
    <row r="1207" spans="1:10" x14ac:dyDescent="0.25">
      <c r="A1207" s="3" t="s">
        <v>1218</v>
      </c>
      <c r="B1207" s="3" t="str">
        <f t="shared" si="108"/>
        <v>8</v>
      </c>
      <c r="C1207" s="7">
        <f t="shared" si="109"/>
        <v>6.4432989690721648E-4</v>
      </c>
      <c r="D1207" s="8">
        <f t="shared" si="112"/>
        <v>0.77706185567010055</v>
      </c>
      <c r="E1207" s="4">
        <v>31</v>
      </c>
      <c r="F1207" s="5">
        <v>10.67</v>
      </c>
      <c r="G1207" s="10">
        <f t="shared" si="110"/>
        <v>330.77</v>
      </c>
      <c r="H1207" s="7">
        <f t="shared" si="111"/>
        <v>4.0072831441317317E-5</v>
      </c>
      <c r="I1207" s="8">
        <f t="shared" si="113"/>
        <v>0.9928576020421308</v>
      </c>
      <c r="J1207" s="3" t="s">
        <v>525</v>
      </c>
    </row>
    <row r="1208" spans="1:10" x14ac:dyDescent="0.25">
      <c r="A1208" s="3" t="s">
        <v>1219</v>
      </c>
      <c r="B1208" s="3" t="str">
        <f t="shared" si="108"/>
        <v>8</v>
      </c>
      <c r="C1208" s="7">
        <f t="shared" si="109"/>
        <v>6.4432989690721648E-4</v>
      </c>
      <c r="D1208" s="8">
        <f t="shared" si="112"/>
        <v>0.77770618556700777</v>
      </c>
      <c r="E1208" s="4">
        <v>37</v>
      </c>
      <c r="F1208" s="5">
        <v>8.93</v>
      </c>
      <c r="G1208" s="10">
        <f t="shared" si="110"/>
        <v>330.40999999999997</v>
      </c>
      <c r="H1208" s="7">
        <f t="shared" si="111"/>
        <v>4.0029217391316183E-5</v>
      </c>
      <c r="I1208" s="8">
        <f t="shared" si="113"/>
        <v>0.99289763125952213</v>
      </c>
      <c r="J1208" s="3" t="s">
        <v>525</v>
      </c>
    </row>
    <row r="1209" spans="1:10" x14ac:dyDescent="0.25">
      <c r="A1209" s="3" t="s">
        <v>1220</v>
      </c>
      <c r="B1209" s="3" t="str">
        <f t="shared" si="108"/>
        <v>4</v>
      </c>
      <c r="C1209" s="7">
        <f t="shared" si="109"/>
        <v>6.4432989690721648E-4</v>
      </c>
      <c r="D1209" s="8">
        <f t="shared" si="112"/>
        <v>0.77835051546391498</v>
      </c>
      <c r="E1209" s="4">
        <v>65</v>
      </c>
      <c r="F1209" s="5">
        <v>5.08</v>
      </c>
      <c r="G1209" s="10">
        <f t="shared" si="110"/>
        <v>330.2</v>
      </c>
      <c r="H1209" s="7">
        <f t="shared" si="111"/>
        <v>4.0003775862148856E-5</v>
      </c>
      <c r="I1209" s="8">
        <f t="shared" si="113"/>
        <v>0.99293763503538424</v>
      </c>
      <c r="J1209" s="3" t="s">
        <v>525</v>
      </c>
    </row>
    <row r="1210" spans="1:10" x14ac:dyDescent="0.25">
      <c r="A1210" s="3" t="s">
        <v>1221</v>
      </c>
      <c r="B1210" s="3" t="str">
        <f t="shared" si="108"/>
        <v>1</v>
      </c>
      <c r="C1210" s="7">
        <f t="shared" si="109"/>
        <v>6.4432989690721648E-4</v>
      </c>
      <c r="D1210" s="8">
        <f t="shared" si="112"/>
        <v>0.7789948453608222</v>
      </c>
      <c r="E1210" s="4">
        <v>1</v>
      </c>
      <c r="F1210" s="5">
        <v>329.71</v>
      </c>
      <c r="G1210" s="10">
        <f t="shared" si="110"/>
        <v>329.71</v>
      </c>
      <c r="H1210" s="7">
        <f t="shared" si="111"/>
        <v>3.994441229409176E-5</v>
      </c>
      <c r="I1210" s="8">
        <f t="shared" si="113"/>
        <v>0.99297757944767828</v>
      </c>
      <c r="J1210" s="3" t="s">
        <v>525</v>
      </c>
    </row>
    <row r="1211" spans="1:10" x14ac:dyDescent="0.25">
      <c r="A1211" s="3" t="s">
        <v>1222</v>
      </c>
      <c r="B1211" s="3" t="str">
        <f t="shared" si="108"/>
        <v>9</v>
      </c>
      <c r="C1211" s="7">
        <f t="shared" si="109"/>
        <v>6.4432989690721648E-4</v>
      </c>
      <c r="D1211" s="8">
        <f t="shared" si="112"/>
        <v>0.77963917525772941</v>
      </c>
      <c r="E1211" s="4">
        <v>1</v>
      </c>
      <c r="F1211" s="5">
        <v>328.86</v>
      </c>
      <c r="G1211" s="10">
        <f t="shared" si="110"/>
        <v>328.86</v>
      </c>
      <c r="H1211" s="7">
        <f t="shared" si="111"/>
        <v>3.9841434676033537E-5</v>
      </c>
      <c r="I1211" s="8">
        <f t="shared" si="113"/>
        <v>0.99301742088235434</v>
      </c>
      <c r="J1211" s="3" t="s">
        <v>525</v>
      </c>
    </row>
    <row r="1212" spans="1:10" x14ac:dyDescent="0.25">
      <c r="A1212" s="3" t="s">
        <v>1223</v>
      </c>
      <c r="B1212" s="3" t="str">
        <f t="shared" si="108"/>
        <v>6</v>
      </c>
      <c r="C1212" s="7">
        <f t="shared" si="109"/>
        <v>6.4432989690721648E-4</v>
      </c>
      <c r="D1212" s="8">
        <f t="shared" si="112"/>
        <v>0.78028350515463663</v>
      </c>
      <c r="E1212" s="4">
        <v>21</v>
      </c>
      <c r="F1212" s="5">
        <v>15.61</v>
      </c>
      <c r="G1212" s="10">
        <f t="shared" si="110"/>
        <v>327.81</v>
      </c>
      <c r="H1212" s="7">
        <f t="shared" si="111"/>
        <v>3.9714227030196908E-5</v>
      </c>
      <c r="I1212" s="8">
        <f t="shared" si="113"/>
        <v>0.99305713510938454</v>
      </c>
      <c r="J1212" s="3" t="s">
        <v>525</v>
      </c>
    </row>
    <row r="1213" spans="1:10" x14ac:dyDescent="0.25">
      <c r="A1213" s="3" t="s">
        <v>1224</v>
      </c>
      <c r="B1213" s="3" t="str">
        <f t="shared" si="108"/>
        <v>9</v>
      </c>
      <c r="C1213" s="7">
        <f t="shared" si="109"/>
        <v>6.4432989690721648E-4</v>
      </c>
      <c r="D1213" s="8">
        <f t="shared" si="112"/>
        <v>0.78092783505154384</v>
      </c>
      <c r="E1213" s="4">
        <v>3</v>
      </c>
      <c r="F1213" s="5">
        <v>109.19</v>
      </c>
      <c r="G1213" s="10">
        <f t="shared" si="110"/>
        <v>327.57</v>
      </c>
      <c r="H1213" s="7">
        <f t="shared" si="111"/>
        <v>3.9685150996862817E-5</v>
      </c>
      <c r="I1213" s="8">
        <f t="shared" si="113"/>
        <v>0.99309682026038137</v>
      </c>
      <c r="J1213" s="3" t="s">
        <v>525</v>
      </c>
    </row>
    <row r="1214" spans="1:10" x14ac:dyDescent="0.25">
      <c r="A1214" s="3" t="s">
        <v>1225</v>
      </c>
      <c r="B1214" s="3" t="str">
        <f t="shared" si="108"/>
        <v>8</v>
      </c>
      <c r="C1214" s="7">
        <f t="shared" si="109"/>
        <v>6.4432989690721648E-4</v>
      </c>
      <c r="D1214" s="8">
        <f t="shared" si="112"/>
        <v>0.78157216494845105</v>
      </c>
      <c r="E1214" s="4">
        <v>7</v>
      </c>
      <c r="F1214" s="5">
        <v>46.51</v>
      </c>
      <c r="G1214" s="10">
        <f t="shared" si="110"/>
        <v>325.57</v>
      </c>
      <c r="H1214" s="7">
        <f t="shared" si="111"/>
        <v>3.9442850719078752E-5</v>
      </c>
      <c r="I1214" s="8">
        <f t="shared" si="113"/>
        <v>0.99313626311110048</v>
      </c>
      <c r="J1214" s="3" t="s">
        <v>525</v>
      </c>
    </row>
    <row r="1215" spans="1:10" x14ac:dyDescent="0.25">
      <c r="A1215" s="3" t="s">
        <v>1226</v>
      </c>
      <c r="B1215" s="3" t="str">
        <f t="shared" si="108"/>
        <v>8</v>
      </c>
      <c r="C1215" s="7">
        <f t="shared" si="109"/>
        <v>6.4432989690721648E-4</v>
      </c>
      <c r="D1215" s="8">
        <f t="shared" si="112"/>
        <v>0.78221649484535827</v>
      </c>
      <c r="E1215" s="4">
        <v>12</v>
      </c>
      <c r="F1215" s="5">
        <v>26.99</v>
      </c>
      <c r="G1215" s="10">
        <f t="shared" si="110"/>
        <v>323.88</v>
      </c>
      <c r="H1215" s="7">
        <f t="shared" si="111"/>
        <v>3.9238106984351221E-5</v>
      </c>
      <c r="I1215" s="8">
        <f t="shared" si="113"/>
        <v>0.99317550121808484</v>
      </c>
      <c r="J1215" s="3" t="s">
        <v>525</v>
      </c>
    </row>
    <row r="1216" spans="1:10" x14ac:dyDescent="0.25">
      <c r="A1216" s="3" t="s">
        <v>1227</v>
      </c>
      <c r="B1216" s="3" t="str">
        <f t="shared" si="108"/>
        <v>1</v>
      </c>
      <c r="C1216" s="7">
        <f t="shared" si="109"/>
        <v>6.4432989690721648E-4</v>
      </c>
      <c r="D1216" s="8">
        <f t="shared" si="112"/>
        <v>0.78286082474226548</v>
      </c>
      <c r="E1216" s="4">
        <v>1</v>
      </c>
      <c r="F1216" s="5">
        <v>323.77</v>
      </c>
      <c r="G1216" s="10">
        <f t="shared" si="110"/>
        <v>323.77</v>
      </c>
      <c r="H1216" s="7">
        <f t="shared" si="111"/>
        <v>3.9224780469073093E-5</v>
      </c>
      <c r="I1216" s="8">
        <f t="shared" si="113"/>
        <v>0.99321472599855387</v>
      </c>
      <c r="J1216" s="3" t="s">
        <v>525</v>
      </c>
    </row>
    <row r="1217" spans="1:10" x14ac:dyDescent="0.25">
      <c r="A1217" s="3" t="s">
        <v>1228</v>
      </c>
      <c r="B1217" s="3" t="str">
        <f t="shared" si="108"/>
        <v>1</v>
      </c>
      <c r="C1217" s="7">
        <f t="shared" si="109"/>
        <v>6.4432989690721648E-4</v>
      </c>
      <c r="D1217" s="8">
        <f t="shared" si="112"/>
        <v>0.7835051546391727</v>
      </c>
      <c r="E1217" s="4">
        <v>1</v>
      </c>
      <c r="F1217" s="5">
        <v>322.11</v>
      </c>
      <c r="G1217" s="10">
        <f t="shared" si="110"/>
        <v>322.11</v>
      </c>
      <c r="H1217" s="7">
        <f t="shared" si="111"/>
        <v>3.9023671238512326E-5</v>
      </c>
      <c r="I1217" s="8">
        <f t="shared" si="113"/>
        <v>0.99325374966979241</v>
      </c>
      <c r="J1217" s="3" t="s">
        <v>525</v>
      </c>
    </row>
    <row r="1218" spans="1:10" x14ac:dyDescent="0.25">
      <c r="A1218" s="3" t="s">
        <v>1229</v>
      </c>
      <c r="B1218" s="3" t="str">
        <f t="shared" ref="B1218:B1281" si="114">RIGHT(A1218,1)</f>
        <v>3</v>
      </c>
      <c r="C1218" s="7">
        <f t="shared" ref="C1218:C1281" si="115">1/COUNTA(A$2:A$1553)</f>
        <v>6.4432989690721648E-4</v>
      </c>
      <c r="D1218" s="8">
        <f t="shared" si="112"/>
        <v>0.78414948453607991</v>
      </c>
      <c r="E1218" s="4">
        <v>1</v>
      </c>
      <c r="F1218" s="5">
        <v>320.47000000000003</v>
      </c>
      <c r="G1218" s="10">
        <f t="shared" ref="G1218:G1281" si="116">E1218*F1218</f>
        <v>320.47000000000003</v>
      </c>
      <c r="H1218" s="7">
        <f t="shared" ref="H1218:H1281" si="117">G1218/SUM(G$2:G$1553)</f>
        <v>3.8824985010729394E-5</v>
      </c>
      <c r="I1218" s="8">
        <f t="shared" si="113"/>
        <v>0.99329257465480314</v>
      </c>
      <c r="J1218" s="3" t="s">
        <v>525</v>
      </c>
    </row>
    <row r="1219" spans="1:10" x14ac:dyDescent="0.25">
      <c r="A1219" s="3" t="s">
        <v>1230</v>
      </c>
      <c r="B1219" s="3" t="str">
        <f t="shared" si="114"/>
        <v>9</v>
      </c>
      <c r="C1219" s="7">
        <f t="shared" si="115"/>
        <v>6.4432989690721648E-4</v>
      </c>
      <c r="D1219" s="8">
        <f t="shared" ref="D1219:D1282" si="118">D1218+C1219</f>
        <v>0.78479381443298712</v>
      </c>
      <c r="E1219" s="4">
        <v>1</v>
      </c>
      <c r="F1219" s="5">
        <v>319.52</v>
      </c>
      <c r="G1219" s="10">
        <f t="shared" si="116"/>
        <v>319.52</v>
      </c>
      <c r="H1219" s="7">
        <f t="shared" si="117"/>
        <v>3.8709892378781958E-5</v>
      </c>
      <c r="I1219" s="8">
        <f t="shared" ref="I1219:I1282" si="119">I1218+H1219</f>
        <v>0.99333128454718189</v>
      </c>
      <c r="J1219" s="3" t="s">
        <v>525</v>
      </c>
    </row>
    <row r="1220" spans="1:10" x14ac:dyDescent="0.25">
      <c r="A1220" s="3" t="s">
        <v>1231</v>
      </c>
      <c r="B1220" s="3" t="str">
        <f t="shared" si="114"/>
        <v>5</v>
      </c>
      <c r="C1220" s="7">
        <f t="shared" si="115"/>
        <v>6.4432989690721648E-4</v>
      </c>
      <c r="D1220" s="8">
        <f t="shared" si="118"/>
        <v>0.78543814432989434</v>
      </c>
      <c r="E1220" s="4">
        <v>3</v>
      </c>
      <c r="F1220" s="5">
        <v>106.13</v>
      </c>
      <c r="G1220" s="10">
        <f t="shared" si="116"/>
        <v>318.39</v>
      </c>
      <c r="H1220" s="7">
        <f t="shared" si="117"/>
        <v>3.8572992721833966E-5</v>
      </c>
      <c r="I1220" s="8">
        <f t="shared" si="119"/>
        <v>0.9933698575399037</v>
      </c>
      <c r="J1220" s="3" t="s">
        <v>525</v>
      </c>
    </row>
    <row r="1221" spans="1:10" x14ac:dyDescent="0.25">
      <c r="A1221" s="3" t="s">
        <v>1232</v>
      </c>
      <c r="B1221" s="3" t="str">
        <f t="shared" si="114"/>
        <v>8</v>
      </c>
      <c r="C1221" s="7">
        <f t="shared" si="115"/>
        <v>6.4432989690721648E-4</v>
      </c>
      <c r="D1221" s="8">
        <f t="shared" si="118"/>
        <v>0.78608247422680155</v>
      </c>
      <c r="E1221" s="4">
        <v>10</v>
      </c>
      <c r="F1221" s="5">
        <v>31.55</v>
      </c>
      <c r="G1221" s="10">
        <f t="shared" si="116"/>
        <v>315.5</v>
      </c>
      <c r="H1221" s="7">
        <f t="shared" si="117"/>
        <v>3.8222868820435993E-5</v>
      </c>
      <c r="I1221" s="8">
        <f t="shared" si="119"/>
        <v>0.99340808040872408</v>
      </c>
      <c r="J1221" s="3" t="s">
        <v>525</v>
      </c>
    </row>
    <row r="1222" spans="1:10" x14ac:dyDescent="0.25">
      <c r="A1222" s="3" t="s">
        <v>1233</v>
      </c>
      <c r="B1222" s="3" t="str">
        <f t="shared" si="114"/>
        <v>9</v>
      </c>
      <c r="C1222" s="7">
        <f t="shared" si="115"/>
        <v>6.4432989690721648E-4</v>
      </c>
      <c r="D1222" s="8">
        <f t="shared" si="118"/>
        <v>0.78672680412370877</v>
      </c>
      <c r="E1222" s="4">
        <v>2</v>
      </c>
      <c r="F1222" s="5">
        <v>156.58000000000001</v>
      </c>
      <c r="G1222" s="10">
        <f t="shared" si="116"/>
        <v>313.16000000000003</v>
      </c>
      <c r="H1222" s="7">
        <f t="shared" si="117"/>
        <v>3.7939377495428644E-5</v>
      </c>
      <c r="I1222" s="8">
        <f t="shared" si="119"/>
        <v>0.99344601978621949</v>
      </c>
      <c r="J1222" s="3" t="s">
        <v>525</v>
      </c>
    </row>
    <row r="1223" spans="1:10" x14ac:dyDescent="0.25">
      <c r="A1223" s="3" t="s">
        <v>1234</v>
      </c>
      <c r="B1223" s="3" t="str">
        <f t="shared" si="114"/>
        <v>5</v>
      </c>
      <c r="C1223" s="7">
        <f t="shared" si="115"/>
        <v>6.4432989690721648E-4</v>
      </c>
      <c r="D1223" s="8">
        <f t="shared" si="118"/>
        <v>0.78737113402061598</v>
      </c>
      <c r="E1223" s="4">
        <v>5</v>
      </c>
      <c r="F1223" s="5">
        <v>62.53</v>
      </c>
      <c r="G1223" s="10">
        <f t="shared" si="116"/>
        <v>312.64999999999998</v>
      </c>
      <c r="H1223" s="7">
        <f t="shared" si="117"/>
        <v>3.7877590924593705E-5</v>
      </c>
      <c r="I1223" s="8">
        <f t="shared" si="119"/>
        <v>0.99348389737714404</v>
      </c>
      <c r="J1223" s="3" t="s">
        <v>525</v>
      </c>
    </row>
    <row r="1224" spans="1:10" x14ac:dyDescent="0.25">
      <c r="A1224" s="3" t="s">
        <v>1235</v>
      </c>
      <c r="B1224" s="3" t="str">
        <f t="shared" si="114"/>
        <v>9</v>
      </c>
      <c r="C1224" s="7">
        <f t="shared" si="115"/>
        <v>6.4432989690721648E-4</v>
      </c>
      <c r="D1224" s="8">
        <f t="shared" si="118"/>
        <v>0.7880154639175232</v>
      </c>
      <c r="E1224" s="4">
        <v>1</v>
      </c>
      <c r="F1224" s="5">
        <v>312.18</v>
      </c>
      <c r="G1224" s="10">
        <f t="shared" si="116"/>
        <v>312.18</v>
      </c>
      <c r="H1224" s="7">
        <f t="shared" si="117"/>
        <v>3.7820650359314451E-5</v>
      </c>
      <c r="I1224" s="8">
        <f t="shared" si="119"/>
        <v>0.99352171802750333</v>
      </c>
      <c r="J1224" s="3" t="s">
        <v>525</v>
      </c>
    </row>
    <row r="1225" spans="1:10" x14ac:dyDescent="0.25">
      <c r="A1225" s="3" t="s">
        <v>1236</v>
      </c>
      <c r="B1225" s="3" t="str">
        <f t="shared" si="114"/>
        <v>3</v>
      </c>
      <c r="C1225" s="7">
        <f t="shared" si="115"/>
        <v>6.4432989690721648E-4</v>
      </c>
      <c r="D1225" s="8">
        <f t="shared" si="118"/>
        <v>0.78865979381443041</v>
      </c>
      <c r="E1225" s="4">
        <v>1</v>
      </c>
      <c r="F1225" s="5">
        <v>310.89</v>
      </c>
      <c r="G1225" s="10">
        <f t="shared" si="116"/>
        <v>310.89</v>
      </c>
      <c r="H1225" s="7">
        <f t="shared" si="117"/>
        <v>3.7664366680143725E-5</v>
      </c>
      <c r="I1225" s="8">
        <f t="shared" si="119"/>
        <v>0.99355938239418351</v>
      </c>
      <c r="J1225" s="3" t="s">
        <v>525</v>
      </c>
    </row>
    <row r="1226" spans="1:10" x14ac:dyDescent="0.25">
      <c r="A1226" s="3" t="s">
        <v>1237</v>
      </c>
      <c r="B1226" s="3" t="str">
        <f t="shared" si="114"/>
        <v>9</v>
      </c>
      <c r="C1226" s="7">
        <f t="shared" si="115"/>
        <v>6.4432989690721648E-4</v>
      </c>
      <c r="D1226" s="8">
        <f t="shared" si="118"/>
        <v>0.78930412371133762</v>
      </c>
      <c r="E1226" s="4">
        <v>4</v>
      </c>
      <c r="F1226" s="5">
        <v>77.58</v>
      </c>
      <c r="G1226" s="10">
        <f t="shared" si="116"/>
        <v>310.32</v>
      </c>
      <c r="H1226" s="7">
        <f t="shared" si="117"/>
        <v>3.7595311100975271E-5</v>
      </c>
      <c r="I1226" s="8">
        <f t="shared" si="119"/>
        <v>0.99359697770528443</v>
      </c>
      <c r="J1226" s="3" t="s">
        <v>525</v>
      </c>
    </row>
    <row r="1227" spans="1:10" x14ac:dyDescent="0.25">
      <c r="A1227" s="3" t="s">
        <v>1238</v>
      </c>
      <c r="B1227" s="3" t="str">
        <f t="shared" si="114"/>
        <v>6</v>
      </c>
      <c r="C1227" s="7">
        <f t="shared" si="115"/>
        <v>6.4432989690721648E-4</v>
      </c>
      <c r="D1227" s="8">
        <f t="shared" si="118"/>
        <v>0.78994845360824484</v>
      </c>
      <c r="E1227" s="4">
        <v>26</v>
      </c>
      <c r="F1227" s="5">
        <v>11.93</v>
      </c>
      <c r="G1227" s="10">
        <f t="shared" si="116"/>
        <v>310.18</v>
      </c>
      <c r="H1227" s="7">
        <f t="shared" si="117"/>
        <v>3.7578350081530386E-5</v>
      </c>
      <c r="I1227" s="8">
        <f t="shared" si="119"/>
        <v>0.99363455605536599</v>
      </c>
      <c r="J1227" s="3" t="s">
        <v>525</v>
      </c>
    </row>
    <row r="1228" spans="1:10" x14ac:dyDescent="0.25">
      <c r="A1228" s="3" t="s">
        <v>1239</v>
      </c>
      <c r="B1228" s="3" t="str">
        <f t="shared" si="114"/>
        <v>1</v>
      </c>
      <c r="C1228" s="7">
        <f t="shared" si="115"/>
        <v>6.4432989690721648E-4</v>
      </c>
      <c r="D1228" s="8">
        <f t="shared" si="118"/>
        <v>0.79059278350515205</v>
      </c>
      <c r="E1228" s="4">
        <v>1</v>
      </c>
      <c r="F1228" s="5">
        <v>305.2</v>
      </c>
      <c r="G1228" s="10">
        <f t="shared" si="116"/>
        <v>305.2</v>
      </c>
      <c r="H1228" s="7">
        <f t="shared" si="117"/>
        <v>3.697502238984807E-5</v>
      </c>
      <c r="I1228" s="8">
        <f t="shared" si="119"/>
        <v>0.99367153107775585</v>
      </c>
      <c r="J1228" s="3" t="s">
        <v>525</v>
      </c>
    </row>
    <row r="1229" spans="1:10" x14ac:dyDescent="0.25">
      <c r="A1229" s="3" t="s">
        <v>1240</v>
      </c>
      <c r="B1229" s="3" t="str">
        <f t="shared" si="114"/>
        <v>1</v>
      </c>
      <c r="C1229" s="7">
        <f t="shared" si="115"/>
        <v>6.4432989690721648E-4</v>
      </c>
      <c r="D1229" s="8">
        <f t="shared" si="118"/>
        <v>0.79123711340205927</v>
      </c>
      <c r="E1229" s="4">
        <v>1</v>
      </c>
      <c r="F1229" s="5">
        <v>305.14</v>
      </c>
      <c r="G1229" s="10">
        <f t="shared" si="116"/>
        <v>305.14</v>
      </c>
      <c r="H1229" s="7">
        <f t="shared" si="117"/>
        <v>3.6967753381514543E-5</v>
      </c>
      <c r="I1229" s="8">
        <f t="shared" si="119"/>
        <v>0.99370849883113732</v>
      </c>
      <c r="J1229" s="3" t="s">
        <v>525</v>
      </c>
    </row>
    <row r="1230" spans="1:10" x14ac:dyDescent="0.25">
      <c r="A1230" s="3" t="s">
        <v>1241</v>
      </c>
      <c r="B1230" s="3" t="str">
        <f t="shared" si="114"/>
        <v>3</v>
      </c>
      <c r="C1230" s="7">
        <f t="shared" si="115"/>
        <v>6.4432989690721648E-4</v>
      </c>
      <c r="D1230" s="8">
        <f t="shared" si="118"/>
        <v>0.79188144329896648</v>
      </c>
      <c r="E1230" s="4">
        <v>1</v>
      </c>
      <c r="F1230" s="5">
        <v>304.63</v>
      </c>
      <c r="G1230" s="10">
        <f t="shared" si="116"/>
        <v>304.63</v>
      </c>
      <c r="H1230" s="7">
        <f t="shared" si="117"/>
        <v>3.690596681067961E-5</v>
      </c>
      <c r="I1230" s="8">
        <f t="shared" si="119"/>
        <v>0.99374540479794804</v>
      </c>
      <c r="J1230" s="3" t="s">
        <v>525</v>
      </c>
    </row>
    <row r="1231" spans="1:10" x14ac:dyDescent="0.25">
      <c r="A1231" s="3" t="s">
        <v>1242</v>
      </c>
      <c r="B1231" s="3" t="str">
        <f t="shared" si="114"/>
        <v>9</v>
      </c>
      <c r="C1231" s="7">
        <f t="shared" si="115"/>
        <v>6.4432989690721648E-4</v>
      </c>
      <c r="D1231" s="8">
        <f t="shared" si="118"/>
        <v>0.7925257731958737</v>
      </c>
      <c r="E1231" s="4">
        <v>1</v>
      </c>
      <c r="F1231" s="5">
        <v>303.91000000000003</v>
      </c>
      <c r="G1231" s="10">
        <f t="shared" si="116"/>
        <v>303.91000000000003</v>
      </c>
      <c r="H1231" s="7">
        <f t="shared" si="117"/>
        <v>3.6818738710677351E-5</v>
      </c>
      <c r="I1231" s="8">
        <f t="shared" si="119"/>
        <v>0.99378222353665868</v>
      </c>
      <c r="J1231" s="3" t="s">
        <v>525</v>
      </c>
    </row>
    <row r="1232" spans="1:10" x14ac:dyDescent="0.25">
      <c r="A1232" s="3" t="s">
        <v>1243</v>
      </c>
      <c r="B1232" s="3" t="str">
        <f t="shared" si="114"/>
        <v>2</v>
      </c>
      <c r="C1232" s="7">
        <f t="shared" si="115"/>
        <v>6.4432989690721648E-4</v>
      </c>
      <c r="D1232" s="8">
        <f t="shared" si="118"/>
        <v>0.79317010309278091</v>
      </c>
      <c r="E1232" s="4">
        <v>27</v>
      </c>
      <c r="F1232" s="5">
        <v>11.22</v>
      </c>
      <c r="G1232" s="10">
        <f t="shared" si="116"/>
        <v>302.94</v>
      </c>
      <c r="H1232" s="7">
        <f t="shared" si="117"/>
        <v>3.6701223075952079E-5</v>
      </c>
      <c r="I1232" s="8">
        <f t="shared" si="119"/>
        <v>0.99381892475973466</v>
      </c>
      <c r="J1232" s="3" t="s">
        <v>525</v>
      </c>
    </row>
    <row r="1233" spans="1:10" x14ac:dyDescent="0.25">
      <c r="A1233" s="3" t="s">
        <v>1244</v>
      </c>
      <c r="B1233" s="3" t="str">
        <f t="shared" si="114"/>
        <v>8</v>
      </c>
      <c r="C1233" s="7">
        <f t="shared" si="115"/>
        <v>6.4432989690721648E-4</v>
      </c>
      <c r="D1233" s="8">
        <f t="shared" si="118"/>
        <v>0.79381443298968812</v>
      </c>
      <c r="E1233" s="4">
        <v>5</v>
      </c>
      <c r="F1233" s="5">
        <v>60.55</v>
      </c>
      <c r="G1233" s="10">
        <f t="shared" si="116"/>
        <v>302.75</v>
      </c>
      <c r="H1233" s="7">
        <f t="shared" si="117"/>
        <v>3.6678204549562587E-5</v>
      </c>
      <c r="I1233" s="8">
        <f t="shared" si="119"/>
        <v>0.99385560296428421</v>
      </c>
      <c r="J1233" s="3" t="s">
        <v>525</v>
      </c>
    </row>
    <row r="1234" spans="1:10" x14ac:dyDescent="0.25">
      <c r="A1234" s="3" t="s">
        <v>1245</v>
      </c>
      <c r="B1234" s="3" t="str">
        <f t="shared" si="114"/>
        <v>1</v>
      </c>
      <c r="C1234" s="7">
        <f t="shared" si="115"/>
        <v>6.4432989690721648E-4</v>
      </c>
      <c r="D1234" s="8">
        <f t="shared" si="118"/>
        <v>0.79445876288659534</v>
      </c>
      <c r="E1234" s="4">
        <v>1</v>
      </c>
      <c r="F1234" s="5">
        <v>301.01</v>
      </c>
      <c r="G1234" s="10">
        <f t="shared" si="116"/>
        <v>301.01</v>
      </c>
      <c r="H1234" s="7">
        <f t="shared" si="117"/>
        <v>3.6467403307890456E-5</v>
      </c>
      <c r="I1234" s="8">
        <f t="shared" si="119"/>
        <v>0.99389207036759208</v>
      </c>
      <c r="J1234" s="3" t="s">
        <v>525</v>
      </c>
    </row>
    <row r="1235" spans="1:10" x14ac:dyDescent="0.25">
      <c r="A1235" s="3" t="s">
        <v>1246</v>
      </c>
      <c r="B1235" s="3" t="str">
        <f t="shared" si="114"/>
        <v>6</v>
      </c>
      <c r="C1235" s="7">
        <f t="shared" si="115"/>
        <v>6.4432989690721648E-4</v>
      </c>
      <c r="D1235" s="8">
        <f t="shared" si="118"/>
        <v>0.79510309278350255</v>
      </c>
      <c r="E1235" s="4">
        <v>7</v>
      </c>
      <c r="F1235" s="5">
        <v>42.94</v>
      </c>
      <c r="G1235" s="10">
        <f t="shared" si="116"/>
        <v>300.58</v>
      </c>
      <c r="H1235" s="7">
        <f t="shared" si="117"/>
        <v>3.6415308748166881E-5</v>
      </c>
      <c r="I1235" s="8">
        <f t="shared" si="119"/>
        <v>0.99392848567634029</v>
      </c>
      <c r="J1235" s="3" t="s">
        <v>525</v>
      </c>
    </row>
    <row r="1236" spans="1:10" x14ac:dyDescent="0.25">
      <c r="A1236" s="3" t="s">
        <v>1247</v>
      </c>
      <c r="B1236" s="3" t="str">
        <f t="shared" si="114"/>
        <v>8</v>
      </c>
      <c r="C1236" s="7">
        <f t="shared" si="115"/>
        <v>6.4432989690721648E-4</v>
      </c>
      <c r="D1236" s="8">
        <f t="shared" si="118"/>
        <v>0.79574742268040977</v>
      </c>
      <c r="E1236" s="4">
        <v>10</v>
      </c>
      <c r="F1236" s="5">
        <v>29.99</v>
      </c>
      <c r="G1236" s="10">
        <f t="shared" si="116"/>
        <v>299.89999999999998</v>
      </c>
      <c r="H1236" s="7">
        <f t="shared" si="117"/>
        <v>3.63329266537203E-5</v>
      </c>
      <c r="I1236" s="8">
        <f t="shared" si="119"/>
        <v>0.99396481860299402</v>
      </c>
      <c r="J1236" s="3" t="s">
        <v>525</v>
      </c>
    </row>
    <row r="1237" spans="1:10" x14ac:dyDescent="0.25">
      <c r="A1237" s="3" t="s">
        <v>1248</v>
      </c>
      <c r="B1237" s="3" t="str">
        <f t="shared" si="114"/>
        <v>4</v>
      </c>
      <c r="C1237" s="7">
        <f t="shared" si="115"/>
        <v>6.4432989690721648E-4</v>
      </c>
      <c r="D1237" s="8">
        <f t="shared" si="118"/>
        <v>0.79639175257731698</v>
      </c>
      <c r="E1237" s="4">
        <v>1</v>
      </c>
      <c r="F1237" s="5">
        <v>299.83999999999997</v>
      </c>
      <c r="G1237" s="10">
        <f t="shared" si="116"/>
        <v>299.83999999999997</v>
      </c>
      <c r="H1237" s="7">
        <f t="shared" si="117"/>
        <v>3.6325657645386779E-5</v>
      </c>
      <c r="I1237" s="8">
        <f t="shared" si="119"/>
        <v>0.99400114426063946</v>
      </c>
      <c r="J1237" s="3" t="s">
        <v>525</v>
      </c>
    </row>
    <row r="1238" spans="1:10" x14ac:dyDescent="0.25">
      <c r="A1238" s="3" t="s">
        <v>1249</v>
      </c>
      <c r="B1238" s="3" t="str">
        <f t="shared" si="114"/>
        <v>2</v>
      </c>
      <c r="C1238" s="7">
        <f t="shared" si="115"/>
        <v>6.4432989690721648E-4</v>
      </c>
      <c r="D1238" s="8">
        <f t="shared" si="118"/>
        <v>0.79703608247422419</v>
      </c>
      <c r="E1238" s="4">
        <v>6</v>
      </c>
      <c r="F1238" s="5">
        <v>49.69</v>
      </c>
      <c r="G1238" s="10">
        <f t="shared" si="116"/>
        <v>298.14</v>
      </c>
      <c r="H1238" s="7">
        <f t="shared" si="117"/>
        <v>3.6119702409270326E-5</v>
      </c>
      <c r="I1238" s="8">
        <f t="shared" si="119"/>
        <v>0.9940372639630487</v>
      </c>
      <c r="J1238" s="3" t="s">
        <v>525</v>
      </c>
    </row>
    <row r="1239" spans="1:10" x14ac:dyDescent="0.25">
      <c r="A1239" s="3" t="s">
        <v>1250</v>
      </c>
      <c r="B1239" s="3" t="str">
        <f t="shared" si="114"/>
        <v>7</v>
      </c>
      <c r="C1239" s="7">
        <f t="shared" si="115"/>
        <v>6.4432989690721648E-4</v>
      </c>
      <c r="D1239" s="8">
        <f t="shared" si="118"/>
        <v>0.79768041237113141</v>
      </c>
      <c r="E1239" s="4">
        <v>2</v>
      </c>
      <c r="F1239" s="5">
        <v>148.94999999999999</v>
      </c>
      <c r="G1239" s="10">
        <f t="shared" si="116"/>
        <v>297.89999999999998</v>
      </c>
      <c r="H1239" s="7">
        <f t="shared" si="117"/>
        <v>3.6090626375936235E-5</v>
      </c>
      <c r="I1239" s="8">
        <f t="shared" si="119"/>
        <v>0.99407335458942458</v>
      </c>
      <c r="J1239" s="3" t="s">
        <v>525</v>
      </c>
    </row>
    <row r="1240" spans="1:10" x14ac:dyDescent="0.25">
      <c r="A1240" s="3" t="s">
        <v>1251</v>
      </c>
      <c r="B1240" s="3" t="str">
        <f t="shared" si="114"/>
        <v>5</v>
      </c>
      <c r="C1240" s="7">
        <f t="shared" si="115"/>
        <v>6.4432989690721648E-4</v>
      </c>
      <c r="D1240" s="8">
        <f t="shared" si="118"/>
        <v>0.79832474226803862</v>
      </c>
      <c r="E1240" s="4">
        <v>9</v>
      </c>
      <c r="F1240" s="5">
        <v>33.020000000000003</v>
      </c>
      <c r="G1240" s="10">
        <f t="shared" si="116"/>
        <v>297.18</v>
      </c>
      <c r="H1240" s="7">
        <f t="shared" si="117"/>
        <v>3.6003398275933975E-5</v>
      </c>
      <c r="I1240" s="8">
        <f t="shared" si="119"/>
        <v>0.9941093579877005</v>
      </c>
      <c r="J1240" s="3" t="s">
        <v>525</v>
      </c>
    </row>
    <row r="1241" spans="1:10" x14ac:dyDescent="0.25">
      <c r="A1241" s="3" t="s">
        <v>1252</v>
      </c>
      <c r="B1241" s="3" t="str">
        <f t="shared" si="114"/>
        <v>8</v>
      </c>
      <c r="C1241" s="7">
        <f t="shared" si="115"/>
        <v>6.4432989690721648E-4</v>
      </c>
      <c r="D1241" s="8">
        <f t="shared" si="118"/>
        <v>0.79896907216494584</v>
      </c>
      <c r="E1241" s="4">
        <v>7</v>
      </c>
      <c r="F1241" s="5">
        <v>42.28</v>
      </c>
      <c r="G1241" s="10">
        <f t="shared" si="116"/>
        <v>295.96000000000004</v>
      </c>
      <c r="H1241" s="7">
        <f t="shared" si="117"/>
        <v>3.5855595106485698E-5</v>
      </c>
      <c r="I1241" s="8">
        <f t="shared" si="119"/>
        <v>0.99414521358280694</v>
      </c>
      <c r="J1241" s="3" t="s">
        <v>525</v>
      </c>
    </row>
    <row r="1242" spans="1:10" x14ac:dyDescent="0.25">
      <c r="A1242" s="3" t="s">
        <v>1253</v>
      </c>
      <c r="B1242" s="3" t="str">
        <f t="shared" si="114"/>
        <v>9</v>
      </c>
      <c r="C1242" s="7">
        <f t="shared" si="115"/>
        <v>6.4432989690721648E-4</v>
      </c>
      <c r="D1242" s="8">
        <f t="shared" si="118"/>
        <v>0.79961340206185305</v>
      </c>
      <c r="E1242" s="4">
        <v>3</v>
      </c>
      <c r="F1242" s="5">
        <v>97.77</v>
      </c>
      <c r="G1242" s="10">
        <f t="shared" si="116"/>
        <v>293.31</v>
      </c>
      <c r="H1242" s="7">
        <f t="shared" si="117"/>
        <v>3.5534547238421809E-5</v>
      </c>
      <c r="I1242" s="8">
        <f t="shared" si="119"/>
        <v>0.99418074813004531</v>
      </c>
      <c r="J1242" s="3" t="s">
        <v>525</v>
      </c>
    </row>
    <row r="1243" spans="1:10" x14ac:dyDescent="0.25">
      <c r="A1243" s="3" t="s">
        <v>1254</v>
      </c>
      <c r="B1243" s="3" t="str">
        <f t="shared" si="114"/>
        <v>7</v>
      </c>
      <c r="C1243" s="7">
        <f t="shared" si="115"/>
        <v>6.4432989690721648E-4</v>
      </c>
      <c r="D1243" s="8">
        <f t="shared" si="118"/>
        <v>0.80025773195876027</v>
      </c>
      <c r="E1243" s="4">
        <v>16</v>
      </c>
      <c r="F1243" s="5">
        <v>18.329999999999998</v>
      </c>
      <c r="G1243" s="10">
        <f t="shared" si="116"/>
        <v>293.27999999999997</v>
      </c>
      <c r="H1243" s="7">
        <f t="shared" si="117"/>
        <v>3.5530912734255045E-5</v>
      </c>
      <c r="I1243" s="8">
        <f t="shared" si="119"/>
        <v>0.99421627904277954</v>
      </c>
      <c r="J1243" s="3" t="s">
        <v>525</v>
      </c>
    </row>
    <row r="1244" spans="1:10" x14ac:dyDescent="0.25">
      <c r="A1244" s="3" t="s">
        <v>1255</v>
      </c>
      <c r="B1244" s="3" t="str">
        <f t="shared" si="114"/>
        <v>4</v>
      </c>
      <c r="C1244" s="7">
        <f t="shared" si="115"/>
        <v>6.4432989690721648E-4</v>
      </c>
      <c r="D1244" s="8">
        <f t="shared" si="118"/>
        <v>0.80090206185566748</v>
      </c>
      <c r="E1244" s="4">
        <v>1</v>
      </c>
      <c r="F1244" s="5">
        <v>291.49</v>
      </c>
      <c r="G1244" s="10">
        <f t="shared" si="116"/>
        <v>291.49</v>
      </c>
      <c r="H1244" s="7">
        <f t="shared" si="117"/>
        <v>3.5314053985638315E-5</v>
      </c>
      <c r="I1244" s="8">
        <f t="shared" si="119"/>
        <v>0.99425159309676514</v>
      </c>
      <c r="J1244" s="3" t="s">
        <v>525</v>
      </c>
    </row>
    <row r="1245" spans="1:10" x14ac:dyDescent="0.25">
      <c r="A1245" s="3" t="s">
        <v>1256</v>
      </c>
      <c r="B1245" s="3" t="str">
        <f t="shared" si="114"/>
        <v>9</v>
      </c>
      <c r="C1245" s="7">
        <f t="shared" si="115"/>
        <v>6.4432989690721648E-4</v>
      </c>
      <c r="D1245" s="8">
        <f t="shared" si="118"/>
        <v>0.80154639175257469</v>
      </c>
      <c r="E1245" s="4">
        <v>1</v>
      </c>
      <c r="F1245" s="5">
        <v>290.82</v>
      </c>
      <c r="G1245" s="10">
        <f t="shared" si="116"/>
        <v>290.82</v>
      </c>
      <c r="H1245" s="7">
        <f t="shared" si="117"/>
        <v>3.5232883392580655E-5</v>
      </c>
      <c r="I1245" s="8">
        <f t="shared" si="119"/>
        <v>0.99428682598015772</v>
      </c>
      <c r="J1245" s="3" t="s">
        <v>525</v>
      </c>
    </row>
    <row r="1246" spans="1:10" x14ac:dyDescent="0.25">
      <c r="A1246" s="3" t="s">
        <v>1257</v>
      </c>
      <c r="B1246" s="3" t="str">
        <f t="shared" si="114"/>
        <v>5</v>
      </c>
      <c r="C1246" s="7">
        <f t="shared" si="115"/>
        <v>6.4432989690721648E-4</v>
      </c>
      <c r="D1246" s="8">
        <f t="shared" si="118"/>
        <v>0.80219072164948191</v>
      </c>
      <c r="E1246" s="4">
        <v>4</v>
      </c>
      <c r="F1246" s="5">
        <v>72.59</v>
      </c>
      <c r="G1246" s="10">
        <f t="shared" si="116"/>
        <v>290.36</v>
      </c>
      <c r="H1246" s="7">
        <f t="shared" si="117"/>
        <v>3.5177154328690322E-5</v>
      </c>
      <c r="I1246" s="8">
        <f t="shared" si="119"/>
        <v>0.99432200313448638</v>
      </c>
      <c r="J1246" s="3" t="s">
        <v>525</v>
      </c>
    </row>
    <row r="1247" spans="1:10" x14ac:dyDescent="0.25">
      <c r="A1247" s="3" t="s">
        <v>1258</v>
      </c>
      <c r="B1247" s="3" t="str">
        <f t="shared" si="114"/>
        <v>7</v>
      </c>
      <c r="C1247" s="7">
        <f t="shared" si="115"/>
        <v>6.4432989690721648E-4</v>
      </c>
      <c r="D1247" s="8">
        <f t="shared" si="118"/>
        <v>0.80283505154638912</v>
      </c>
      <c r="E1247" s="4">
        <v>5</v>
      </c>
      <c r="F1247" s="5">
        <v>57.72</v>
      </c>
      <c r="G1247" s="10">
        <f t="shared" si="116"/>
        <v>288.60000000000002</v>
      </c>
      <c r="H1247" s="7">
        <f t="shared" si="117"/>
        <v>3.4963930084240348E-5</v>
      </c>
      <c r="I1247" s="8">
        <f t="shared" si="119"/>
        <v>0.99435696706457066</v>
      </c>
      <c r="J1247" s="3" t="s">
        <v>525</v>
      </c>
    </row>
    <row r="1248" spans="1:10" x14ac:dyDescent="0.25">
      <c r="A1248" s="3" t="s">
        <v>1259</v>
      </c>
      <c r="B1248" s="3" t="str">
        <f t="shared" si="114"/>
        <v>3</v>
      </c>
      <c r="C1248" s="7">
        <f t="shared" si="115"/>
        <v>6.4432989690721648E-4</v>
      </c>
      <c r="D1248" s="8">
        <f t="shared" si="118"/>
        <v>0.80347938144329634</v>
      </c>
      <c r="E1248" s="4">
        <v>2</v>
      </c>
      <c r="F1248" s="5">
        <v>143.58000000000001</v>
      </c>
      <c r="G1248" s="10">
        <f t="shared" si="116"/>
        <v>287.16000000000003</v>
      </c>
      <c r="H1248" s="7">
        <f t="shared" si="117"/>
        <v>3.4789473884235823E-5</v>
      </c>
      <c r="I1248" s="8">
        <f t="shared" si="119"/>
        <v>0.99439175653845491</v>
      </c>
      <c r="J1248" s="3" t="s">
        <v>525</v>
      </c>
    </row>
    <row r="1249" spans="1:10" x14ac:dyDescent="0.25">
      <c r="A1249" s="3" t="s">
        <v>1260</v>
      </c>
      <c r="B1249" s="3" t="str">
        <f t="shared" si="114"/>
        <v>9</v>
      </c>
      <c r="C1249" s="7">
        <f t="shared" si="115"/>
        <v>6.4432989690721648E-4</v>
      </c>
      <c r="D1249" s="8">
        <f t="shared" si="118"/>
        <v>0.80412371134020355</v>
      </c>
      <c r="E1249" s="4">
        <v>1</v>
      </c>
      <c r="F1249" s="5">
        <v>286.81</v>
      </c>
      <c r="G1249" s="10">
        <f t="shared" si="116"/>
        <v>286.81</v>
      </c>
      <c r="H1249" s="7">
        <f t="shared" si="117"/>
        <v>3.4747071335623604E-5</v>
      </c>
      <c r="I1249" s="8">
        <f t="shared" si="119"/>
        <v>0.99442650360979057</v>
      </c>
      <c r="J1249" s="3" t="s">
        <v>525</v>
      </c>
    </row>
    <row r="1250" spans="1:10" x14ac:dyDescent="0.25">
      <c r="A1250" s="3" t="s">
        <v>1261</v>
      </c>
      <c r="B1250" s="3" t="str">
        <f t="shared" si="114"/>
        <v>7</v>
      </c>
      <c r="C1250" s="7">
        <f t="shared" si="115"/>
        <v>6.4432989690721648E-4</v>
      </c>
      <c r="D1250" s="8">
        <f t="shared" si="118"/>
        <v>0.80476804123711076</v>
      </c>
      <c r="E1250" s="4">
        <v>4</v>
      </c>
      <c r="F1250" s="5">
        <v>71.66</v>
      </c>
      <c r="G1250" s="10">
        <f t="shared" si="116"/>
        <v>286.64</v>
      </c>
      <c r="H1250" s="7">
        <f t="shared" si="117"/>
        <v>3.4726475812011962E-5</v>
      </c>
      <c r="I1250" s="8">
        <f t="shared" si="119"/>
        <v>0.99446123008560261</v>
      </c>
      <c r="J1250" s="3" t="s">
        <v>525</v>
      </c>
    </row>
    <row r="1251" spans="1:10" x14ac:dyDescent="0.25">
      <c r="A1251" s="3" t="s">
        <v>1262</v>
      </c>
      <c r="B1251" s="3" t="str">
        <f t="shared" si="114"/>
        <v>5</v>
      </c>
      <c r="C1251" s="7">
        <f t="shared" si="115"/>
        <v>6.4432989690721648E-4</v>
      </c>
      <c r="D1251" s="8">
        <f t="shared" si="118"/>
        <v>0.80541237113401798</v>
      </c>
      <c r="E1251" s="4">
        <v>6</v>
      </c>
      <c r="F1251" s="5">
        <v>47.49</v>
      </c>
      <c r="G1251" s="10">
        <f t="shared" si="116"/>
        <v>284.94</v>
      </c>
      <c r="H1251" s="7">
        <f t="shared" si="117"/>
        <v>3.4520520575895509E-5</v>
      </c>
      <c r="I1251" s="8">
        <f t="shared" si="119"/>
        <v>0.99449575060617845</v>
      </c>
      <c r="J1251" s="3" t="s">
        <v>525</v>
      </c>
    </row>
    <row r="1252" spans="1:10" x14ac:dyDescent="0.25">
      <c r="A1252" s="3" t="s">
        <v>1263</v>
      </c>
      <c r="B1252" s="3" t="str">
        <f t="shared" si="114"/>
        <v>9</v>
      </c>
      <c r="C1252" s="7">
        <f t="shared" si="115"/>
        <v>6.4432989690721648E-4</v>
      </c>
      <c r="D1252" s="8">
        <f t="shared" si="118"/>
        <v>0.80605670103092519</v>
      </c>
      <c r="E1252" s="4">
        <v>1</v>
      </c>
      <c r="F1252" s="5">
        <v>284.08</v>
      </c>
      <c r="G1252" s="10">
        <f t="shared" si="116"/>
        <v>284.08</v>
      </c>
      <c r="H1252" s="7">
        <f t="shared" si="117"/>
        <v>3.4416331456448358E-5</v>
      </c>
      <c r="I1252" s="8">
        <f t="shared" si="119"/>
        <v>0.99453016693763485</v>
      </c>
      <c r="J1252" s="3" t="s">
        <v>525</v>
      </c>
    </row>
    <row r="1253" spans="1:10" x14ac:dyDescent="0.25">
      <c r="A1253" s="3" t="s">
        <v>1264</v>
      </c>
      <c r="B1253" s="3" t="str">
        <f t="shared" si="114"/>
        <v>4</v>
      </c>
      <c r="C1253" s="7">
        <f t="shared" si="115"/>
        <v>6.4432989690721648E-4</v>
      </c>
      <c r="D1253" s="8">
        <f t="shared" si="118"/>
        <v>0.80670103092783241</v>
      </c>
      <c r="E1253" s="4">
        <v>1</v>
      </c>
      <c r="F1253" s="5">
        <v>283.63</v>
      </c>
      <c r="G1253" s="10">
        <f t="shared" si="116"/>
        <v>283.63</v>
      </c>
      <c r="H1253" s="7">
        <f t="shared" si="117"/>
        <v>3.4361813893946947E-5</v>
      </c>
      <c r="I1253" s="8">
        <f t="shared" si="119"/>
        <v>0.99456452875152879</v>
      </c>
      <c r="J1253" s="3" t="s">
        <v>525</v>
      </c>
    </row>
    <row r="1254" spans="1:10" x14ac:dyDescent="0.25">
      <c r="A1254" s="3" t="s">
        <v>1265</v>
      </c>
      <c r="B1254" s="3" t="str">
        <f t="shared" si="114"/>
        <v>9</v>
      </c>
      <c r="C1254" s="7">
        <f t="shared" si="115"/>
        <v>6.4432989690721648E-4</v>
      </c>
      <c r="D1254" s="8">
        <f t="shared" si="118"/>
        <v>0.80734536082473962</v>
      </c>
      <c r="E1254" s="4">
        <v>1</v>
      </c>
      <c r="F1254" s="5">
        <v>281.5</v>
      </c>
      <c r="G1254" s="10">
        <f t="shared" si="116"/>
        <v>281.5</v>
      </c>
      <c r="H1254" s="7">
        <f t="shared" si="117"/>
        <v>3.4103764098106919E-5</v>
      </c>
      <c r="I1254" s="8">
        <f t="shared" si="119"/>
        <v>0.99459863251562686</v>
      </c>
      <c r="J1254" s="3" t="s">
        <v>525</v>
      </c>
    </row>
    <row r="1255" spans="1:10" x14ac:dyDescent="0.25">
      <c r="A1255" s="3" t="s">
        <v>1266</v>
      </c>
      <c r="B1255" s="3" t="str">
        <f t="shared" si="114"/>
        <v>7</v>
      </c>
      <c r="C1255" s="7">
        <f t="shared" si="115"/>
        <v>6.4432989690721648E-4</v>
      </c>
      <c r="D1255" s="8">
        <f t="shared" si="118"/>
        <v>0.80798969072164684</v>
      </c>
      <c r="E1255" s="4">
        <v>2</v>
      </c>
      <c r="F1255" s="5">
        <v>139.81</v>
      </c>
      <c r="G1255" s="10">
        <f t="shared" si="116"/>
        <v>279.62</v>
      </c>
      <c r="H1255" s="7">
        <f t="shared" si="117"/>
        <v>3.3876001836989896E-5</v>
      </c>
      <c r="I1255" s="8">
        <f t="shared" si="119"/>
        <v>0.99463250851746388</v>
      </c>
      <c r="J1255" s="3" t="s">
        <v>525</v>
      </c>
    </row>
    <row r="1256" spans="1:10" x14ac:dyDescent="0.25">
      <c r="A1256" s="3" t="s">
        <v>1267</v>
      </c>
      <c r="B1256" s="3" t="str">
        <f t="shared" si="114"/>
        <v>8</v>
      </c>
      <c r="C1256" s="7">
        <f t="shared" si="115"/>
        <v>6.4432989690721648E-4</v>
      </c>
      <c r="D1256" s="8">
        <f t="shared" si="118"/>
        <v>0.80863402061855405</v>
      </c>
      <c r="E1256" s="4">
        <v>5</v>
      </c>
      <c r="F1256" s="5">
        <v>55.8</v>
      </c>
      <c r="G1256" s="10">
        <f t="shared" si="116"/>
        <v>279</v>
      </c>
      <c r="H1256" s="7">
        <f t="shared" si="117"/>
        <v>3.3800888750876836E-5</v>
      </c>
      <c r="I1256" s="8">
        <f t="shared" si="119"/>
        <v>0.9946663094062147</v>
      </c>
      <c r="J1256" s="3" t="s">
        <v>525</v>
      </c>
    </row>
    <row r="1257" spans="1:10" x14ac:dyDescent="0.25">
      <c r="A1257" s="3" t="s">
        <v>1268</v>
      </c>
      <c r="B1257" s="3" t="str">
        <f t="shared" si="114"/>
        <v>8</v>
      </c>
      <c r="C1257" s="7">
        <f t="shared" si="115"/>
        <v>6.4432989690721648E-4</v>
      </c>
      <c r="D1257" s="8">
        <f t="shared" si="118"/>
        <v>0.80927835051546126</v>
      </c>
      <c r="E1257" s="4">
        <v>13</v>
      </c>
      <c r="F1257" s="5">
        <v>21.44</v>
      </c>
      <c r="G1257" s="10">
        <f t="shared" si="116"/>
        <v>278.72000000000003</v>
      </c>
      <c r="H1257" s="7">
        <f t="shared" si="117"/>
        <v>3.3766966711987073E-5</v>
      </c>
      <c r="I1257" s="8">
        <f t="shared" si="119"/>
        <v>0.99470007637292668</v>
      </c>
      <c r="J1257" s="3" t="s">
        <v>525</v>
      </c>
    </row>
    <row r="1258" spans="1:10" x14ac:dyDescent="0.25">
      <c r="A1258" s="3" t="s">
        <v>1269</v>
      </c>
      <c r="B1258" s="3" t="str">
        <f t="shared" si="114"/>
        <v>6</v>
      </c>
      <c r="C1258" s="7">
        <f t="shared" si="115"/>
        <v>6.4432989690721648E-4</v>
      </c>
      <c r="D1258" s="8">
        <f t="shared" si="118"/>
        <v>0.80992268041236848</v>
      </c>
      <c r="E1258" s="4">
        <v>4</v>
      </c>
      <c r="F1258" s="5">
        <v>69.38</v>
      </c>
      <c r="G1258" s="10">
        <f t="shared" si="116"/>
        <v>277.52</v>
      </c>
      <c r="H1258" s="7">
        <f t="shared" si="117"/>
        <v>3.3621586545316632E-5</v>
      </c>
      <c r="I1258" s="8">
        <f t="shared" si="119"/>
        <v>0.99473369795947197</v>
      </c>
      <c r="J1258" s="3" t="s">
        <v>525</v>
      </c>
    </row>
    <row r="1259" spans="1:10" x14ac:dyDescent="0.25">
      <c r="A1259" s="3" t="s">
        <v>1270</v>
      </c>
      <c r="B1259" s="3" t="str">
        <f t="shared" si="114"/>
        <v>8</v>
      </c>
      <c r="C1259" s="7">
        <f t="shared" si="115"/>
        <v>6.4432989690721648E-4</v>
      </c>
      <c r="D1259" s="8">
        <f t="shared" si="118"/>
        <v>0.81056701030927569</v>
      </c>
      <c r="E1259" s="4">
        <v>7</v>
      </c>
      <c r="F1259" s="5">
        <v>39.47</v>
      </c>
      <c r="G1259" s="10">
        <f t="shared" si="116"/>
        <v>276.28999999999996</v>
      </c>
      <c r="H1259" s="7">
        <f t="shared" si="117"/>
        <v>3.3472571874479426E-5</v>
      </c>
      <c r="I1259" s="8">
        <f t="shared" si="119"/>
        <v>0.99476717053134645</v>
      </c>
      <c r="J1259" s="3" t="s">
        <v>525</v>
      </c>
    </row>
    <row r="1260" spans="1:10" x14ac:dyDescent="0.25">
      <c r="A1260" s="3" t="s">
        <v>1271</v>
      </c>
      <c r="B1260" s="3" t="str">
        <f t="shared" si="114"/>
        <v>8</v>
      </c>
      <c r="C1260" s="7">
        <f t="shared" si="115"/>
        <v>6.4432989690721648E-4</v>
      </c>
      <c r="D1260" s="8">
        <f t="shared" si="118"/>
        <v>0.81121134020618291</v>
      </c>
      <c r="E1260" s="4">
        <v>14</v>
      </c>
      <c r="F1260" s="5">
        <v>19.71</v>
      </c>
      <c r="G1260" s="10">
        <f t="shared" si="116"/>
        <v>275.94</v>
      </c>
      <c r="H1260" s="7">
        <f t="shared" si="117"/>
        <v>3.3430169325867221E-5</v>
      </c>
      <c r="I1260" s="8">
        <f t="shared" si="119"/>
        <v>0.99480060070067233</v>
      </c>
      <c r="J1260" s="3" t="s">
        <v>525</v>
      </c>
    </row>
    <row r="1261" spans="1:10" x14ac:dyDescent="0.25">
      <c r="A1261" s="3" t="s">
        <v>1272</v>
      </c>
      <c r="B1261" s="3" t="str">
        <f t="shared" si="114"/>
        <v>5</v>
      </c>
      <c r="C1261" s="7">
        <f t="shared" si="115"/>
        <v>6.4432989690721648E-4</v>
      </c>
      <c r="D1261" s="8">
        <f t="shared" si="118"/>
        <v>0.81185567010309012</v>
      </c>
      <c r="E1261" s="4">
        <v>14</v>
      </c>
      <c r="F1261" s="5">
        <v>19.690000000000001</v>
      </c>
      <c r="G1261" s="10">
        <f t="shared" si="116"/>
        <v>275.66000000000003</v>
      </c>
      <c r="H1261" s="7">
        <f t="shared" si="117"/>
        <v>3.3396247286977459E-5</v>
      </c>
      <c r="I1261" s="8">
        <f t="shared" si="119"/>
        <v>0.99483399694795926</v>
      </c>
      <c r="J1261" s="3" t="s">
        <v>525</v>
      </c>
    </row>
    <row r="1262" spans="1:10" x14ac:dyDescent="0.25">
      <c r="A1262" s="3" t="s">
        <v>1273</v>
      </c>
      <c r="B1262" s="3" t="str">
        <f t="shared" si="114"/>
        <v>4</v>
      </c>
      <c r="C1262" s="7">
        <f t="shared" si="115"/>
        <v>6.4432989690721648E-4</v>
      </c>
      <c r="D1262" s="8">
        <f t="shared" si="118"/>
        <v>0.81249999999999734</v>
      </c>
      <c r="E1262" s="4">
        <v>1</v>
      </c>
      <c r="F1262" s="5">
        <v>274.85000000000002</v>
      </c>
      <c r="G1262" s="10">
        <f t="shared" si="116"/>
        <v>274.85000000000002</v>
      </c>
      <c r="H1262" s="7">
        <f t="shared" si="117"/>
        <v>3.3298115674474907E-5</v>
      </c>
      <c r="I1262" s="8">
        <f t="shared" si="119"/>
        <v>0.99486729506363369</v>
      </c>
      <c r="J1262" s="3" t="s">
        <v>525</v>
      </c>
    </row>
    <row r="1263" spans="1:10" x14ac:dyDescent="0.25">
      <c r="A1263" s="3" t="s">
        <v>1274</v>
      </c>
      <c r="B1263" s="3" t="str">
        <f t="shared" si="114"/>
        <v>8</v>
      </c>
      <c r="C1263" s="7">
        <f t="shared" si="115"/>
        <v>6.4432989690721648E-4</v>
      </c>
      <c r="D1263" s="8">
        <f t="shared" si="118"/>
        <v>0.81314432989690455</v>
      </c>
      <c r="E1263" s="4">
        <v>14</v>
      </c>
      <c r="F1263" s="5">
        <v>19.559999999999999</v>
      </c>
      <c r="G1263" s="10">
        <f t="shared" si="116"/>
        <v>273.83999999999997</v>
      </c>
      <c r="H1263" s="7">
        <f t="shared" si="117"/>
        <v>3.317575403419395E-5</v>
      </c>
      <c r="I1263" s="8">
        <f t="shared" si="119"/>
        <v>0.99490047081766786</v>
      </c>
      <c r="J1263" s="3" t="s">
        <v>525</v>
      </c>
    </row>
    <row r="1264" spans="1:10" x14ac:dyDescent="0.25">
      <c r="A1264" s="3" t="s">
        <v>1275</v>
      </c>
      <c r="B1264" s="3" t="str">
        <f t="shared" si="114"/>
        <v>8</v>
      </c>
      <c r="C1264" s="7">
        <f t="shared" si="115"/>
        <v>6.4432989690721648E-4</v>
      </c>
      <c r="D1264" s="8">
        <f t="shared" si="118"/>
        <v>0.81378865979381176</v>
      </c>
      <c r="E1264" s="4">
        <v>6</v>
      </c>
      <c r="F1264" s="5">
        <v>45.51</v>
      </c>
      <c r="G1264" s="10">
        <f t="shared" si="116"/>
        <v>273.06</v>
      </c>
      <c r="H1264" s="7">
        <f t="shared" si="117"/>
        <v>3.308125692585817E-5</v>
      </c>
      <c r="I1264" s="8">
        <f t="shared" si="119"/>
        <v>0.99493355207459366</v>
      </c>
      <c r="J1264" s="3" t="s">
        <v>525</v>
      </c>
    </row>
    <row r="1265" spans="1:10" x14ac:dyDescent="0.25">
      <c r="A1265" s="3" t="s">
        <v>1276</v>
      </c>
      <c r="B1265" s="3" t="str">
        <f t="shared" si="114"/>
        <v>6</v>
      </c>
      <c r="C1265" s="7">
        <f t="shared" si="115"/>
        <v>6.4432989690721648E-4</v>
      </c>
      <c r="D1265" s="8">
        <f t="shared" si="118"/>
        <v>0.81443298969071898</v>
      </c>
      <c r="E1265" s="4">
        <v>5</v>
      </c>
      <c r="F1265" s="5">
        <v>54.52</v>
      </c>
      <c r="G1265" s="10">
        <f t="shared" si="116"/>
        <v>272.60000000000002</v>
      </c>
      <c r="H1265" s="7">
        <f t="shared" si="117"/>
        <v>3.3025527861967837E-5</v>
      </c>
      <c r="I1265" s="8">
        <f t="shared" si="119"/>
        <v>0.99496657760245566</v>
      </c>
      <c r="J1265" s="3" t="s">
        <v>525</v>
      </c>
    </row>
    <row r="1266" spans="1:10" x14ac:dyDescent="0.25">
      <c r="A1266" s="3" t="s">
        <v>1277</v>
      </c>
      <c r="B1266" s="3" t="str">
        <f t="shared" si="114"/>
        <v>6</v>
      </c>
      <c r="C1266" s="7">
        <f t="shared" si="115"/>
        <v>6.4432989690721648E-4</v>
      </c>
      <c r="D1266" s="8">
        <f t="shared" si="118"/>
        <v>0.81507731958762619</v>
      </c>
      <c r="E1266" s="4">
        <v>20</v>
      </c>
      <c r="F1266" s="5">
        <v>13.61</v>
      </c>
      <c r="G1266" s="10">
        <f t="shared" si="116"/>
        <v>272.2</v>
      </c>
      <c r="H1266" s="7">
        <f t="shared" si="117"/>
        <v>3.2977067806411019E-5</v>
      </c>
      <c r="I1266" s="8">
        <f t="shared" si="119"/>
        <v>0.99499955467026202</v>
      </c>
      <c r="J1266" s="3" t="s">
        <v>525</v>
      </c>
    </row>
    <row r="1267" spans="1:10" x14ac:dyDescent="0.25">
      <c r="A1267" s="3" t="s">
        <v>1278</v>
      </c>
      <c r="B1267" s="3" t="str">
        <f t="shared" si="114"/>
        <v>8</v>
      </c>
      <c r="C1267" s="7">
        <f t="shared" si="115"/>
        <v>6.4432989690721648E-4</v>
      </c>
      <c r="D1267" s="8">
        <f t="shared" si="118"/>
        <v>0.81572164948453341</v>
      </c>
      <c r="E1267" s="4">
        <v>12</v>
      </c>
      <c r="F1267" s="5">
        <v>22.66</v>
      </c>
      <c r="G1267" s="10">
        <f t="shared" si="116"/>
        <v>271.92</v>
      </c>
      <c r="H1267" s="7">
        <f t="shared" si="117"/>
        <v>3.2943145767521256E-5</v>
      </c>
      <c r="I1267" s="8">
        <f t="shared" si="119"/>
        <v>0.99503249781602954</v>
      </c>
      <c r="J1267" s="3" t="s">
        <v>525</v>
      </c>
    </row>
    <row r="1268" spans="1:10" x14ac:dyDescent="0.25">
      <c r="A1268" s="3" t="s">
        <v>1279</v>
      </c>
      <c r="B1268" s="3" t="str">
        <f t="shared" si="114"/>
        <v>8</v>
      </c>
      <c r="C1268" s="7">
        <f t="shared" si="115"/>
        <v>6.4432989690721648E-4</v>
      </c>
      <c r="D1268" s="8">
        <f t="shared" si="118"/>
        <v>0.81636597938144062</v>
      </c>
      <c r="E1268" s="4">
        <v>9</v>
      </c>
      <c r="F1268" s="5">
        <v>30.1</v>
      </c>
      <c r="G1268" s="10">
        <f t="shared" si="116"/>
        <v>270.90000000000003</v>
      </c>
      <c r="H1268" s="7">
        <f t="shared" si="117"/>
        <v>3.2819572625851384E-5</v>
      </c>
      <c r="I1268" s="8">
        <f t="shared" si="119"/>
        <v>0.99506531738865533</v>
      </c>
      <c r="J1268" s="3" t="s">
        <v>525</v>
      </c>
    </row>
    <row r="1269" spans="1:10" x14ac:dyDescent="0.25">
      <c r="A1269" s="3" t="s">
        <v>1280</v>
      </c>
      <c r="B1269" s="3" t="str">
        <f t="shared" si="114"/>
        <v>6</v>
      </c>
      <c r="C1269" s="7">
        <f t="shared" si="115"/>
        <v>6.4432989690721648E-4</v>
      </c>
      <c r="D1269" s="8">
        <f t="shared" si="118"/>
        <v>0.81701030927834783</v>
      </c>
      <c r="E1269" s="4">
        <v>5</v>
      </c>
      <c r="F1269" s="5">
        <v>54.15</v>
      </c>
      <c r="G1269" s="10">
        <f t="shared" si="116"/>
        <v>270.75</v>
      </c>
      <c r="H1269" s="7">
        <f t="shared" si="117"/>
        <v>3.2801400105017578E-5</v>
      </c>
      <c r="I1269" s="8">
        <f t="shared" si="119"/>
        <v>0.99509811878876031</v>
      </c>
      <c r="J1269" s="3" t="s">
        <v>525</v>
      </c>
    </row>
    <row r="1270" spans="1:10" x14ac:dyDescent="0.25">
      <c r="A1270" s="3" t="s">
        <v>1281</v>
      </c>
      <c r="B1270" s="3" t="str">
        <f t="shared" si="114"/>
        <v>8</v>
      </c>
      <c r="C1270" s="7">
        <f t="shared" si="115"/>
        <v>6.4432989690721648E-4</v>
      </c>
      <c r="D1270" s="8">
        <f t="shared" si="118"/>
        <v>0.81765463917525505</v>
      </c>
      <c r="E1270" s="4">
        <v>5</v>
      </c>
      <c r="F1270" s="5">
        <v>54.09</v>
      </c>
      <c r="G1270" s="10">
        <f t="shared" si="116"/>
        <v>270.45000000000005</v>
      </c>
      <c r="H1270" s="7">
        <f t="shared" si="117"/>
        <v>3.2765055063349973E-5</v>
      </c>
      <c r="I1270" s="8">
        <f t="shared" si="119"/>
        <v>0.99513088384382364</v>
      </c>
      <c r="J1270" s="3" t="s">
        <v>525</v>
      </c>
    </row>
    <row r="1271" spans="1:10" x14ac:dyDescent="0.25">
      <c r="A1271" s="3" t="s">
        <v>1282</v>
      </c>
      <c r="B1271" s="3" t="str">
        <f t="shared" si="114"/>
        <v>4</v>
      </c>
      <c r="C1271" s="7">
        <f t="shared" si="115"/>
        <v>6.4432989690721648E-4</v>
      </c>
      <c r="D1271" s="8">
        <f t="shared" si="118"/>
        <v>0.81829896907216226</v>
      </c>
      <c r="E1271" s="4">
        <v>2</v>
      </c>
      <c r="F1271" s="5">
        <v>135.09</v>
      </c>
      <c r="G1271" s="10">
        <f t="shared" si="116"/>
        <v>270.18</v>
      </c>
      <c r="H1271" s="7">
        <f t="shared" si="117"/>
        <v>3.2732344525849118E-5</v>
      </c>
      <c r="I1271" s="8">
        <f t="shared" si="119"/>
        <v>0.99516361618834948</v>
      </c>
      <c r="J1271" s="3" t="s">
        <v>525</v>
      </c>
    </row>
    <row r="1272" spans="1:10" x14ac:dyDescent="0.25">
      <c r="A1272" s="3" t="s">
        <v>1283</v>
      </c>
      <c r="B1272" s="3" t="str">
        <f t="shared" si="114"/>
        <v>1</v>
      </c>
      <c r="C1272" s="7">
        <f t="shared" si="115"/>
        <v>6.4432989690721648E-4</v>
      </c>
      <c r="D1272" s="8">
        <f t="shared" si="118"/>
        <v>0.81894329896906948</v>
      </c>
      <c r="E1272" s="4">
        <v>1</v>
      </c>
      <c r="F1272" s="5">
        <v>268.43</v>
      </c>
      <c r="G1272" s="10">
        <f t="shared" si="116"/>
        <v>268.43</v>
      </c>
      <c r="H1272" s="7">
        <f t="shared" si="117"/>
        <v>3.2520331782788066E-5</v>
      </c>
      <c r="I1272" s="8">
        <f t="shared" si="119"/>
        <v>0.99519613652013228</v>
      </c>
      <c r="J1272" s="3" t="s">
        <v>525</v>
      </c>
    </row>
    <row r="1273" spans="1:10" x14ac:dyDescent="0.25">
      <c r="A1273" s="3" t="s">
        <v>1284</v>
      </c>
      <c r="B1273" s="3" t="str">
        <f t="shared" si="114"/>
        <v>6</v>
      </c>
      <c r="C1273" s="7">
        <f t="shared" si="115"/>
        <v>6.4432989690721648E-4</v>
      </c>
      <c r="D1273" s="8">
        <f t="shared" si="118"/>
        <v>0.81958762886597669</v>
      </c>
      <c r="E1273" s="4">
        <v>4</v>
      </c>
      <c r="F1273" s="5">
        <v>66.66</v>
      </c>
      <c r="G1273" s="10">
        <f t="shared" si="116"/>
        <v>266.64</v>
      </c>
      <c r="H1273" s="7">
        <f t="shared" si="117"/>
        <v>3.2303473034171328E-5</v>
      </c>
      <c r="I1273" s="8">
        <f t="shared" si="119"/>
        <v>0.99522843999316646</v>
      </c>
      <c r="J1273" s="3" t="s">
        <v>525</v>
      </c>
    </row>
    <row r="1274" spans="1:10" x14ac:dyDescent="0.25">
      <c r="A1274" s="3" t="s">
        <v>1285</v>
      </c>
      <c r="B1274" s="3" t="str">
        <f t="shared" si="114"/>
        <v>7</v>
      </c>
      <c r="C1274" s="7">
        <f t="shared" si="115"/>
        <v>6.4432989690721648E-4</v>
      </c>
      <c r="D1274" s="8">
        <f t="shared" si="118"/>
        <v>0.82023195876288391</v>
      </c>
      <c r="E1274" s="4">
        <v>3</v>
      </c>
      <c r="F1274" s="5">
        <v>88.77</v>
      </c>
      <c r="G1274" s="10">
        <f t="shared" si="116"/>
        <v>266.31</v>
      </c>
      <c r="H1274" s="7">
        <f t="shared" si="117"/>
        <v>3.2263493488336959E-5</v>
      </c>
      <c r="I1274" s="8">
        <f t="shared" si="119"/>
        <v>0.99526070348665474</v>
      </c>
      <c r="J1274" s="3" t="s">
        <v>525</v>
      </c>
    </row>
    <row r="1275" spans="1:10" x14ac:dyDescent="0.25">
      <c r="A1275" s="3" t="s">
        <v>1286</v>
      </c>
      <c r="B1275" s="3" t="str">
        <f t="shared" si="114"/>
        <v>7</v>
      </c>
      <c r="C1275" s="7">
        <f t="shared" si="115"/>
        <v>6.4432989690721648E-4</v>
      </c>
      <c r="D1275" s="8">
        <f t="shared" si="118"/>
        <v>0.82087628865979112</v>
      </c>
      <c r="E1275" s="4">
        <v>2</v>
      </c>
      <c r="F1275" s="5">
        <v>133.11000000000001</v>
      </c>
      <c r="G1275" s="10">
        <f t="shared" si="116"/>
        <v>266.22000000000003</v>
      </c>
      <c r="H1275" s="7">
        <f t="shared" si="117"/>
        <v>3.2252589975836674E-5</v>
      </c>
      <c r="I1275" s="8">
        <f t="shared" si="119"/>
        <v>0.9952929560766306</v>
      </c>
      <c r="J1275" s="3" t="s">
        <v>525</v>
      </c>
    </row>
    <row r="1276" spans="1:10" x14ac:dyDescent="0.25">
      <c r="A1276" s="3" t="s">
        <v>1287</v>
      </c>
      <c r="B1276" s="3" t="str">
        <f t="shared" si="114"/>
        <v>1</v>
      </c>
      <c r="C1276" s="7">
        <f t="shared" si="115"/>
        <v>6.4432989690721648E-4</v>
      </c>
      <c r="D1276" s="8">
        <f t="shared" si="118"/>
        <v>0.82152061855669833</v>
      </c>
      <c r="E1276" s="4">
        <v>1</v>
      </c>
      <c r="F1276" s="5">
        <v>265</v>
      </c>
      <c r="G1276" s="10">
        <f t="shared" si="116"/>
        <v>265</v>
      </c>
      <c r="H1276" s="7">
        <f t="shared" si="117"/>
        <v>3.2104786806388396E-5</v>
      </c>
      <c r="I1276" s="8">
        <f t="shared" si="119"/>
        <v>0.99532506086343697</v>
      </c>
      <c r="J1276" s="3" t="s">
        <v>525</v>
      </c>
    </row>
    <row r="1277" spans="1:10" x14ac:dyDescent="0.25">
      <c r="A1277" s="3" t="s">
        <v>1288</v>
      </c>
      <c r="B1277" s="3" t="str">
        <f t="shared" si="114"/>
        <v>9</v>
      </c>
      <c r="C1277" s="7">
        <f t="shared" si="115"/>
        <v>6.4432989690721648E-4</v>
      </c>
      <c r="D1277" s="8">
        <f t="shared" si="118"/>
        <v>0.82216494845360555</v>
      </c>
      <c r="E1277" s="4">
        <v>1</v>
      </c>
      <c r="F1277" s="5">
        <v>264.63</v>
      </c>
      <c r="G1277" s="10">
        <f t="shared" si="116"/>
        <v>264.63</v>
      </c>
      <c r="H1277" s="7">
        <f t="shared" si="117"/>
        <v>3.2059961254998342E-5</v>
      </c>
      <c r="I1277" s="8">
        <f t="shared" si="119"/>
        <v>0.99535712082469197</v>
      </c>
      <c r="J1277" s="3" t="s">
        <v>525</v>
      </c>
    </row>
    <row r="1278" spans="1:10" x14ac:dyDescent="0.25">
      <c r="A1278" s="3" t="s">
        <v>1289</v>
      </c>
      <c r="B1278" s="3" t="str">
        <f t="shared" si="114"/>
        <v>1</v>
      </c>
      <c r="C1278" s="7">
        <f t="shared" si="115"/>
        <v>6.4432989690721648E-4</v>
      </c>
      <c r="D1278" s="8">
        <f t="shared" si="118"/>
        <v>0.82280927835051276</v>
      </c>
      <c r="E1278" s="4">
        <v>1</v>
      </c>
      <c r="F1278" s="5">
        <v>264.48</v>
      </c>
      <c r="G1278" s="10">
        <f t="shared" si="116"/>
        <v>264.48</v>
      </c>
      <c r="H1278" s="7">
        <f t="shared" si="117"/>
        <v>3.2041788734164543E-5</v>
      </c>
      <c r="I1278" s="8">
        <f t="shared" si="119"/>
        <v>0.99538916261342614</v>
      </c>
      <c r="J1278" s="3" t="s">
        <v>525</v>
      </c>
    </row>
    <row r="1279" spans="1:10" x14ac:dyDescent="0.25">
      <c r="A1279" s="3" t="s">
        <v>1290</v>
      </c>
      <c r="B1279" s="3" t="str">
        <f t="shared" si="114"/>
        <v>4</v>
      </c>
      <c r="C1279" s="7">
        <f t="shared" si="115"/>
        <v>6.4432989690721648E-4</v>
      </c>
      <c r="D1279" s="8">
        <f t="shared" si="118"/>
        <v>0.82345360824741998</v>
      </c>
      <c r="E1279" s="4">
        <v>1</v>
      </c>
      <c r="F1279" s="5">
        <v>262.86</v>
      </c>
      <c r="G1279" s="10">
        <f t="shared" si="116"/>
        <v>262.86</v>
      </c>
      <c r="H1279" s="7">
        <f t="shared" si="117"/>
        <v>3.1845525509159447E-5</v>
      </c>
      <c r="I1279" s="8">
        <f t="shared" si="119"/>
        <v>0.9954210081389353</v>
      </c>
      <c r="J1279" s="3" t="s">
        <v>525</v>
      </c>
    </row>
    <row r="1280" spans="1:10" x14ac:dyDescent="0.25">
      <c r="A1280" s="3" t="s">
        <v>1291</v>
      </c>
      <c r="B1280" s="3" t="str">
        <f t="shared" si="114"/>
        <v>9</v>
      </c>
      <c r="C1280" s="7">
        <f t="shared" si="115"/>
        <v>6.4432989690721648E-4</v>
      </c>
      <c r="D1280" s="8">
        <f t="shared" si="118"/>
        <v>0.82409793814432719</v>
      </c>
      <c r="E1280" s="4">
        <v>1</v>
      </c>
      <c r="F1280" s="5">
        <v>262.27</v>
      </c>
      <c r="G1280" s="10">
        <f t="shared" si="116"/>
        <v>262.27</v>
      </c>
      <c r="H1280" s="7">
        <f t="shared" si="117"/>
        <v>3.1774046927213144E-5</v>
      </c>
      <c r="I1280" s="8">
        <f t="shared" si="119"/>
        <v>0.99545278218586253</v>
      </c>
      <c r="J1280" s="3" t="s">
        <v>525</v>
      </c>
    </row>
    <row r="1281" spans="1:10" x14ac:dyDescent="0.25">
      <c r="A1281" s="3" t="s">
        <v>1292</v>
      </c>
      <c r="B1281" s="3" t="str">
        <f t="shared" si="114"/>
        <v>1</v>
      </c>
      <c r="C1281" s="7">
        <f t="shared" si="115"/>
        <v>6.4432989690721648E-4</v>
      </c>
      <c r="D1281" s="8">
        <f t="shared" si="118"/>
        <v>0.82474226804123441</v>
      </c>
      <c r="E1281" s="4">
        <v>1</v>
      </c>
      <c r="F1281" s="5">
        <v>260.69</v>
      </c>
      <c r="G1281" s="10">
        <f t="shared" si="116"/>
        <v>260.69</v>
      </c>
      <c r="H1281" s="7">
        <f t="shared" si="117"/>
        <v>3.158262970776374E-5</v>
      </c>
      <c r="I1281" s="8">
        <f t="shared" si="119"/>
        <v>0.99548436481557034</v>
      </c>
      <c r="J1281" s="3" t="s">
        <v>525</v>
      </c>
    </row>
    <row r="1282" spans="1:10" x14ac:dyDescent="0.25">
      <c r="A1282" s="3" t="s">
        <v>1293</v>
      </c>
      <c r="B1282" s="3" t="str">
        <f t="shared" ref="B1282:B1345" si="120">RIGHT(A1282,1)</f>
        <v>8</v>
      </c>
      <c r="C1282" s="7">
        <f t="shared" ref="C1282:C1345" si="121">1/COUNTA(A$2:A$1553)</f>
        <v>6.4432989690721648E-4</v>
      </c>
      <c r="D1282" s="8">
        <f t="shared" si="118"/>
        <v>0.82538659793814162</v>
      </c>
      <c r="E1282" s="4">
        <v>9</v>
      </c>
      <c r="F1282" s="5">
        <v>28.87</v>
      </c>
      <c r="G1282" s="10">
        <f t="shared" ref="G1282:G1345" si="122">E1282*F1282</f>
        <v>259.83</v>
      </c>
      <c r="H1282" s="7">
        <f t="shared" ref="H1282:H1345" si="123">G1282/SUM(G$2:G$1553)</f>
        <v>3.1478440588316589E-5</v>
      </c>
      <c r="I1282" s="8">
        <f t="shared" si="119"/>
        <v>0.99551584325615861</v>
      </c>
      <c r="J1282" s="3" t="s">
        <v>525</v>
      </c>
    </row>
    <row r="1283" spans="1:10" x14ac:dyDescent="0.25">
      <c r="A1283" s="3" t="s">
        <v>1294</v>
      </c>
      <c r="B1283" s="3" t="str">
        <f t="shared" si="120"/>
        <v>8</v>
      </c>
      <c r="C1283" s="7">
        <f t="shared" si="121"/>
        <v>6.4432989690721648E-4</v>
      </c>
      <c r="D1283" s="8">
        <f t="shared" ref="D1283:D1346" si="124">D1282+C1283</f>
        <v>0.82603092783504883</v>
      </c>
      <c r="E1283" s="4">
        <v>7</v>
      </c>
      <c r="F1283" s="5">
        <v>37.03</v>
      </c>
      <c r="G1283" s="10">
        <f t="shared" si="122"/>
        <v>259.21000000000004</v>
      </c>
      <c r="H1283" s="7">
        <f t="shared" si="123"/>
        <v>3.1403327502203536E-5</v>
      </c>
      <c r="I1283" s="8">
        <f t="shared" ref="I1283:I1346" si="125">I1282+H1283</f>
        <v>0.99554724658366078</v>
      </c>
      <c r="J1283" s="3" t="s">
        <v>525</v>
      </c>
    </row>
    <row r="1284" spans="1:10" x14ac:dyDescent="0.25">
      <c r="A1284" s="3" t="s">
        <v>1295</v>
      </c>
      <c r="B1284" s="3" t="str">
        <f t="shared" si="120"/>
        <v>5</v>
      </c>
      <c r="C1284" s="7">
        <f t="shared" si="121"/>
        <v>6.4432989690721648E-4</v>
      </c>
      <c r="D1284" s="8">
        <f t="shared" si="124"/>
        <v>0.82667525773195605</v>
      </c>
      <c r="E1284" s="4">
        <v>4</v>
      </c>
      <c r="F1284" s="5">
        <v>64.67</v>
      </c>
      <c r="G1284" s="10">
        <f t="shared" si="122"/>
        <v>258.68</v>
      </c>
      <c r="H1284" s="7">
        <f t="shared" si="123"/>
        <v>3.1339117928590754E-5</v>
      </c>
      <c r="I1284" s="8">
        <f t="shared" si="125"/>
        <v>0.99557858570158941</v>
      </c>
      <c r="J1284" s="3" t="s">
        <v>525</v>
      </c>
    </row>
    <row r="1285" spans="1:10" x14ac:dyDescent="0.25">
      <c r="A1285" s="3" t="s">
        <v>1296</v>
      </c>
      <c r="B1285" s="3" t="str">
        <f t="shared" si="120"/>
        <v>2</v>
      </c>
      <c r="C1285" s="7">
        <f t="shared" si="121"/>
        <v>6.4432989690721648E-4</v>
      </c>
      <c r="D1285" s="8">
        <f t="shared" si="124"/>
        <v>0.82731958762886326</v>
      </c>
      <c r="E1285" s="4">
        <v>31</v>
      </c>
      <c r="F1285" s="5">
        <v>8.33</v>
      </c>
      <c r="G1285" s="10">
        <f t="shared" si="122"/>
        <v>258.23</v>
      </c>
      <c r="H1285" s="7">
        <f t="shared" si="123"/>
        <v>3.1284600366089343E-5</v>
      </c>
      <c r="I1285" s="8">
        <f t="shared" si="125"/>
        <v>0.99560987030195547</v>
      </c>
      <c r="J1285" s="3" t="s">
        <v>525</v>
      </c>
    </row>
    <row r="1286" spans="1:10" x14ac:dyDescent="0.25">
      <c r="A1286" s="3" t="s">
        <v>1297</v>
      </c>
      <c r="B1286" s="3" t="str">
        <f t="shared" si="120"/>
        <v>6</v>
      </c>
      <c r="C1286" s="7">
        <f t="shared" si="121"/>
        <v>6.4432989690721648E-4</v>
      </c>
      <c r="D1286" s="8">
        <f t="shared" si="124"/>
        <v>0.82796391752577048</v>
      </c>
      <c r="E1286" s="4">
        <v>3</v>
      </c>
      <c r="F1286" s="5">
        <v>85.84</v>
      </c>
      <c r="G1286" s="10">
        <f t="shared" si="122"/>
        <v>257.52</v>
      </c>
      <c r="H1286" s="7">
        <f t="shared" si="123"/>
        <v>3.1198583767475998E-5</v>
      </c>
      <c r="I1286" s="8">
        <f t="shared" si="125"/>
        <v>0.9956410688857229</v>
      </c>
      <c r="J1286" s="3" t="s">
        <v>525</v>
      </c>
    </row>
    <row r="1287" spans="1:10" x14ac:dyDescent="0.25">
      <c r="A1287" s="3" t="s">
        <v>1298</v>
      </c>
      <c r="B1287" s="3" t="str">
        <f t="shared" si="120"/>
        <v>8</v>
      </c>
      <c r="C1287" s="7">
        <f t="shared" si="121"/>
        <v>6.4432989690721648E-4</v>
      </c>
      <c r="D1287" s="8">
        <f t="shared" si="124"/>
        <v>0.82860824742267769</v>
      </c>
      <c r="E1287" s="4">
        <v>5</v>
      </c>
      <c r="F1287" s="5">
        <v>51.43</v>
      </c>
      <c r="G1287" s="10">
        <f t="shared" si="122"/>
        <v>257.14999999999998</v>
      </c>
      <c r="H1287" s="7">
        <f t="shared" si="123"/>
        <v>3.1153758216085943E-5</v>
      </c>
      <c r="I1287" s="8">
        <f t="shared" si="125"/>
        <v>0.99567222264393895</v>
      </c>
      <c r="J1287" s="3" t="s">
        <v>525</v>
      </c>
    </row>
    <row r="1288" spans="1:10" x14ac:dyDescent="0.25">
      <c r="A1288" s="3" t="s">
        <v>1299</v>
      </c>
      <c r="B1288" s="3" t="str">
        <f t="shared" si="120"/>
        <v>1</v>
      </c>
      <c r="C1288" s="7">
        <f t="shared" si="121"/>
        <v>6.4432989690721648E-4</v>
      </c>
      <c r="D1288" s="8">
        <f t="shared" si="124"/>
        <v>0.8292525773195849</v>
      </c>
      <c r="E1288" s="4">
        <v>1</v>
      </c>
      <c r="F1288" s="5">
        <v>256.45999999999998</v>
      </c>
      <c r="G1288" s="10">
        <f t="shared" si="122"/>
        <v>256.45999999999998</v>
      </c>
      <c r="H1288" s="7">
        <f t="shared" si="123"/>
        <v>3.1070164620250441E-5</v>
      </c>
      <c r="I1288" s="8">
        <f t="shared" si="125"/>
        <v>0.99570329280855918</v>
      </c>
      <c r="J1288" s="3" t="s">
        <v>525</v>
      </c>
    </row>
    <row r="1289" spans="1:10" x14ac:dyDescent="0.25">
      <c r="A1289" s="3" t="s">
        <v>1300</v>
      </c>
      <c r="B1289" s="3" t="str">
        <f t="shared" si="120"/>
        <v>4</v>
      </c>
      <c r="C1289" s="7">
        <f t="shared" si="121"/>
        <v>6.4432989690721648E-4</v>
      </c>
      <c r="D1289" s="8">
        <f t="shared" si="124"/>
        <v>0.82989690721649212</v>
      </c>
      <c r="E1289" s="4">
        <v>4</v>
      </c>
      <c r="F1289" s="5">
        <v>63.87</v>
      </c>
      <c r="G1289" s="10">
        <f t="shared" si="122"/>
        <v>255.48</v>
      </c>
      <c r="H1289" s="7">
        <f t="shared" si="123"/>
        <v>3.0951437484136254E-5</v>
      </c>
      <c r="I1289" s="8">
        <f t="shared" si="125"/>
        <v>0.99573424424604329</v>
      </c>
      <c r="J1289" s="3" t="s">
        <v>525</v>
      </c>
    </row>
    <row r="1290" spans="1:10" x14ac:dyDescent="0.25">
      <c r="A1290" s="3" t="s">
        <v>1301</v>
      </c>
      <c r="B1290" s="3" t="str">
        <f t="shared" si="120"/>
        <v>8</v>
      </c>
      <c r="C1290" s="7">
        <f t="shared" si="121"/>
        <v>6.4432989690721648E-4</v>
      </c>
      <c r="D1290" s="8">
        <f t="shared" si="124"/>
        <v>0.83054123711339933</v>
      </c>
      <c r="E1290" s="4">
        <v>15</v>
      </c>
      <c r="F1290" s="5">
        <v>16.940000000000001</v>
      </c>
      <c r="G1290" s="10">
        <f t="shared" si="122"/>
        <v>254.10000000000002</v>
      </c>
      <c r="H1290" s="7">
        <f t="shared" si="123"/>
        <v>3.078425029246525E-5</v>
      </c>
      <c r="I1290" s="8">
        <f t="shared" si="125"/>
        <v>0.99576502849633575</v>
      </c>
      <c r="J1290" s="3" t="s">
        <v>525</v>
      </c>
    </row>
    <row r="1291" spans="1:10" x14ac:dyDescent="0.25">
      <c r="A1291" s="3" t="s">
        <v>1302</v>
      </c>
      <c r="B1291" s="3" t="str">
        <f t="shared" si="120"/>
        <v>2</v>
      </c>
      <c r="C1291" s="7">
        <f t="shared" si="121"/>
        <v>6.4432989690721648E-4</v>
      </c>
      <c r="D1291" s="8">
        <f t="shared" si="124"/>
        <v>0.83118556701030655</v>
      </c>
      <c r="E1291" s="4">
        <v>4</v>
      </c>
      <c r="F1291" s="5">
        <v>63.5</v>
      </c>
      <c r="G1291" s="10">
        <f t="shared" si="122"/>
        <v>254</v>
      </c>
      <c r="H1291" s="7">
        <f t="shared" si="123"/>
        <v>3.0772135278576043E-5</v>
      </c>
      <c r="I1291" s="8">
        <f t="shared" si="125"/>
        <v>0.99579580063161433</v>
      </c>
      <c r="J1291" s="3" t="s">
        <v>525</v>
      </c>
    </row>
    <row r="1292" spans="1:10" x14ac:dyDescent="0.25">
      <c r="A1292" s="3" t="s">
        <v>1303</v>
      </c>
      <c r="B1292" s="3" t="str">
        <f t="shared" si="120"/>
        <v>8</v>
      </c>
      <c r="C1292" s="7">
        <f t="shared" si="121"/>
        <v>6.4432989690721648E-4</v>
      </c>
      <c r="D1292" s="8">
        <f t="shared" si="124"/>
        <v>0.83182989690721376</v>
      </c>
      <c r="E1292" s="4">
        <v>15</v>
      </c>
      <c r="F1292" s="5">
        <v>16.93</v>
      </c>
      <c r="G1292" s="10">
        <f t="shared" si="122"/>
        <v>253.95</v>
      </c>
      <c r="H1292" s="7">
        <f t="shared" si="123"/>
        <v>3.0766077771631444E-5</v>
      </c>
      <c r="I1292" s="8">
        <f t="shared" si="125"/>
        <v>0.99582656670938596</v>
      </c>
      <c r="J1292" s="3" t="s">
        <v>525</v>
      </c>
    </row>
    <row r="1293" spans="1:10" x14ac:dyDescent="0.25">
      <c r="A1293" s="3" t="s">
        <v>1304</v>
      </c>
      <c r="B1293" s="3" t="str">
        <f t="shared" si="120"/>
        <v>4</v>
      </c>
      <c r="C1293" s="7">
        <f t="shared" si="121"/>
        <v>6.4432989690721648E-4</v>
      </c>
      <c r="D1293" s="8">
        <f t="shared" si="124"/>
        <v>0.83247422680412098</v>
      </c>
      <c r="E1293" s="4">
        <v>2</v>
      </c>
      <c r="F1293" s="5">
        <v>126.93</v>
      </c>
      <c r="G1293" s="10">
        <f t="shared" si="122"/>
        <v>253.86</v>
      </c>
      <c r="H1293" s="7">
        <f t="shared" si="123"/>
        <v>3.0755174259131165E-5</v>
      </c>
      <c r="I1293" s="8">
        <f t="shared" si="125"/>
        <v>0.99585732188364506</v>
      </c>
      <c r="J1293" s="3" t="s">
        <v>525</v>
      </c>
    </row>
    <row r="1294" spans="1:10" x14ac:dyDescent="0.25">
      <c r="A1294" s="3" t="s">
        <v>1305</v>
      </c>
      <c r="B1294" s="3" t="str">
        <f t="shared" si="120"/>
        <v>2</v>
      </c>
      <c r="C1294" s="7">
        <f t="shared" si="121"/>
        <v>6.4432989690721648E-4</v>
      </c>
      <c r="D1294" s="8">
        <f t="shared" si="124"/>
        <v>0.83311855670102819</v>
      </c>
      <c r="E1294" s="4">
        <v>9</v>
      </c>
      <c r="F1294" s="5">
        <v>27.95</v>
      </c>
      <c r="G1294" s="10">
        <f t="shared" si="122"/>
        <v>251.54999999999998</v>
      </c>
      <c r="H1294" s="7">
        <f t="shared" si="123"/>
        <v>3.0475317438290567E-5</v>
      </c>
      <c r="I1294" s="8">
        <f t="shared" si="125"/>
        <v>0.99588779720108334</v>
      </c>
      <c r="J1294" s="3" t="s">
        <v>525</v>
      </c>
    </row>
    <row r="1295" spans="1:10" x14ac:dyDescent="0.25">
      <c r="A1295" s="3" t="s">
        <v>1306</v>
      </c>
      <c r="B1295" s="3" t="str">
        <f t="shared" si="120"/>
        <v>5</v>
      </c>
      <c r="C1295" s="7">
        <f t="shared" si="121"/>
        <v>6.4432989690721648E-4</v>
      </c>
      <c r="D1295" s="8">
        <f t="shared" si="124"/>
        <v>0.8337628865979354</v>
      </c>
      <c r="E1295" s="4">
        <v>4</v>
      </c>
      <c r="F1295" s="5">
        <v>62.23</v>
      </c>
      <c r="G1295" s="10">
        <f t="shared" si="122"/>
        <v>248.92</v>
      </c>
      <c r="H1295" s="7">
        <f t="shared" si="123"/>
        <v>3.0156692573004525E-5</v>
      </c>
      <c r="I1295" s="8">
        <f t="shared" si="125"/>
        <v>0.99591795389365634</v>
      </c>
      <c r="J1295" s="3" t="s">
        <v>525</v>
      </c>
    </row>
    <row r="1296" spans="1:10" x14ac:dyDescent="0.25">
      <c r="A1296" s="3" t="s">
        <v>1307</v>
      </c>
      <c r="B1296" s="3" t="str">
        <f t="shared" si="120"/>
        <v>8</v>
      </c>
      <c r="C1296" s="7">
        <f t="shared" si="121"/>
        <v>6.4432989690721648E-4</v>
      </c>
      <c r="D1296" s="8">
        <f t="shared" si="124"/>
        <v>0.83440721649484262</v>
      </c>
      <c r="E1296" s="4">
        <v>7</v>
      </c>
      <c r="F1296" s="5">
        <v>35.53</v>
      </c>
      <c r="G1296" s="10">
        <f t="shared" si="122"/>
        <v>248.71</v>
      </c>
      <c r="H1296" s="7">
        <f t="shared" si="123"/>
        <v>3.0131251043837201E-5</v>
      </c>
      <c r="I1296" s="8">
        <f t="shared" si="125"/>
        <v>0.99594808514470012</v>
      </c>
      <c r="J1296" s="3" t="s">
        <v>525</v>
      </c>
    </row>
    <row r="1297" spans="1:10" x14ac:dyDescent="0.25">
      <c r="A1297" s="3" t="s">
        <v>1308</v>
      </c>
      <c r="B1297" s="3" t="str">
        <f t="shared" si="120"/>
        <v>5</v>
      </c>
      <c r="C1297" s="7">
        <f t="shared" si="121"/>
        <v>6.4432989690721648E-4</v>
      </c>
      <c r="D1297" s="8">
        <f t="shared" si="124"/>
        <v>0.83505154639174983</v>
      </c>
      <c r="E1297" s="4">
        <v>5</v>
      </c>
      <c r="F1297" s="5">
        <v>49.73</v>
      </c>
      <c r="G1297" s="10">
        <f t="shared" si="122"/>
        <v>248.64999999999998</v>
      </c>
      <c r="H1297" s="7">
        <f t="shared" si="123"/>
        <v>3.0123982035503673E-5</v>
      </c>
      <c r="I1297" s="8">
        <f t="shared" si="125"/>
        <v>0.99597820912673563</v>
      </c>
      <c r="J1297" s="3" t="s">
        <v>525</v>
      </c>
    </row>
    <row r="1298" spans="1:10" x14ac:dyDescent="0.25">
      <c r="A1298" s="3" t="s">
        <v>1309</v>
      </c>
      <c r="B1298" s="3" t="str">
        <f t="shared" si="120"/>
        <v>9</v>
      </c>
      <c r="C1298" s="7">
        <f t="shared" si="121"/>
        <v>6.4432989690721648E-4</v>
      </c>
      <c r="D1298" s="8">
        <f t="shared" si="124"/>
        <v>0.83569587628865705</v>
      </c>
      <c r="E1298" s="4">
        <v>6</v>
      </c>
      <c r="F1298" s="5">
        <v>40.880000000000003</v>
      </c>
      <c r="G1298" s="10">
        <f t="shared" si="122"/>
        <v>245.28000000000003</v>
      </c>
      <c r="H1298" s="7">
        <f t="shared" si="123"/>
        <v>2.9715706067437535E-5</v>
      </c>
      <c r="I1298" s="8">
        <f t="shared" si="125"/>
        <v>0.99600792483280309</v>
      </c>
      <c r="J1298" s="3" t="s">
        <v>525</v>
      </c>
    </row>
    <row r="1299" spans="1:10" x14ac:dyDescent="0.25">
      <c r="A1299" s="3" t="s">
        <v>1310</v>
      </c>
      <c r="B1299" s="3" t="str">
        <f t="shared" si="120"/>
        <v>7</v>
      </c>
      <c r="C1299" s="7">
        <f t="shared" si="121"/>
        <v>6.4432989690721648E-4</v>
      </c>
      <c r="D1299" s="8">
        <f t="shared" si="124"/>
        <v>0.83634020618556426</v>
      </c>
      <c r="E1299" s="4">
        <v>4</v>
      </c>
      <c r="F1299" s="5">
        <v>61.15</v>
      </c>
      <c r="G1299" s="10">
        <f t="shared" si="122"/>
        <v>244.6</v>
      </c>
      <c r="H1299" s="7">
        <f t="shared" si="123"/>
        <v>2.9633323972990947E-5</v>
      </c>
      <c r="I1299" s="8">
        <f t="shared" si="125"/>
        <v>0.99603755815677608</v>
      </c>
      <c r="J1299" s="3" t="s">
        <v>525</v>
      </c>
    </row>
    <row r="1300" spans="1:10" x14ac:dyDescent="0.25">
      <c r="A1300" s="3" t="s">
        <v>1311</v>
      </c>
      <c r="B1300" s="3" t="str">
        <f t="shared" si="120"/>
        <v>8</v>
      </c>
      <c r="C1300" s="7">
        <f t="shared" si="121"/>
        <v>6.4432989690721648E-4</v>
      </c>
      <c r="D1300" s="8">
        <f t="shared" si="124"/>
        <v>0.83698453608247148</v>
      </c>
      <c r="E1300" s="4">
        <v>28</v>
      </c>
      <c r="F1300" s="5">
        <v>8.7200000000000006</v>
      </c>
      <c r="G1300" s="10">
        <f t="shared" si="122"/>
        <v>244.16000000000003</v>
      </c>
      <c r="H1300" s="7">
        <f t="shared" si="123"/>
        <v>2.9580017911878457E-5</v>
      </c>
      <c r="I1300" s="8">
        <f t="shared" si="125"/>
        <v>0.99606713817468795</v>
      </c>
      <c r="J1300" s="3" t="s">
        <v>525</v>
      </c>
    </row>
    <row r="1301" spans="1:10" x14ac:dyDescent="0.25">
      <c r="A1301" s="3" t="s">
        <v>1312</v>
      </c>
      <c r="B1301" s="3" t="str">
        <f t="shared" si="120"/>
        <v>4</v>
      </c>
      <c r="C1301" s="7">
        <f t="shared" si="121"/>
        <v>6.4432989690721648E-4</v>
      </c>
      <c r="D1301" s="8">
        <f t="shared" si="124"/>
        <v>0.83762886597937869</v>
      </c>
      <c r="E1301" s="4">
        <v>1</v>
      </c>
      <c r="F1301" s="5">
        <v>242.99</v>
      </c>
      <c r="G1301" s="10">
        <f t="shared" si="122"/>
        <v>242.99</v>
      </c>
      <c r="H1301" s="7">
        <f t="shared" si="123"/>
        <v>2.9438272249374779E-5</v>
      </c>
      <c r="I1301" s="8">
        <f t="shared" si="125"/>
        <v>0.99609657644693728</v>
      </c>
      <c r="J1301" s="3" t="s">
        <v>525</v>
      </c>
    </row>
    <row r="1302" spans="1:10" x14ac:dyDescent="0.25">
      <c r="A1302" s="3" t="s">
        <v>1313</v>
      </c>
      <c r="B1302" s="3" t="str">
        <f t="shared" si="120"/>
        <v>8</v>
      </c>
      <c r="C1302" s="7">
        <f t="shared" si="121"/>
        <v>6.4432989690721648E-4</v>
      </c>
      <c r="D1302" s="8">
        <f t="shared" si="124"/>
        <v>0.8382731958762859</v>
      </c>
      <c r="E1302" s="4">
        <v>13</v>
      </c>
      <c r="F1302" s="5">
        <v>18.600000000000001</v>
      </c>
      <c r="G1302" s="10">
        <f t="shared" si="122"/>
        <v>241.8</v>
      </c>
      <c r="H1302" s="7">
        <f t="shared" si="123"/>
        <v>2.9294103584093262E-5</v>
      </c>
      <c r="I1302" s="8">
        <f t="shared" si="125"/>
        <v>0.99612587055052138</v>
      </c>
      <c r="J1302" s="3" t="s">
        <v>525</v>
      </c>
    </row>
    <row r="1303" spans="1:10" x14ac:dyDescent="0.25">
      <c r="A1303" s="3" t="s">
        <v>1314</v>
      </c>
      <c r="B1303" s="3" t="str">
        <f t="shared" si="120"/>
        <v>4</v>
      </c>
      <c r="C1303" s="7">
        <f t="shared" si="121"/>
        <v>6.4432989690721648E-4</v>
      </c>
      <c r="D1303" s="8">
        <f t="shared" si="124"/>
        <v>0.83891752577319312</v>
      </c>
      <c r="E1303" s="4">
        <v>1</v>
      </c>
      <c r="F1303" s="5">
        <v>239.49</v>
      </c>
      <c r="G1303" s="10">
        <f t="shared" si="122"/>
        <v>239.49</v>
      </c>
      <c r="H1303" s="7">
        <f t="shared" si="123"/>
        <v>2.9014246763252668E-5</v>
      </c>
      <c r="I1303" s="8">
        <f t="shared" si="125"/>
        <v>0.99615488479728465</v>
      </c>
      <c r="J1303" s="3" t="s">
        <v>525</v>
      </c>
    </row>
    <row r="1304" spans="1:10" x14ac:dyDescent="0.25">
      <c r="A1304" s="3" t="s">
        <v>1315</v>
      </c>
      <c r="B1304" s="3" t="str">
        <f t="shared" si="120"/>
        <v>9</v>
      </c>
      <c r="C1304" s="7">
        <f t="shared" si="121"/>
        <v>6.4432989690721648E-4</v>
      </c>
      <c r="D1304" s="8">
        <f t="shared" si="124"/>
        <v>0.83956185567010033</v>
      </c>
      <c r="E1304" s="4">
        <v>1</v>
      </c>
      <c r="F1304" s="5">
        <v>238.69</v>
      </c>
      <c r="G1304" s="10">
        <f t="shared" si="122"/>
        <v>238.69</v>
      </c>
      <c r="H1304" s="7">
        <f t="shared" si="123"/>
        <v>2.8917326652139041E-5</v>
      </c>
      <c r="I1304" s="8">
        <f t="shared" si="125"/>
        <v>0.99618380212393676</v>
      </c>
      <c r="J1304" s="3" t="s">
        <v>525</v>
      </c>
    </row>
    <row r="1305" spans="1:10" x14ac:dyDescent="0.25">
      <c r="A1305" s="3" t="s">
        <v>1316</v>
      </c>
      <c r="B1305" s="3" t="str">
        <f t="shared" si="120"/>
        <v>6</v>
      </c>
      <c r="C1305" s="7">
        <f t="shared" si="121"/>
        <v>6.4432989690721648E-4</v>
      </c>
      <c r="D1305" s="8">
        <f t="shared" si="124"/>
        <v>0.84020618556700755</v>
      </c>
      <c r="E1305" s="4">
        <v>4</v>
      </c>
      <c r="F1305" s="5">
        <v>59.37</v>
      </c>
      <c r="G1305" s="10">
        <f t="shared" si="122"/>
        <v>237.48</v>
      </c>
      <c r="H1305" s="7">
        <f t="shared" si="123"/>
        <v>2.8770734984079682E-5</v>
      </c>
      <c r="I1305" s="8">
        <f t="shared" si="125"/>
        <v>0.99621257285892084</v>
      </c>
      <c r="J1305" s="3" t="s">
        <v>525</v>
      </c>
    </row>
    <row r="1306" spans="1:10" x14ac:dyDescent="0.25">
      <c r="A1306" s="3" t="s">
        <v>1317</v>
      </c>
      <c r="B1306" s="3" t="str">
        <f t="shared" si="120"/>
        <v>6</v>
      </c>
      <c r="C1306" s="7">
        <f t="shared" si="121"/>
        <v>6.4432989690721648E-4</v>
      </c>
      <c r="D1306" s="8">
        <f t="shared" si="124"/>
        <v>0.84085051546391476</v>
      </c>
      <c r="E1306" s="4">
        <v>22</v>
      </c>
      <c r="F1306" s="5">
        <v>10.75</v>
      </c>
      <c r="G1306" s="10">
        <f t="shared" si="122"/>
        <v>236.5</v>
      </c>
      <c r="H1306" s="7">
        <f t="shared" si="123"/>
        <v>2.8652007847965492E-5</v>
      </c>
      <c r="I1306" s="8">
        <f t="shared" si="125"/>
        <v>0.9962412248667688</v>
      </c>
      <c r="J1306" s="3" t="s">
        <v>525</v>
      </c>
    </row>
    <row r="1307" spans="1:10" x14ac:dyDescent="0.25">
      <c r="A1307" s="3" t="s">
        <v>1318</v>
      </c>
      <c r="B1307" s="3" t="str">
        <f t="shared" si="120"/>
        <v>2</v>
      </c>
      <c r="C1307" s="7">
        <f t="shared" si="121"/>
        <v>6.4432989690721648E-4</v>
      </c>
      <c r="D1307" s="8">
        <f t="shared" si="124"/>
        <v>0.84149484536082197</v>
      </c>
      <c r="E1307" s="4">
        <v>7</v>
      </c>
      <c r="F1307" s="5">
        <v>33.69</v>
      </c>
      <c r="G1307" s="10">
        <f t="shared" si="122"/>
        <v>235.82999999999998</v>
      </c>
      <c r="H1307" s="7">
        <f t="shared" si="123"/>
        <v>2.8570837254907829E-5</v>
      </c>
      <c r="I1307" s="8">
        <f t="shared" si="125"/>
        <v>0.99626979570402374</v>
      </c>
      <c r="J1307" s="3" t="s">
        <v>525</v>
      </c>
    </row>
    <row r="1308" spans="1:10" x14ac:dyDescent="0.25">
      <c r="A1308" s="3" t="s">
        <v>1319</v>
      </c>
      <c r="B1308" s="3" t="str">
        <f t="shared" si="120"/>
        <v>4</v>
      </c>
      <c r="C1308" s="7">
        <f t="shared" si="121"/>
        <v>6.4432989690721648E-4</v>
      </c>
      <c r="D1308" s="8">
        <f t="shared" si="124"/>
        <v>0.84213917525772919</v>
      </c>
      <c r="E1308" s="4">
        <v>3</v>
      </c>
      <c r="F1308" s="5">
        <v>78.2</v>
      </c>
      <c r="G1308" s="10">
        <f t="shared" si="122"/>
        <v>234.60000000000002</v>
      </c>
      <c r="H1308" s="7">
        <f t="shared" si="123"/>
        <v>2.8421822584070633E-5</v>
      </c>
      <c r="I1308" s="8">
        <f t="shared" si="125"/>
        <v>0.99629821752660785</v>
      </c>
      <c r="J1308" s="3" t="s">
        <v>525</v>
      </c>
    </row>
    <row r="1309" spans="1:10" x14ac:dyDescent="0.25">
      <c r="A1309" s="3" t="s">
        <v>1320</v>
      </c>
      <c r="B1309" s="3" t="str">
        <f t="shared" si="120"/>
        <v>7</v>
      </c>
      <c r="C1309" s="7">
        <f t="shared" si="121"/>
        <v>6.4432989690721648E-4</v>
      </c>
      <c r="D1309" s="8">
        <f t="shared" si="124"/>
        <v>0.8427835051546364</v>
      </c>
      <c r="E1309" s="4">
        <v>1</v>
      </c>
      <c r="F1309" s="5">
        <v>233.47</v>
      </c>
      <c r="G1309" s="10">
        <f t="shared" si="122"/>
        <v>233.47</v>
      </c>
      <c r="H1309" s="7">
        <f t="shared" si="123"/>
        <v>2.8284922927122638E-5</v>
      </c>
      <c r="I1309" s="8">
        <f t="shared" si="125"/>
        <v>0.99632650244953502</v>
      </c>
      <c r="J1309" s="3" t="s">
        <v>525</v>
      </c>
    </row>
    <row r="1310" spans="1:10" x14ac:dyDescent="0.25">
      <c r="A1310" s="3" t="s">
        <v>1321</v>
      </c>
      <c r="B1310" s="3" t="str">
        <f t="shared" si="120"/>
        <v>4</v>
      </c>
      <c r="C1310" s="7">
        <f t="shared" si="121"/>
        <v>6.4432989690721648E-4</v>
      </c>
      <c r="D1310" s="8">
        <f t="shared" si="124"/>
        <v>0.84342783505154362</v>
      </c>
      <c r="E1310" s="4">
        <v>1</v>
      </c>
      <c r="F1310" s="5">
        <v>231.32</v>
      </c>
      <c r="G1310" s="10">
        <f t="shared" si="122"/>
        <v>231.32</v>
      </c>
      <c r="H1310" s="7">
        <f t="shared" si="123"/>
        <v>2.8024450128504767E-5</v>
      </c>
      <c r="I1310" s="8">
        <f t="shared" si="125"/>
        <v>0.99635452689966353</v>
      </c>
      <c r="J1310" s="3" t="s">
        <v>525</v>
      </c>
    </row>
    <row r="1311" spans="1:10" x14ac:dyDescent="0.25">
      <c r="A1311" s="3" t="s">
        <v>1322</v>
      </c>
      <c r="B1311" s="3" t="str">
        <f t="shared" si="120"/>
        <v>6</v>
      </c>
      <c r="C1311" s="7">
        <f t="shared" si="121"/>
        <v>6.4432989690721648E-4</v>
      </c>
      <c r="D1311" s="8">
        <f t="shared" si="124"/>
        <v>0.84407216494845083</v>
      </c>
      <c r="E1311" s="4">
        <v>5</v>
      </c>
      <c r="F1311" s="5">
        <v>46.26</v>
      </c>
      <c r="G1311" s="10">
        <f t="shared" si="122"/>
        <v>231.29999999999998</v>
      </c>
      <c r="H1311" s="7">
        <f t="shared" si="123"/>
        <v>2.8022027125726924E-5</v>
      </c>
      <c r="I1311" s="8">
        <f t="shared" si="125"/>
        <v>0.99638254892678924</v>
      </c>
      <c r="J1311" s="3" t="s">
        <v>525</v>
      </c>
    </row>
    <row r="1312" spans="1:10" x14ac:dyDescent="0.25">
      <c r="A1312" s="3" t="s">
        <v>1323</v>
      </c>
      <c r="B1312" s="3" t="str">
        <f t="shared" si="120"/>
        <v>3</v>
      </c>
      <c r="C1312" s="7">
        <f t="shared" si="121"/>
        <v>6.4432989690721648E-4</v>
      </c>
      <c r="D1312" s="8">
        <f t="shared" si="124"/>
        <v>0.84471649484535805</v>
      </c>
      <c r="E1312" s="4">
        <v>1</v>
      </c>
      <c r="F1312" s="5">
        <v>230.15</v>
      </c>
      <c r="G1312" s="10">
        <f t="shared" si="122"/>
        <v>230.15</v>
      </c>
      <c r="H1312" s="7">
        <f t="shared" si="123"/>
        <v>2.7882704466001092E-5</v>
      </c>
      <c r="I1312" s="8">
        <f t="shared" si="125"/>
        <v>0.9964104316312552</v>
      </c>
      <c r="J1312" s="3" t="s">
        <v>525</v>
      </c>
    </row>
    <row r="1313" spans="1:10" x14ac:dyDescent="0.25">
      <c r="A1313" s="3" t="s">
        <v>1324</v>
      </c>
      <c r="B1313" s="3" t="str">
        <f t="shared" si="120"/>
        <v>3</v>
      </c>
      <c r="C1313" s="7">
        <f t="shared" si="121"/>
        <v>6.4432989690721648E-4</v>
      </c>
      <c r="D1313" s="8">
        <f t="shared" si="124"/>
        <v>0.84536082474226526</v>
      </c>
      <c r="E1313" s="4">
        <v>3</v>
      </c>
      <c r="F1313" s="5">
        <v>76.709999999999994</v>
      </c>
      <c r="G1313" s="10">
        <f t="shared" si="122"/>
        <v>230.13</v>
      </c>
      <c r="H1313" s="7">
        <f t="shared" si="123"/>
        <v>2.788028146322325E-5</v>
      </c>
      <c r="I1313" s="8">
        <f t="shared" si="125"/>
        <v>0.99643831191271848</v>
      </c>
      <c r="J1313" s="3" t="s">
        <v>525</v>
      </c>
    </row>
    <row r="1314" spans="1:10" x14ac:dyDescent="0.25">
      <c r="A1314" s="3" t="s">
        <v>1325</v>
      </c>
      <c r="B1314" s="3" t="str">
        <f t="shared" si="120"/>
        <v>9</v>
      </c>
      <c r="C1314" s="7">
        <f t="shared" si="121"/>
        <v>6.4432989690721648E-4</v>
      </c>
      <c r="D1314" s="8">
        <f t="shared" si="124"/>
        <v>0.84600515463917247</v>
      </c>
      <c r="E1314" s="4">
        <v>1</v>
      </c>
      <c r="F1314" s="5">
        <v>228.33</v>
      </c>
      <c r="G1314" s="10">
        <f t="shared" si="122"/>
        <v>228.33</v>
      </c>
      <c r="H1314" s="7">
        <f t="shared" si="123"/>
        <v>2.7662211213217594E-5</v>
      </c>
      <c r="I1314" s="8">
        <f t="shared" si="125"/>
        <v>0.99646597412393167</v>
      </c>
      <c r="J1314" s="3" t="s">
        <v>525</v>
      </c>
    </row>
    <row r="1315" spans="1:10" x14ac:dyDescent="0.25">
      <c r="A1315" s="3" t="s">
        <v>1326</v>
      </c>
      <c r="B1315" s="3" t="str">
        <f t="shared" si="120"/>
        <v>5</v>
      </c>
      <c r="C1315" s="7">
        <f t="shared" si="121"/>
        <v>6.4432989690721648E-4</v>
      </c>
      <c r="D1315" s="8">
        <f t="shared" si="124"/>
        <v>0.84664948453607969</v>
      </c>
      <c r="E1315" s="4">
        <v>1</v>
      </c>
      <c r="F1315" s="5">
        <v>228.19</v>
      </c>
      <c r="G1315" s="10">
        <f t="shared" si="122"/>
        <v>228.19</v>
      </c>
      <c r="H1315" s="7">
        <f t="shared" si="123"/>
        <v>2.764525019377271E-5</v>
      </c>
      <c r="I1315" s="8">
        <f t="shared" si="125"/>
        <v>0.99649361937412539</v>
      </c>
      <c r="J1315" s="3" t="s">
        <v>525</v>
      </c>
    </row>
    <row r="1316" spans="1:10" x14ac:dyDescent="0.25">
      <c r="A1316" s="3" t="s">
        <v>1327</v>
      </c>
      <c r="B1316" s="3" t="str">
        <f t="shared" si="120"/>
        <v>3</v>
      </c>
      <c r="C1316" s="7">
        <f t="shared" si="121"/>
        <v>6.4432989690721648E-4</v>
      </c>
      <c r="D1316" s="8">
        <f t="shared" si="124"/>
        <v>0.8472938144329869</v>
      </c>
      <c r="E1316" s="4">
        <v>1</v>
      </c>
      <c r="F1316" s="5">
        <v>227.75</v>
      </c>
      <c r="G1316" s="10">
        <f t="shared" si="122"/>
        <v>227.75</v>
      </c>
      <c r="H1316" s="7">
        <f t="shared" si="123"/>
        <v>2.7591944132660216E-5</v>
      </c>
      <c r="I1316" s="8">
        <f t="shared" si="125"/>
        <v>0.9965212113182581</v>
      </c>
      <c r="J1316" s="3" t="s">
        <v>525</v>
      </c>
    </row>
    <row r="1317" spans="1:10" x14ac:dyDescent="0.25">
      <c r="A1317" s="3" t="s">
        <v>1328</v>
      </c>
      <c r="B1317" s="3" t="str">
        <f t="shared" si="120"/>
        <v>8</v>
      </c>
      <c r="C1317" s="7">
        <f t="shared" si="121"/>
        <v>6.4432989690721648E-4</v>
      </c>
      <c r="D1317" s="8">
        <f t="shared" si="124"/>
        <v>0.84793814432989412</v>
      </c>
      <c r="E1317" s="4">
        <v>22</v>
      </c>
      <c r="F1317" s="5">
        <v>10.34</v>
      </c>
      <c r="G1317" s="10">
        <f t="shared" si="122"/>
        <v>227.48</v>
      </c>
      <c r="H1317" s="7">
        <f t="shared" si="123"/>
        <v>2.7559233595159365E-5</v>
      </c>
      <c r="I1317" s="8">
        <f t="shared" si="125"/>
        <v>0.99654877055185331</v>
      </c>
      <c r="J1317" s="3" t="s">
        <v>525</v>
      </c>
    </row>
    <row r="1318" spans="1:10" x14ac:dyDescent="0.25">
      <c r="A1318" s="3" t="s">
        <v>1329</v>
      </c>
      <c r="B1318" s="3" t="str">
        <f t="shared" si="120"/>
        <v>9</v>
      </c>
      <c r="C1318" s="7">
        <f t="shared" si="121"/>
        <v>6.4432989690721648E-4</v>
      </c>
      <c r="D1318" s="8">
        <f t="shared" si="124"/>
        <v>0.84858247422680133</v>
      </c>
      <c r="E1318" s="4">
        <v>1</v>
      </c>
      <c r="F1318" s="5">
        <v>227.11</v>
      </c>
      <c r="G1318" s="10">
        <f t="shared" si="122"/>
        <v>227.11</v>
      </c>
      <c r="H1318" s="7">
        <f t="shared" si="123"/>
        <v>2.7514408043769317E-5</v>
      </c>
      <c r="I1318" s="8">
        <f t="shared" si="125"/>
        <v>0.99657628495989703</v>
      </c>
      <c r="J1318" s="3" t="s">
        <v>525</v>
      </c>
    </row>
    <row r="1319" spans="1:10" x14ac:dyDescent="0.25">
      <c r="A1319" s="3" t="s">
        <v>1330</v>
      </c>
      <c r="B1319" s="3" t="str">
        <f t="shared" si="120"/>
        <v>7</v>
      </c>
      <c r="C1319" s="7">
        <f t="shared" si="121"/>
        <v>6.4432989690721648E-4</v>
      </c>
      <c r="D1319" s="8">
        <f t="shared" si="124"/>
        <v>0.84922680412370855</v>
      </c>
      <c r="E1319" s="4">
        <v>2</v>
      </c>
      <c r="F1319" s="5">
        <v>112.96</v>
      </c>
      <c r="G1319" s="10">
        <f t="shared" si="122"/>
        <v>225.92</v>
      </c>
      <c r="H1319" s="7">
        <f t="shared" si="123"/>
        <v>2.7370239378487797E-5</v>
      </c>
      <c r="I1319" s="8">
        <f t="shared" si="125"/>
        <v>0.99660365519927552</v>
      </c>
      <c r="J1319" s="3" t="s">
        <v>525</v>
      </c>
    </row>
    <row r="1320" spans="1:10" x14ac:dyDescent="0.25">
      <c r="A1320" s="3" t="s">
        <v>1331</v>
      </c>
      <c r="B1320" s="3" t="str">
        <f t="shared" si="120"/>
        <v>5</v>
      </c>
      <c r="C1320" s="7">
        <f t="shared" si="121"/>
        <v>6.4432989690721648E-4</v>
      </c>
      <c r="D1320" s="8">
        <f t="shared" si="124"/>
        <v>0.84987113402061576</v>
      </c>
      <c r="E1320" s="4">
        <v>1</v>
      </c>
      <c r="F1320" s="5">
        <v>224.34</v>
      </c>
      <c r="G1320" s="10">
        <f t="shared" si="122"/>
        <v>224.34</v>
      </c>
      <c r="H1320" s="7">
        <f t="shared" si="123"/>
        <v>2.7178822159038386E-5</v>
      </c>
      <c r="I1320" s="8">
        <f t="shared" si="125"/>
        <v>0.9966308340214346</v>
      </c>
      <c r="J1320" s="3" t="s">
        <v>525</v>
      </c>
    </row>
    <row r="1321" spans="1:10" x14ac:dyDescent="0.25">
      <c r="A1321" s="3" t="s">
        <v>1332</v>
      </c>
      <c r="B1321" s="3" t="str">
        <f t="shared" si="120"/>
        <v>9</v>
      </c>
      <c r="C1321" s="7">
        <f t="shared" si="121"/>
        <v>6.4432989690721648E-4</v>
      </c>
      <c r="D1321" s="8">
        <f t="shared" si="124"/>
        <v>0.85051546391752297</v>
      </c>
      <c r="E1321" s="4">
        <v>1</v>
      </c>
      <c r="F1321" s="5">
        <v>222.14</v>
      </c>
      <c r="G1321" s="10">
        <f t="shared" si="122"/>
        <v>222.14</v>
      </c>
      <c r="H1321" s="7">
        <f t="shared" si="123"/>
        <v>2.6912291853475915E-5</v>
      </c>
      <c r="I1321" s="8">
        <f t="shared" si="125"/>
        <v>0.99665774631328807</v>
      </c>
      <c r="J1321" s="3" t="s">
        <v>525</v>
      </c>
    </row>
    <row r="1322" spans="1:10" x14ac:dyDescent="0.25">
      <c r="A1322" s="3" t="s">
        <v>1333</v>
      </c>
      <c r="B1322" s="3" t="str">
        <f t="shared" si="120"/>
        <v>8</v>
      </c>
      <c r="C1322" s="7">
        <f t="shared" si="121"/>
        <v>6.4432989690721648E-4</v>
      </c>
      <c r="D1322" s="8">
        <f t="shared" si="124"/>
        <v>0.85115979381443019</v>
      </c>
      <c r="E1322" s="4">
        <v>4</v>
      </c>
      <c r="F1322" s="5">
        <v>55.34</v>
      </c>
      <c r="G1322" s="10">
        <f t="shared" si="122"/>
        <v>221.36</v>
      </c>
      <c r="H1322" s="7">
        <f t="shared" si="123"/>
        <v>2.6817794745140135E-5</v>
      </c>
      <c r="I1322" s="8">
        <f t="shared" si="125"/>
        <v>0.99668456410803319</v>
      </c>
      <c r="J1322" s="3" t="s">
        <v>525</v>
      </c>
    </row>
    <row r="1323" spans="1:10" x14ac:dyDescent="0.25">
      <c r="A1323" s="3" t="s">
        <v>1334</v>
      </c>
      <c r="B1323" s="3" t="str">
        <f t="shared" si="120"/>
        <v>2</v>
      </c>
      <c r="C1323" s="7">
        <f t="shared" si="121"/>
        <v>6.4432989690721648E-4</v>
      </c>
      <c r="D1323" s="8">
        <f t="shared" si="124"/>
        <v>0.8518041237113374</v>
      </c>
      <c r="E1323" s="4">
        <v>3</v>
      </c>
      <c r="F1323" s="5">
        <v>72.66</v>
      </c>
      <c r="G1323" s="10">
        <f t="shared" si="122"/>
        <v>217.98</v>
      </c>
      <c r="H1323" s="7">
        <f t="shared" si="123"/>
        <v>2.6408307275685065E-5</v>
      </c>
      <c r="I1323" s="8">
        <f t="shared" si="125"/>
        <v>0.99671097241530893</v>
      </c>
      <c r="J1323" s="3" t="s">
        <v>525</v>
      </c>
    </row>
    <row r="1324" spans="1:10" x14ac:dyDescent="0.25">
      <c r="A1324" s="3" t="s">
        <v>1335</v>
      </c>
      <c r="B1324" s="3" t="str">
        <f t="shared" si="120"/>
        <v>4</v>
      </c>
      <c r="C1324" s="7">
        <f t="shared" si="121"/>
        <v>6.4432989690721648E-4</v>
      </c>
      <c r="D1324" s="8">
        <f t="shared" si="124"/>
        <v>0.85244845360824462</v>
      </c>
      <c r="E1324" s="4">
        <v>1</v>
      </c>
      <c r="F1324" s="5">
        <v>217.59</v>
      </c>
      <c r="G1324" s="10">
        <f t="shared" si="122"/>
        <v>217.59</v>
      </c>
      <c r="H1324" s="7">
        <f t="shared" si="123"/>
        <v>2.6361058721517175E-5</v>
      </c>
      <c r="I1324" s="8">
        <f t="shared" si="125"/>
        <v>0.99673733347403048</v>
      </c>
      <c r="J1324" s="3" t="s">
        <v>525</v>
      </c>
    </row>
    <row r="1325" spans="1:10" x14ac:dyDescent="0.25">
      <c r="A1325" s="3" t="s">
        <v>1336</v>
      </c>
      <c r="B1325" s="3" t="str">
        <f t="shared" si="120"/>
        <v>4</v>
      </c>
      <c r="C1325" s="7">
        <f t="shared" si="121"/>
        <v>6.4432989690721648E-4</v>
      </c>
      <c r="D1325" s="8">
        <f t="shared" si="124"/>
        <v>0.85309278350515183</v>
      </c>
      <c r="E1325" s="4">
        <v>8</v>
      </c>
      <c r="F1325" s="5">
        <v>27.15</v>
      </c>
      <c r="G1325" s="10">
        <f t="shared" si="122"/>
        <v>217.2</v>
      </c>
      <c r="H1325" s="7">
        <f t="shared" si="123"/>
        <v>2.6313810167349278E-5</v>
      </c>
      <c r="I1325" s="8">
        <f t="shared" si="125"/>
        <v>0.99676364728419786</v>
      </c>
      <c r="J1325" s="3" t="s">
        <v>525</v>
      </c>
    </row>
    <row r="1326" spans="1:10" x14ac:dyDescent="0.25">
      <c r="A1326" s="3" t="s">
        <v>1337</v>
      </c>
      <c r="B1326" s="3" t="str">
        <f t="shared" si="120"/>
        <v>4</v>
      </c>
      <c r="C1326" s="7">
        <f t="shared" si="121"/>
        <v>6.4432989690721648E-4</v>
      </c>
      <c r="D1326" s="8">
        <f t="shared" si="124"/>
        <v>0.85373711340205904</v>
      </c>
      <c r="E1326" s="4">
        <v>6</v>
      </c>
      <c r="F1326" s="5">
        <v>36.11</v>
      </c>
      <c r="G1326" s="10">
        <f t="shared" si="122"/>
        <v>216.66</v>
      </c>
      <c r="H1326" s="7">
        <f t="shared" si="123"/>
        <v>2.6248389092347582E-5</v>
      </c>
      <c r="I1326" s="8">
        <f t="shared" si="125"/>
        <v>0.99678989567329024</v>
      </c>
      <c r="J1326" s="3" t="s">
        <v>525</v>
      </c>
    </row>
    <row r="1327" spans="1:10" x14ac:dyDescent="0.25">
      <c r="A1327" s="3" t="s">
        <v>1338</v>
      </c>
      <c r="B1327" s="3" t="str">
        <f t="shared" si="120"/>
        <v>7</v>
      </c>
      <c r="C1327" s="7">
        <f t="shared" si="121"/>
        <v>6.4432989690721648E-4</v>
      </c>
      <c r="D1327" s="8">
        <f t="shared" si="124"/>
        <v>0.85438144329896626</v>
      </c>
      <c r="E1327" s="4">
        <v>7</v>
      </c>
      <c r="F1327" s="5">
        <v>30.78</v>
      </c>
      <c r="G1327" s="10">
        <f t="shared" si="122"/>
        <v>215.46</v>
      </c>
      <c r="H1327" s="7">
        <f t="shared" si="123"/>
        <v>2.6103008925677147E-5</v>
      </c>
      <c r="I1327" s="8">
        <f t="shared" si="125"/>
        <v>0.99681599868221593</v>
      </c>
      <c r="J1327" s="3" t="s">
        <v>525</v>
      </c>
    </row>
    <row r="1328" spans="1:10" x14ac:dyDescent="0.25">
      <c r="A1328" s="3" t="s">
        <v>1339</v>
      </c>
      <c r="B1328" s="3" t="str">
        <f t="shared" si="120"/>
        <v>8</v>
      </c>
      <c r="C1328" s="7">
        <f t="shared" si="121"/>
        <v>6.4432989690721648E-4</v>
      </c>
      <c r="D1328" s="8">
        <f t="shared" si="124"/>
        <v>0.85502577319587347</v>
      </c>
      <c r="E1328" s="4">
        <v>9</v>
      </c>
      <c r="F1328" s="5">
        <v>23.66</v>
      </c>
      <c r="G1328" s="10">
        <f t="shared" si="122"/>
        <v>212.94</v>
      </c>
      <c r="H1328" s="7">
        <f t="shared" si="123"/>
        <v>2.5797710575669225E-5</v>
      </c>
      <c r="I1328" s="8">
        <f t="shared" si="125"/>
        <v>0.99684179639279158</v>
      </c>
      <c r="J1328" s="3" t="s">
        <v>525</v>
      </c>
    </row>
    <row r="1329" spans="1:10" x14ac:dyDescent="0.25">
      <c r="A1329" s="3" t="s">
        <v>1340</v>
      </c>
      <c r="B1329" s="3" t="str">
        <f t="shared" si="120"/>
        <v>5</v>
      </c>
      <c r="C1329" s="7">
        <f t="shared" si="121"/>
        <v>6.4432989690721648E-4</v>
      </c>
      <c r="D1329" s="8">
        <f t="shared" si="124"/>
        <v>0.85567010309278069</v>
      </c>
      <c r="E1329" s="4">
        <v>1</v>
      </c>
      <c r="F1329" s="5">
        <v>212.43</v>
      </c>
      <c r="G1329" s="10">
        <f t="shared" si="122"/>
        <v>212.43</v>
      </c>
      <c r="H1329" s="7">
        <f t="shared" si="123"/>
        <v>2.5735924004834289E-5</v>
      </c>
      <c r="I1329" s="8">
        <f t="shared" si="125"/>
        <v>0.99686753231679637</v>
      </c>
      <c r="J1329" s="3" t="s">
        <v>525</v>
      </c>
    </row>
    <row r="1330" spans="1:10" x14ac:dyDescent="0.25">
      <c r="A1330" s="3" t="s">
        <v>1341</v>
      </c>
      <c r="B1330" s="3" t="str">
        <f t="shared" si="120"/>
        <v>8</v>
      </c>
      <c r="C1330" s="7">
        <f t="shared" si="121"/>
        <v>6.4432989690721648E-4</v>
      </c>
      <c r="D1330" s="8">
        <f t="shared" si="124"/>
        <v>0.8563144329896879</v>
      </c>
      <c r="E1330" s="4">
        <v>5</v>
      </c>
      <c r="F1330" s="5">
        <v>42.32</v>
      </c>
      <c r="G1330" s="10">
        <f t="shared" si="122"/>
        <v>211.6</v>
      </c>
      <c r="H1330" s="7">
        <f t="shared" si="123"/>
        <v>2.5635369389553902E-5</v>
      </c>
      <c r="I1330" s="8">
        <f t="shared" si="125"/>
        <v>0.99689316768618597</v>
      </c>
      <c r="J1330" s="3" t="s">
        <v>525</v>
      </c>
    </row>
    <row r="1331" spans="1:10" x14ac:dyDescent="0.25">
      <c r="A1331" s="3" t="s">
        <v>1342</v>
      </c>
      <c r="B1331" s="3" t="str">
        <f t="shared" si="120"/>
        <v>4</v>
      </c>
      <c r="C1331" s="7">
        <f t="shared" si="121"/>
        <v>6.4432989690721648E-4</v>
      </c>
      <c r="D1331" s="8">
        <f t="shared" si="124"/>
        <v>0.85695876288659512</v>
      </c>
      <c r="E1331" s="4">
        <v>1</v>
      </c>
      <c r="F1331" s="5">
        <v>211.52</v>
      </c>
      <c r="G1331" s="10">
        <f t="shared" si="122"/>
        <v>211.52</v>
      </c>
      <c r="H1331" s="7">
        <f t="shared" si="123"/>
        <v>2.5625677378442542E-5</v>
      </c>
      <c r="I1331" s="8">
        <f t="shared" si="125"/>
        <v>0.99691879336356437</v>
      </c>
      <c r="J1331" s="3" t="s">
        <v>525</v>
      </c>
    </row>
    <row r="1332" spans="1:10" x14ac:dyDescent="0.25">
      <c r="A1332" s="3" t="s">
        <v>1343</v>
      </c>
      <c r="B1332" s="3" t="str">
        <f t="shared" si="120"/>
        <v>9</v>
      </c>
      <c r="C1332" s="7">
        <f t="shared" si="121"/>
        <v>6.4432989690721648E-4</v>
      </c>
      <c r="D1332" s="8">
        <f t="shared" si="124"/>
        <v>0.85760309278350233</v>
      </c>
      <c r="E1332" s="4">
        <v>1</v>
      </c>
      <c r="F1332" s="5">
        <v>209.91</v>
      </c>
      <c r="G1332" s="10">
        <f t="shared" si="122"/>
        <v>209.91</v>
      </c>
      <c r="H1332" s="7">
        <f t="shared" si="123"/>
        <v>2.5430625654826371E-5</v>
      </c>
      <c r="I1332" s="8">
        <f t="shared" si="125"/>
        <v>0.99694422398921922</v>
      </c>
      <c r="J1332" s="3" t="s">
        <v>525</v>
      </c>
    </row>
    <row r="1333" spans="1:10" x14ac:dyDescent="0.25">
      <c r="A1333" s="3" t="s">
        <v>1344</v>
      </c>
      <c r="B1333" s="3" t="str">
        <f t="shared" si="120"/>
        <v>6</v>
      </c>
      <c r="C1333" s="7">
        <f t="shared" si="121"/>
        <v>6.4432989690721648E-4</v>
      </c>
      <c r="D1333" s="8">
        <f t="shared" si="124"/>
        <v>0.85824742268040954</v>
      </c>
      <c r="E1333" s="4">
        <v>2</v>
      </c>
      <c r="F1333" s="5">
        <v>104.15</v>
      </c>
      <c r="G1333" s="10">
        <f t="shared" si="122"/>
        <v>208.3</v>
      </c>
      <c r="H1333" s="7">
        <f t="shared" si="123"/>
        <v>2.52355739312102E-5</v>
      </c>
      <c r="I1333" s="8">
        <f t="shared" si="125"/>
        <v>0.99696945956315042</v>
      </c>
      <c r="J1333" s="3" t="s">
        <v>525</v>
      </c>
    </row>
    <row r="1334" spans="1:10" x14ac:dyDescent="0.25">
      <c r="A1334" s="3" t="s">
        <v>1345</v>
      </c>
      <c r="B1334" s="3" t="str">
        <f t="shared" si="120"/>
        <v>5</v>
      </c>
      <c r="C1334" s="7">
        <f t="shared" si="121"/>
        <v>6.4432989690721648E-4</v>
      </c>
      <c r="D1334" s="8">
        <f t="shared" si="124"/>
        <v>0.85889175257731676</v>
      </c>
      <c r="E1334" s="4">
        <v>1</v>
      </c>
      <c r="F1334" s="5">
        <v>206.76</v>
      </c>
      <c r="G1334" s="10">
        <f t="shared" si="122"/>
        <v>206.76</v>
      </c>
      <c r="H1334" s="7">
        <f t="shared" si="123"/>
        <v>2.5049002717316467E-5</v>
      </c>
      <c r="I1334" s="8">
        <f t="shared" si="125"/>
        <v>0.99699450856586769</v>
      </c>
      <c r="J1334" s="3" t="s">
        <v>525</v>
      </c>
    </row>
    <row r="1335" spans="1:10" x14ac:dyDescent="0.25">
      <c r="A1335" s="3" t="s">
        <v>1346</v>
      </c>
      <c r="B1335" s="3" t="str">
        <f t="shared" si="120"/>
        <v>7</v>
      </c>
      <c r="C1335" s="7">
        <f t="shared" si="121"/>
        <v>6.4432989690721648E-4</v>
      </c>
      <c r="D1335" s="8">
        <f t="shared" si="124"/>
        <v>0.85953608247422397</v>
      </c>
      <c r="E1335" s="4">
        <v>1</v>
      </c>
      <c r="F1335" s="5">
        <v>205.68</v>
      </c>
      <c r="G1335" s="10">
        <f t="shared" si="122"/>
        <v>205.68</v>
      </c>
      <c r="H1335" s="7">
        <f t="shared" si="123"/>
        <v>2.4918160567313078E-5</v>
      </c>
      <c r="I1335" s="8">
        <f t="shared" si="125"/>
        <v>0.99701942672643495</v>
      </c>
      <c r="J1335" s="3" t="s">
        <v>525</v>
      </c>
    </row>
    <row r="1336" spans="1:10" x14ac:dyDescent="0.25">
      <c r="A1336" s="3" t="s">
        <v>1347</v>
      </c>
      <c r="B1336" s="3" t="str">
        <f t="shared" si="120"/>
        <v>5</v>
      </c>
      <c r="C1336" s="7">
        <f t="shared" si="121"/>
        <v>6.4432989690721648E-4</v>
      </c>
      <c r="D1336" s="8">
        <f t="shared" si="124"/>
        <v>0.86018041237113119</v>
      </c>
      <c r="E1336" s="4">
        <v>13</v>
      </c>
      <c r="F1336" s="5">
        <v>15.79</v>
      </c>
      <c r="G1336" s="10">
        <f t="shared" si="122"/>
        <v>205.26999999999998</v>
      </c>
      <c r="H1336" s="7">
        <f t="shared" si="123"/>
        <v>2.4868489010367342E-5</v>
      </c>
      <c r="I1336" s="8">
        <f t="shared" si="125"/>
        <v>0.99704429521544535</v>
      </c>
      <c r="J1336" s="3" t="s">
        <v>525</v>
      </c>
    </row>
    <row r="1337" spans="1:10" x14ac:dyDescent="0.25">
      <c r="A1337" s="3" t="s">
        <v>1348</v>
      </c>
      <c r="B1337" s="3" t="str">
        <f t="shared" si="120"/>
        <v>7</v>
      </c>
      <c r="C1337" s="7">
        <f t="shared" si="121"/>
        <v>6.4432989690721648E-4</v>
      </c>
      <c r="D1337" s="8">
        <f t="shared" si="124"/>
        <v>0.8608247422680384</v>
      </c>
      <c r="E1337" s="4">
        <v>8</v>
      </c>
      <c r="F1337" s="5">
        <v>25.52</v>
      </c>
      <c r="G1337" s="10">
        <f t="shared" si="122"/>
        <v>204.16</v>
      </c>
      <c r="H1337" s="7">
        <f t="shared" si="123"/>
        <v>2.4734012356197189E-5</v>
      </c>
      <c r="I1337" s="8">
        <f t="shared" si="125"/>
        <v>0.9970690292278015</v>
      </c>
      <c r="J1337" s="3" t="s">
        <v>525</v>
      </c>
    </row>
    <row r="1338" spans="1:10" x14ac:dyDescent="0.25">
      <c r="A1338" s="3" t="s">
        <v>1349</v>
      </c>
      <c r="B1338" s="3" t="str">
        <f t="shared" si="120"/>
        <v>7</v>
      </c>
      <c r="C1338" s="7">
        <f t="shared" si="121"/>
        <v>6.4432989690721648E-4</v>
      </c>
      <c r="D1338" s="8">
        <f t="shared" si="124"/>
        <v>0.86146907216494562</v>
      </c>
      <c r="E1338" s="4">
        <v>2</v>
      </c>
      <c r="F1338" s="5">
        <v>101.3</v>
      </c>
      <c r="G1338" s="10">
        <f t="shared" si="122"/>
        <v>202.6</v>
      </c>
      <c r="H1338" s="7">
        <f t="shared" si="123"/>
        <v>2.4545018139525617E-5</v>
      </c>
      <c r="I1338" s="8">
        <f t="shared" si="125"/>
        <v>0.99709357424594103</v>
      </c>
      <c r="J1338" s="3" t="s">
        <v>525</v>
      </c>
    </row>
    <row r="1339" spans="1:10" x14ac:dyDescent="0.25">
      <c r="A1339" s="3" t="s">
        <v>1350</v>
      </c>
      <c r="B1339" s="3" t="str">
        <f t="shared" si="120"/>
        <v>9</v>
      </c>
      <c r="C1339" s="7">
        <f t="shared" si="121"/>
        <v>6.4432989690721648E-4</v>
      </c>
      <c r="D1339" s="8">
        <f t="shared" si="124"/>
        <v>0.86211340206185283</v>
      </c>
      <c r="E1339" s="4">
        <v>2</v>
      </c>
      <c r="F1339" s="5">
        <v>100.34</v>
      </c>
      <c r="G1339" s="10">
        <f t="shared" si="122"/>
        <v>200.68</v>
      </c>
      <c r="H1339" s="7">
        <f t="shared" si="123"/>
        <v>2.431240987285292E-5</v>
      </c>
      <c r="I1339" s="8">
        <f t="shared" si="125"/>
        <v>0.99711788665581391</v>
      </c>
      <c r="J1339" s="3" t="s">
        <v>525</v>
      </c>
    </row>
    <row r="1340" spans="1:10" x14ac:dyDescent="0.25">
      <c r="A1340" s="3" t="s">
        <v>1351</v>
      </c>
      <c r="B1340" s="3" t="str">
        <f t="shared" si="120"/>
        <v>3</v>
      </c>
      <c r="C1340" s="7">
        <f t="shared" si="121"/>
        <v>6.4432989690721648E-4</v>
      </c>
      <c r="D1340" s="8">
        <f t="shared" si="124"/>
        <v>0.86275773195876004</v>
      </c>
      <c r="E1340" s="4">
        <v>2</v>
      </c>
      <c r="F1340" s="5">
        <v>100.28</v>
      </c>
      <c r="G1340" s="10">
        <f t="shared" si="122"/>
        <v>200.56</v>
      </c>
      <c r="H1340" s="7">
        <f t="shared" si="123"/>
        <v>2.4297871856185874E-5</v>
      </c>
      <c r="I1340" s="8">
        <f t="shared" si="125"/>
        <v>0.99714218452767012</v>
      </c>
      <c r="J1340" s="3" t="s">
        <v>525</v>
      </c>
    </row>
    <row r="1341" spans="1:10" x14ac:dyDescent="0.25">
      <c r="A1341" s="3" t="s">
        <v>1352</v>
      </c>
      <c r="B1341" s="3" t="str">
        <f t="shared" si="120"/>
        <v>9</v>
      </c>
      <c r="C1341" s="7">
        <f t="shared" si="121"/>
        <v>6.4432989690721648E-4</v>
      </c>
      <c r="D1341" s="8">
        <f t="shared" si="124"/>
        <v>0.86340206185566726</v>
      </c>
      <c r="E1341" s="4">
        <v>2</v>
      </c>
      <c r="F1341" s="5">
        <v>100.04</v>
      </c>
      <c r="G1341" s="10">
        <f t="shared" si="122"/>
        <v>200.08</v>
      </c>
      <c r="H1341" s="7">
        <f t="shared" si="123"/>
        <v>2.4239719789517699E-5</v>
      </c>
      <c r="I1341" s="8">
        <f t="shared" si="125"/>
        <v>0.9971664242474596</v>
      </c>
      <c r="J1341" s="3" t="s">
        <v>525</v>
      </c>
    </row>
    <row r="1342" spans="1:10" x14ac:dyDescent="0.25">
      <c r="A1342" s="3" t="s">
        <v>1353</v>
      </c>
      <c r="B1342" s="3" t="str">
        <f t="shared" si="120"/>
        <v>8</v>
      </c>
      <c r="C1342" s="7">
        <f t="shared" si="121"/>
        <v>6.4432989690721648E-4</v>
      </c>
      <c r="D1342" s="8">
        <f t="shared" si="124"/>
        <v>0.86404639175257447</v>
      </c>
      <c r="E1342" s="4">
        <v>6</v>
      </c>
      <c r="F1342" s="5">
        <v>33.32</v>
      </c>
      <c r="G1342" s="10">
        <f t="shared" si="122"/>
        <v>199.92000000000002</v>
      </c>
      <c r="H1342" s="7">
        <f t="shared" si="123"/>
        <v>2.4220335767294975E-5</v>
      </c>
      <c r="I1342" s="8">
        <f t="shared" si="125"/>
        <v>0.99719064458322693</v>
      </c>
      <c r="J1342" s="3" t="s">
        <v>525</v>
      </c>
    </row>
    <row r="1343" spans="1:10" x14ac:dyDescent="0.25">
      <c r="A1343" s="3" t="s">
        <v>1354</v>
      </c>
      <c r="B1343" s="3" t="str">
        <f t="shared" si="120"/>
        <v>6</v>
      </c>
      <c r="C1343" s="7">
        <f t="shared" si="121"/>
        <v>6.4432989690721648E-4</v>
      </c>
      <c r="D1343" s="8">
        <f t="shared" si="124"/>
        <v>0.86469072164948169</v>
      </c>
      <c r="E1343" s="4">
        <v>8</v>
      </c>
      <c r="F1343" s="5">
        <v>24.99</v>
      </c>
      <c r="G1343" s="10">
        <f t="shared" si="122"/>
        <v>199.92</v>
      </c>
      <c r="H1343" s="7">
        <f t="shared" si="123"/>
        <v>2.4220335767294971E-5</v>
      </c>
      <c r="I1343" s="8">
        <f t="shared" si="125"/>
        <v>0.99721486491899425</v>
      </c>
      <c r="J1343" s="3" t="s">
        <v>525</v>
      </c>
    </row>
    <row r="1344" spans="1:10" x14ac:dyDescent="0.25">
      <c r="A1344" s="3" t="s">
        <v>1355</v>
      </c>
      <c r="B1344" s="3" t="str">
        <f t="shared" si="120"/>
        <v>5</v>
      </c>
      <c r="C1344" s="7">
        <f t="shared" si="121"/>
        <v>6.4432989690721648E-4</v>
      </c>
      <c r="D1344" s="8">
        <f t="shared" si="124"/>
        <v>0.8653350515463889</v>
      </c>
      <c r="E1344" s="4">
        <v>1</v>
      </c>
      <c r="F1344" s="5">
        <v>199.83</v>
      </c>
      <c r="G1344" s="10">
        <f t="shared" si="122"/>
        <v>199.83</v>
      </c>
      <c r="H1344" s="7">
        <f t="shared" si="123"/>
        <v>2.4209432254794693E-5</v>
      </c>
      <c r="I1344" s="8">
        <f t="shared" si="125"/>
        <v>0.99723907435124903</v>
      </c>
      <c r="J1344" s="3" t="s">
        <v>525</v>
      </c>
    </row>
    <row r="1345" spans="1:10" x14ac:dyDescent="0.25">
      <c r="A1345" s="3" t="s">
        <v>1356</v>
      </c>
      <c r="B1345" s="3" t="str">
        <f t="shared" si="120"/>
        <v>8</v>
      </c>
      <c r="C1345" s="7">
        <f t="shared" si="121"/>
        <v>6.4432989690721648E-4</v>
      </c>
      <c r="D1345" s="8">
        <f t="shared" si="124"/>
        <v>0.86597938144329611</v>
      </c>
      <c r="E1345" s="4">
        <v>3</v>
      </c>
      <c r="F1345" s="5">
        <v>65.89</v>
      </c>
      <c r="G1345" s="10">
        <f t="shared" si="122"/>
        <v>197.67000000000002</v>
      </c>
      <c r="H1345" s="7">
        <f t="shared" si="123"/>
        <v>2.3947747954787904E-5</v>
      </c>
      <c r="I1345" s="8">
        <f t="shared" si="125"/>
        <v>0.99726302209920381</v>
      </c>
      <c r="J1345" s="3" t="s">
        <v>525</v>
      </c>
    </row>
    <row r="1346" spans="1:10" x14ac:dyDescent="0.25">
      <c r="A1346" s="3" t="s">
        <v>1357</v>
      </c>
      <c r="B1346" s="3" t="str">
        <f t="shared" ref="B1346:B1409" si="126">RIGHT(A1346,1)</f>
        <v>8</v>
      </c>
      <c r="C1346" s="7">
        <f t="shared" ref="C1346:C1409" si="127">1/COUNTA(A$2:A$1553)</f>
        <v>6.4432989690721648E-4</v>
      </c>
      <c r="D1346" s="8">
        <f t="shared" si="124"/>
        <v>0.86662371134020333</v>
      </c>
      <c r="E1346" s="4">
        <v>23</v>
      </c>
      <c r="F1346" s="5">
        <v>8.59</v>
      </c>
      <c r="G1346" s="10">
        <f t="shared" ref="G1346:G1409" si="128">E1346*F1346</f>
        <v>197.57</v>
      </c>
      <c r="H1346" s="7">
        <f t="shared" ref="H1346:H1409" si="129">G1346/SUM(G$2:G$1553)</f>
        <v>2.3935632940898698E-5</v>
      </c>
      <c r="I1346" s="8">
        <f t="shared" si="125"/>
        <v>0.99728695773214471</v>
      </c>
      <c r="J1346" s="3" t="s">
        <v>525</v>
      </c>
    </row>
    <row r="1347" spans="1:10" x14ac:dyDescent="0.25">
      <c r="A1347" s="3" t="s">
        <v>1358</v>
      </c>
      <c r="B1347" s="3" t="str">
        <f t="shared" si="126"/>
        <v>8</v>
      </c>
      <c r="C1347" s="7">
        <f t="shared" si="127"/>
        <v>6.4432989690721648E-4</v>
      </c>
      <c r="D1347" s="8">
        <f t="shared" ref="D1347:D1410" si="130">D1346+C1347</f>
        <v>0.86726804123711054</v>
      </c>
      <c r="E1347" s="4">
        <v>13</v>
      </c>
      <c r="F1347" s="5">
        <v>15.14</v>
      </c>
      <c r="G1347" s="10">
        <f t="shared" si="128"/>
        <v>196.82</v>
      </c>
      <c r="H1347" s="7">
        <f t="shared" si="129"/>
        <v>2.3844770336729675E-5</v>
      </c>
      <c r="I1347" s="8">
        <f t="shared" ref="I1347:I1410" si="131">I1346+H1347</f>
        <v>0.99731080250248139</v>
      </c>
      <c r="J1347" s="3" t="s">
        <v>525</v>
      </c>
    </row>
    <row r="1348" spans="1:10" x14ac:dyDescent="0.25">
      <c r="A1348" s="3" t="s">
        <v>1359</v>
      </c>
      <c r="B1348" s="3" t="str">
        <f t="shared" si="126"/>
        <v>9</v>
      </c>
      <c r="C1348" s="7">
        <f t="shared" si="127"/>
        <v>6.4432989690721648E-4</v>
      </c>
      <c r="D1348" s="8">
        <f t="shared" si="130"/>
        <v>0.86791237113401776</v>
      </c>
      <c r="E1348" s="4">
        <v>1</v>
      </c>
      <c r="F1348" s="5">
        <v>195.07</v>
      </c>
      <c r="G1348" s="10">
        <f t="shared" si="128"/>
        <v>195.07</v>
      </c>
      <c r="H1348" s="7">
        <f t="shared" si="129"/>
        <v>2.3632757593668619E-5</v>
      </c>
      <c r="I1348" s="8">
        <f t="shared" si="131"/>
        <v>0.99733443526007504</v>
      </c>
      <c r="J1348" s="3" t="s">
        <v>525</v>
      </c>
    </row>
    <row r="1349" spans="1:10" x14ac:dyDescent="0.25">
      <c r="A1349" s="3" t="s">
        <v>1360</v>
      </c>
      <c r="B1349" s="3" t="str">
        <f t="shared" si="126"/>
        <v>2</v>
      </c>
      <c r="C1349" s="7">
        <f t="shared" si="127"/>
        <v>6.4432989690721648E-4</v>
      </c>
      <c r="D1349" s="8">
        <f t="shared" si="130"/>
        <v>0.86855670103092497</v>
      </c>
      <c r="E1349" s="4">
        <v>5</v>
      </c>
      <c r="F1349" s="5">
        <v>38.94</v>
      </c>
      <c r="G1349" s="10">
        <f t="shared" si="128"/>
        <v>194.7</v>
      </c>
      <c r="H1349" s="7">
        <f t="shared" si="129"/>
        <v>2.3587932042278568E-5</v>
      </c>
      <c r="I1349" s="8">
        <f t="shared" si="131"/>
        <v>0.9973580231921173</v>
      </c>
      <c r="J1349" s="3" t="s">
        <v>525</v>
      </c>
    </row>
    <row r="1350" spans="1:10" x14ac:dyDescent="0.25">
      <c r="A1350" s="3" t="s">
        <v>1361</v>
      </c>
      <c r="B1350" s="3" t="str">
        <f t="shared" si="126"/>
        <v>8</v>
      </c>
      <c r="C1350" s="7">
        <f t="shared" si="127"/>
        <v>6.4432989690721648E-4</v>
      </c>
      <c r="D1350" s="8">
        <f t="shared" si="130"/>
        <v>0.86920103092783219</v>
      </c>
      <c r="E1350" s="4">
        <v>3</v>
      </c>
      <c r="F1350" s="5">
        <v>64.62</v>
      </c>
      <c r="G1350" s="10">
        <f t="shared" si="128"/>
        <v>193.86</v>
      </c>
      <c r="H1350" s="7">
        <f t="shared" si="129"/>
        <v>2.3486165925609263E-5</v>
      </c>
      <c r="I1350" s="8">
        <f t="shared" si="131"/>
        <v>0.99738150935804293</v>
      </c>
      <c r="J1350" s="3" t="s">
        <v>525</v>
      </c>
    </row>
    <row r="1351" spans="1:10" x14ac:dyDescent="0.25">
      <c r="A1351" s="3" t="s">
        <v>1362</v>
      </c>
      <c r="B1351" s="3" t="str">
        <f t="shared" si="126"/>
        <v>9</v>
      </c>
      <c r="C1351" s="7">
        <f t="shared" si="127"/>
        <v>6.4432989690721648E-4</v>
      </c>
      <c r="D1351" s="8">
        <f t="shared" si="130"/>
        <v>0.8698453608247394</v>
      </c>
      <c r="E1351" s="4">
        <v>1</v>
      </c>
      <c r="F1351" s="5">
        <v>193.11</v>
      </c>
      <c r="G1351" s="10">
        <f t="shared" si="128"/>
        <v>193.11</v>
      </c>
      <c r="H1351" s="7">
        <f t="shared" si="129"/>
        <v>2.3395303321440239E-5</v>
      </c>
      <c r="I1351" s="8">
        <f t="shared" si="131"/>
        <v>0.99740490466136433</v>
      </c>
      <c r="J1351" s="3" t="s">
        <v>525</v>
      </c>
    </row>
    <row r="1352" spans="1:10" x14ac:dyDescent="0.25">
      <c r="A1352" s="3" t="s">
        <v>1363</v>
      </c>
      <c r="B1352" s="3" t="str">
        <f t="shared" si="126"/>
        <v>9</v>
      </c>
      <c r="C1352" s="7">
        <f t="shared" si="127"/>
        <v>6.4432989690721648E-4</v>
      </c>
      <c r="D1352" s="8">
        <f t="shared" si="130"/>
        <v>0.87048969072164661</v>
      </c>
      <c r="E1352" s="4">
        <v>1</v>
      </c>
      <c r="F1352" s="5">
        <v>193.08</v>
      </c>
      <c r="G1352" s="10">
        <f t="shared" si="128"/>
        <v>193.08</v>
      </c>
      <c r="H1352" s="7">
        <f t="shared" si="129"/>
        <v>2.3391668817273479E-5</v>
      </c>
      <c r="I1352" s="8">
        <f t="shared" si="131"/>
        <v>0.9974282963301816</v>
      </c>
      <c r="J1352" s="3" t="s">
        <v>525</v>
      </c>
    </row>
    <row r="1353" spans="1:10" x14ac:dyDescent="0.25">
      <c r="A1353" s="3" t="s">
        <v>1364</v>
      </c>
      <c r="B1353" s="3" t="str">
        <f t="shared" si="126"/>
        <v>8</v>
      </c>
      <c r="C1353" s="7">
        <f t="shared" si="127"/>
        <v>6.4432989690721648E-4</v>
      </c>
      <c r="D1353" s="8">
        <f t="shared" si="130"/>
        <v>0.87113402061855383</v>
      </c>
      <c r="E1353" s="4">
        <v>6</v>
      </c>
      <c r="F1353" s="5">
        <v>32.18</v>
      </c>
      <c r="G1353" s="10">
        <f t="shared" si="128"/>
        <v>193.07999999999998</v>
      </c>
      <c r="H1353" s="7">
        <f t="shared" si="129"/>
        <v>2.3391668817273475E-5</v>
      </c>
      <c r="I1353" s="8">
        <f t="shared" si="131"/>
        <v>0.99745168799899886</v>
      </c>
      <c r="J1353" s="3" t="s">
        <v>525</v>
      </c>
    </row>
    <row r="1354" spans="1:10" x14ac:dyDescent="0.25">
      <c r="A1354" s="3" t="s">
        <v>1365</v>
      </c>
      <c r="B1354" s="3" t="str">
        <f t="shared" si="126"/>
        <v>5</v>
      </c>
      <c r="C1354" s="7">
        <f t="shared" si="127"/>
        <v>6.4432989690721648E-4</v>
      </c>
      <c r="D1354" s="8">
        <f t="shared" si="130"/>
        <v>0.87177835051546104</v>
      </c>
      <c r="E1354" s="4">
        <v>1</v>
      </c>
      <c r="F1354" s="5">
        <v>192.93</v>
      </c>
      <c r="G1354" s="10">
        <f t="shared" si="128"/>
        <v>192.93</v>
      </c>
      <c r="H1354" s="7">
        <f t="shared" si="129"/>
        <v>2.3373496296439673E-5</v>
      </c>
      <c r="I1354" s="8">
        <f t="shared" si="131"/>
        <v>0.9974750614952953</v>
      </c>
      <c r="J1354" s="3" t="s">
        <v>525</v>
      </c>
    </row>
    <row r="1355" spans="1:10" x14ac:dyDescent="0.25">
      <c r="A1355" s="3" t="s">
        <v>1366</v>
      </c>
      <c r="B1355" s="3" t="str">
        <f t="shared" si="126"/>
        <v>5</v>
      </c>
      <c r="C1355" s="7">
        <f t="shared" si="127"/>
        <v>6.4432989690721648E-4</v>
      </c>
      <c r="D1355" s="8">
        <f t="shared" si="130"/>
        <v>0.87242268041236826</v>
      </c>
      <c r="E1355" s="4">
        <v>3</v>
      </c>
      <c r="F1355" s="5">
        <v>63.96</v>
      </c>
      <c r="G1355" s="10">
        <f t="shared" si="128"/>
        <v>191.88</v>
      </c>
      <c r="H1355" s="7">
        <f t="shared" si="129"/>
        <v>2.3246288650603037E-5</v>
      </c>
      <c r="I1355" s="8">
        <f t="shared" si="131"/>
        <v>0.99749830778394588</v>
      </c>
      <c r="J1355" s="3" t="s">
        <v>525</v>
      </c>
    </row>
    <row r="1356" spans="1:10" x14ac:dyDescent="0.25">
      <c r="A1356" s="3" t="s">
        <v>1367</v>
      </c>
      <c r="B1356" s="3" t="str">
        <f t="shared" si="126"/>
        <v>6</v>
      </c>
      <c r="C1356" s="7">
        <f t="shared" si="127"/>
        <v>6.4432989690721648E-4</v>
      </c>
      <c r="D1356" s="8">
        <f t="shared" si="130"/>
        <v>0.87306701030927547</v>
      </c>
      <c r="E1356" s="4">
        <v>10</v>
      </c>
      <c r="F1356" s="5">
        <v>19.100000000000001</v>
      </c>
      <c r="G1356" s="10">
        <f t="shared" si="128"/>
        <v>191</v>
      </c>
      <c r="H1356" s="7">
        <f t="shared" si="129"/>
        <v>2.313967652837805E-5</v>
      </c>
      <c r="I1356" s="8">
        <f t="shared" si="131"/>
        <v>0.99752144746047422</v>
      </c>
      <c r="J1356" s="3" t="s">
        <v>525</v>
      </c>
    </row>
    <row r="1357" spans="1:10" x14ac:dyDescent="0.25">
      <c r="A1357" s="3" t="s">
        <v>1368</v>
      </c>
      <c r="B1357" s="3" t="str">
        <f t="shared" si="126"/>
        <v>7</v>
      </c>
      <c r="C1357" s="7">
        <f t="shared" si="127"/>
        <v>6.4432989690721648E-4</v>
      </c>
      <c r="D1357" s="8">
        <f t="shared" si="130"/>
        <v>0.87371134020618269</v>
      </c>
      <c r="E1357" s="4">
        <v>13</v>
      </c>
      <c r="F1357" s="5">
        <v>14.62</v>
      </c>
      <c r="G1357" s="10">
        <f t="shared" si="128"/>
        <v>190.06</v>
      </c>
      <c r="H1357" s="7">
        <f t="shared" si="129"/>
        <v>2.3025795397819542E-5</v>
      </c>
      <c r="I1357" s="8">
        <f t="shared" si="131"/>
        <v>0.99754447325587203</v>
      </c>
      <c r="J1357" s="3" t="s">
        <v>525</v>
      </c>
    </row>
    <row r="1358" spans="1:10" x14ac:dyDescent="0.25">
      <c r="A1358" s="3" t="s">
        <v>1369</v>
      </c>
      <c r="B1358" s="3" t="str">
        <f t="shared" si="126"/>
        <v>6</v>
      </c>
      <c r="C1358" s="7">
        <f t="shared" si="127"/>
        <v>6.4432989690721648E-4</v>
      </c>
      <c r="D1358" s="8">
        <f t="shared" si="130"/>
        <v>0.8743556701030899</v>
      </c>
      <c r="E1358" s="4">
        <v>7</v>
      </c>
      <c r="F1358" s="5">
        <v>27.06</v>
      </c>
      <c r="G1358" s="10">
        <f t="shared" si="128"/>
        <v>189.42</v>
      </c>
      <c r="H1358" s="7">
        <f t="shared" si="129"/>
        <v>2.294825930892864E-5</v>
      </c>
      <c r="I1358" s="8">
        <f t="shared" si="131"/>
        <v>0.99756742151518096</v>
      </c>
      <c r="J1358" s="3" t="s">
        <v>525</v>
      </c>
    </row>
    <row r="1359" spans="1:10" x14ac:dyDescent="0.25">
      <c r="A1359" s="3" t="s">
        <v>1370</v>
      </c>
      <c r="B1359" s="3" t="str">
        <f t="shared" si="126"/>
        <v>4</v>
      </c>
      <c r="C1359" s="7">
        <f t="shared" si="127"/>
        <v>6.4432989690721648E-4</v>
      </c>
      <c r="D1359" s="8">
        <f t="shared" si="130"/>
        <v>0.87499999999999711</v>
      </c>
      <c r="E1359" s="4">
        <v>1</v>
      </c>
      <c r="F1359" s="5">
        <v>187.9</v>
      </c>
      <c r="G1359" s="10">
        <f t="shared" si="128"/>
        <v>187.9</v>
      </c>
      <c r="H1359" s="7">
        <f t="shared" si="129"/>
        <v>2.2764111097812754E-5</v>
      </c>
      <c r="I1359" s="8">
        <f t="shared" si="131"/>
        <v>0.99759018562627877</v>
      </c>
      <c r="J1359" s="3" t="s">
        <v>525</v>
      </c>
    </row>
    <row r="1360" spans="1:10" x14ac:dyDescent="0.25">
      <c r="A1360" s="3" t="s">
        <v>1371</v>
      </c>
      <c r="B1360" s="3" t="str">
        <f t="shared" si="126"/>
        <v>6</v>
      </c>
      <c r="C1360" s="7">
        <f t="shared" si="127"/>
        <v>6.4432989690721648E-4</v>
      </c>
      <c r="D1360" s="8">
        <f t="shared" si="130"/>
        <v>0.87564432989690433</v>
      </c>
      <c r="E1360" s="4">
        <v>8</v>
      </c>
      <c r="F1360" s="5">
        <v>23.47</v>
      </c>
      <c r="G1360" s="10">
        <f t="shared" si="128"/>
        <v>187.76</v>
      </c>
      <c r="H1360" s="7">
        <f t="shared" si="129"/>
        <v>2.2747150078367866E-5</v>
      </c>
      <c r="I1360" s="8">
        <f t="shared" si="131"/>
        <v>0.9976129327763571</v>
      </c>
      <c r="J1360" s="3" t="s">
        <v>525</v>
      </c>
    </row>
    <row r="1361" spans="1:10" x14ac:dyDescent="0.25">
      <c r="A1361" s="3" t="s">
        <v>1372</v>
      </c>
      <c r="B1361" s="3" t="str">
        <f t="shared" si="126"/>
        <v>4</v>
      </c>
      <c r="C1361" s="7">
        <f t="shared" si="127"/>
        <v>6.4432989690721648E-4</v>
      </c>
      <c r="D1361" s="8">
        <f t="shared" si="130"/>
        <v>0.87628865979381154</v>
      </c>
      <c r="E1361" s="4">
        <v>1</v>
      </c>
      <c r="F1361" s="5">
        <v>187.44</v>
      </c>
      <c r="G1361" s="10">
        <f t="shared" si="128"/>
        <v>187.44</v>
      </c>
      <c r="H1361" s="7">
        <f t="shared" si="129"/>
        <v>2.2708382033922418E-5</v>
      </c>
      <c r="I1361" s="8">
        <f t="shared" si="131"/>
        <v>0.99763564115839098</v>
      </c>
      <c r="J1361" s="3" t="s">
        <v>525</v>
      </c>
    </row>
    <row r="1362" spans="1:10" x14ac:dyDescent="0.25">
      <c r="A1362" s="3" t="s">
        <v>1373</v>
      </c>
      <c r="B1362" s="3" t="str">
        <f t="shared" si="126"/>
        <v>5</v>
      </c>
      <c r="C1362" s="7">
        <f t="shared" si="127"/>
        <v>6.4432989690721648E-4</v>
      </c>
      <c r="D1362" s="8">
        <f t="shared" si="130"/>
        <v>0.87693298969071876</v>
      </c>
      <c r="E1362" s="4">
        <v>1</v>
      </c>
      <c r="F1362" s="5">
        <v>187.28</v>
      </c>
      <c r="G1362" s="10">
        <f t="shared" si="128"/>
        <v>187.28</v>
      </c>
      <c r="H1362" s="7">
        <f t="shared" si="129"/>
        <v>2.2688998011699694E-5</v>
      </c>
      <c r="I1362" s="8">
        <f t="shared" si="131"/>
        <v>0.99765833015640271</v>
      </c>
      <c r="J1362" s="3" t="s">
        <v>525</v>
      </c>
    </row>
    <row r="1363" spans="1:10" x14ac:dyDescent="0.25">
      <c r="A1363" s="3" t="s">
        <v>1374</v>
      </c>
      <c r="B1363" s="3" t="str">
        <f t="shared" si="126"/>
        <v>8</v>
      </c>
      <c r="C1363" s="7">
        <f t="shared" si="127"/>
        <v>6.4432989690721648E-4</v>
      </c>
      <c r="D1363" s="8">
        <f t="shared" si="130"/>
        <v>0.87757731958762597</v>
      </c>
      <c r="E1363" s="4">
        <v>4</v>
      </c>
      <c r="F1363" s="5">
        <v>46.5</v>
      </c>
      <c r="G1363" s="10">
        <f t="shared" si="128"/>
        <v>186</v>
      </c>
      <c r="H1363" s="7">
        <f t="shared" si="129"/>
        <v>2.2533925833917892E-5</v>
      </c>
      <c r="I1363" s="8">
        <f t="shared" si="131"/>
        <v>0.99768086408223666</v>
      </c>
      <c r="J1363" s="3" t="s">
        <v>525</v>
      </c>
    </row>
    <row r="1364" spans="1:10" x14ac:dyDescent="0.25">
      <c r="A1364" s="3" t="s">
        <v>1375</v>
      </c>
      <c r="B1364" s="3" t="str">
        <f t="shared" si="126"/>
        <v>3</v>
      </c>
      <c r="C1364" s="7">
        <f t="shared" si="127"/>
        <v>6.4432989690721648E-4</v>
      </c>
      <c r="D1364" s="8">
        <f t="shared" si="130"/>
        <v>0.87822164948453318</v>
      </c>
      <c r="E1364" s="4">
        <v>1</v>
      </c>
      <c r="F1364" s="5">
        <v>185.68</v>
      </c>
      <c r="G1364" s="10">
        <f t="shared" si="128"/>
        <v>185.68</v>
      </c>
      <c r="H1364" s="7">
        <f t="shared" si="129"/>
        <v>2.2495157789472444E-5</v>
      </c>
      <c r="I1364" s="8">
        <f t="shared" si="131"/>
        <v>0.99770335924002618</v>
      </c>
      <c r="J1364" s="3" t="s">
        <v>525</v>
      </c>
    </row>
    <row r="1365" spans="1:10" x14ac:dyDescent="0.25">
      <c r="A1365" s="3" t="s">
        <v>1376</v>
      </c>
      <c r="B1365" s="3" t="str">
        <f t="shared" si="126"/>
        <v>8</v>
      </c>
      <c r="C1365" s="7">
        <f t="shared" si="127"/>
        <v>6.4432989690721648E-4</v>
      </c>
      <c r="D1365" s="8">
        <f t="shared" si="130"/>
        <v>0.8788659793814404</v>
      </c>
      <c r="E1365" s="4">
        <v>3</v>
      </c>
      <c r="F1365" s="5">
        <v>61.82</v>
      </c>
      <c r="G1365" s="10">
        <f t="shared" si="128"/>
        <v>185.46</v>
      </c>
      <c r="H1365" s="7">
        <f t="shared" si="129"/>
        <v>2.2468504758916196E-5</v>
      </c>
      <c r="I1365" s="8">
        <f t="shared" si="131"/>
        <v>0.99772582774478513</v>
      </c>
      <c r="J1365" s="3" t="s">
        <v>525</v>
      </c>
    </row>
    <row r="1366" spans="1:10" x14ac:dyDescent="0.25">
      <c r="A1366" s="3" t="s">
        <v>1377</v>
      </c>
      <c r="B1366" s="3" t="str">
        <f t="shared" si="126"/>
        <v>4</v>
      </c>
      <c r="C1366" s="7">
        <f t="shared" si="127"/>
        <v>6.4432989690721648E-4</v>
      </c>
      <c r="D1366" s="8">
        <f t="shared" si="130"/>
        <v>0.87951030927834761</v>
      </c>
      <c r="E1366" s="4">
        <v>1</v>
      </c>
      <c r="F1366" s="5">
        <v>185.22</v>
      </c>
      <c r="G1366" s="10">
        <f t="shared" si="128"/>
        <v>185.22</v>
      </c>
      <c r="H1366" s="7">
        <f t="shared" si="129"/>
        <v>2.2439428725582108E-5</v>
      </c>
      <c r="I1366" s="8">
        <f t="shared" si="131"/>
        <v>0.99774826717351073</v>
      </c>
      <c r="J1366" s="3" t="s">
        <v>525</v>
      </c>
    </row>
    <row r="1367" spans="1:10" x14ac:dyDescent="0.25">
      <c r="A1367" s="3" t="s">
        <v>1378</v>
      </c>
      <c r="B1367" s="3" t="str">
        <f t="shared" si="126"/>
        <v>7</v>
      </c>
      <c r="C1367" s="7">
        <f t="shared" si="127"/>
        <v>6.4432989690721648E-4</v>
      </c>
      <c r="D1367" s="8">
        <f t="shared" si="130"/>
        <v>0.88015463917525483</v>
      </c>
      <c r="E1367" s="4">
        <v>1</v>
      </c>
      <c r="F1367" s="5">
        <v>184.11</v>
      </c>
      <c r="G1367" s="10">
        <f t="shared" si="128"/>
        <v>184.11</v>
      </c>
      <c r="H1367" s="7">
        <f t="shared" si="129"/>
        <v>2.2304952071411955E-5</v>
      </c>
      <c r="I1367" s="8">
        <f t="shared" si="131"/>
        <v>0.99777057212558218</v>
      </c>
      <c r="J1367" s="3" t="s">
        <v>525</v>
      </c>
    </row>
    <row r="1368" spans="1:10" x14ac:dyDescent="0.25">
      <c r="A1368" s="3" t="s">
        <v>1379</v>
      </c>
      <c r="B1368" s="3" t="str">
        <f t="shared" si="126"/>
        <v>8</v>
      </c>
      <c r="C1368" s="7">
        <f t="shared" si="127"/>
        <v>6.4432989690721648E-4</v>
      </c>
      <c r="D1368" s="8">
        <f t="shared" si="130"/>
        <v>0.88079896907216204</v>
      </c>
      <c r="E1368" s="4">
        <v>7</v>
      </c>
      <c r="F1368" s="5">
        <v>26.28</v>
      </c>
      <c r="G1368" s="10">
        <f t="shared" si="128"/>
        <v>183.96</v>
      </c>
      <c r="H1368" s="7">
        <f t="shared" si="129"/>
        <v>2.2286779550578149E-5</v>
      </c>
      <c r="I1368" s="8">
        <f t="shared" si="131"/>
        <v>0.99779285890513281</v>
      </c>
      <c r="J1368" s="3" t="s">
        <v>525</v>
      </c>
    </row>
    <row r="1369" spans="1:10" x14ac:dyDescent="0.25">
      <c r="A1369" s="3" t="s">
        <v>1380</v>
      </c>
      <c r="B1369" s="3" t="str">
        <f t="shared" si="126"/>
        <v>6</v>
      </c>
      <c r="C1369" s="7">
        <f t="shared" si="127"/>
        <v>6.4432989690721648E-4</v>
      </c>
      <c r="D1369" s="8">
        <f t="shared" si="130"/>
        <v>0.88144329896906926</v>
      </c>
      <c r="E1369" s="4">
        <v>4</v>
      </c>
      <c r="F1369" s="5">
        <v>45.97</v>
      </c>
      <c r="G1369" s="10">
        <f t="shared" si="128"/>
        <v>183.88</v>
      </c>
      <c r="H1369" s="7">
        <f t="shared" si="129"/>
        <v>2.2277087539466785E-5</v>
      </c>
      <c r="I1369" s="8">
        <f t="shared" si="131"/>
        <v>0.99781513599267224</v>
      </c>
      <c r="J1369" s="3" t="s">
        <v>525</v>
      </c>
    </row>
    <row r="1370" spans="1:10" x14ac:dyDescent="0.25">
      <c r="A1370" s="3" t="s">
        <v>1381</v>
      </c>
      <c r="B1370" s="3" t="str">
        <f t="shared" si="126"/>
        <v>5</v>
      </c>
      <c r="C1370" s="7">
        <f t="shared" si="127"/>
        <v>6.4432989690721648E-4</v>
      </c>
      <c r="D1370" s="8">
        <f t="shared" si="130"/>
        <v>0.88208762886597647</v>
      </c>
      <c r="E1370" s="4">
        <v>1</v>
      </c>
      <c r="F1370" s="5">
        <v>182.35</v>
      </c>
      <c r="G1370" s="10">
        <f t="shared" si="128"/>
        <v>182.35</v>
      </c>
      <c r="H1370" s="7">
        <f t="shared" si="129"/>
        <v>2.2091727826961978E-5</v>
      </c>
      <c r="I1370" s="8">
        <f t="shared" si="131"/>
        <v>0.99783722772049921</v>
      </c>
      <c r="J1370" s="3" t="s">
        <v>525</v>
      </c>
    </row>
    <row r="1371" spans="1:10" x14ac:dyDescent="0.25">
      <c r="A1371" s="3" t="s">
        <v>1382</v>
      </c>
      <c r="B1371" s="3" t="str">
        <f t="shared" si="126"/>
        <v>5</v>
      </c>
      <c r="C1371" s="7">
        <f t="shared" si="127"/>
        <v>6.4432989690721648E-4</v>
      </c>
      <c r="D1371" s="8">
        <f t="shared" si="130"/>
        <v>0.88273195876288368</v>
      </c>
      <c r="E1371" s="4">
        <v>2</v>
      </c>
      <c r="F1371" s="5">
        <v>90.82</v>
      </c>
      <c r="G1371" s="10">
        <f t="shared" si="128"/>
        <v>181.64</v>
      </c>
      <c r="H1371" s="7">
        <f t="shared" si="129"/>
        <v>2.2005711228348633E-5</v>
      </c>
      <c r="I1371" s="8">
        <f t="shared" si="131"/>
        <v>0.99785923343172755</v>
      </c>
      <c r="J1371" s="3" t="s">
        <v>525</v>
      </c>
    </row>
    <row r="1372" spans="1:10" x14ac:dyDescent="0.25">
      <c r="A1372" s="3" t="s">
        <v>1383</v>
      </c>
      <c r="B1372" s="3" t="str">
        <f t="shared" si="126"/>
        <v>6</v>
      </c>
      <c r="C1372" s="7">
        <f t="shared" si="127"/>
        <v>6.4432989690721648E-4</v>
      </c>
      <c r="D1372" s="8">
        <f t="shared" si="130"/>
        <v>0.8833762886597909</v>
      </c>
      <c r="E1372" s="4">
        <v>2</v>
      </c>
      <c r="F1372" s="5">
        <v>90.76</v>
      </c>
      <c r="G1372" s="10">
        <f t="shared" si="128"/>
        <v>181.52</v>
      </c>
      <c r="H1372" s="7">
        <f t="shared" si="129"/>
        <v>2.199117321168159E-5</v>
      </c>
      <c r="I1372" s="8">
        <f t="shared" si="131"/>
        <v>0.99788122460493922</v>
      </c>
      <c r="J1372" s="3" t="s">
        <v>525</v>
      </c>
    </row>
    <row r="1373" spans="1:10" x14ac:dyDescent="0.25">
      <c r="A1373" s="3" t="s">
        <v>1384</v>
      </c>
      <c r="B1373" s="3" t="str">
        <f t="shared" si="126"/>
        <v>6</v>
      </c>
      <c r="C1373" s="7">
        <f t="shared" si="127"/>
        <v>6.4432989690721648E-4</v>
      </c>
      <c r="D1373" s="8">
        <f t="shared" si="130"/>
        <v>0.88402061855669811</v>
      </c>
      <c r="E1373" s="4">
        <v>2</v>
      </c>
      <c r="F1373" s="5">
        <v>90.66</v>
      </c>
      <c r="G1373" s="10">
        <f t="shared" si="128"/>
        <v>181.32</v>
      </c>
      <c r="H1373" s="7">
        <f t="shared" si="129"/>
        <v>2.1966943183903185E-5</v>
      </c>
      <c r="I1373" s="8">
        <f t="shared" si="131"/>
        <v>0.99790319154812313</v>
      </c>
      <c r="J1373" s="3" t="s">
        <v>525</v>
      </c>
    </row>
    <row r="1374" spans="1:10" x14ac:dyDescent="0.25">
      <c r="A1374" s="3" t="s">
        <v>1385</v>
      </c>
      <c r="B1374" s="3" t="str">
        <f t="shared" si="126"/>
        <v>8</v>
      </c>
      <c r="C1374" s="7">
        <f t="shared" si="127"/>
        <v>6.4432989690721648E-4</v>
      </c>
      <c r="D1374" s="8">
        <f t="shared" si="130"/>
        <v>0.88466494845360533</v>
      </c>
      <c r="E1374" s="4">
        <v>4</v>
      </c>
      <c r="F1374" s="5">
        <v>45.2</v>
      </c>
      <c r="G1374" s="10">
        <f t="shared" si="128"/>
        <v>180.8</v>
      </c>
      <c r="H1374" s="7">
        <f t="shared" si="129"/>
        <v>2.1903945111679328E-5</v>
      </c>
      <c r="I1374" s="8">
        <f t="shared" si="131"/>
        <v>0.99792509549323483</v>
      </c>
      <c r="J1374" s="3" t="s">
        <v>525</v>
      </c>
    </row>
    <row r="1375" spans="1:10" x14ac:dyDescent="0.25">
      <c r="A1375" s="3" t="s">
        <v>1386</v>
      </c>
      <c r="B1375" s="3" t="str">
        <f t="shared" si="126"/>
        <v>7</v>
      </c>
      <c r="C1375" s="7">
        <f t="shared" si="127"/>
        <v>6.4432989690721648E-4</v>
      </c>
      <c r="D1375" s="8">
        <f t="shared" si="130"/>
        <v>0.88530927835051254</v>
      </c>
      <c r="E1375" s="4">
        <v>5</v>
      </c>
      <c r="F1375" s="5">
        <v>36.130000000000003</v>
      </c>
      <c r="G1375" s="10">
        <f t="shared" si="128"/>
        <v>180.65</v>
      </c>
      <c r="H1375" s="7">
        <f t="shared" si="129"/>
        <v>2.1885772590845525E-5</v>
      </c>
      <c r="I1375" s="8">
        <f t="shared" si="131"/>
        <v>0.99794698126582571</v>
      </c>
      <c r="J1375" s="3" t="s">
        <v>525</v>
      </c>
    </row>
    <row r="1376" spans="1:10" x14ac:dyDescent="0.25">
      <c r="A1376" s="3" t="s">
        <v>1387</v>
      </c>
      <c r="B1376" s="3" t="str">
        <f t="shared" si="126"/>
        <v>2</v>
      </c>
      <c r="C1376" s="7">
        <f t="shared" si="127"/>
        <v>6.4432989690721648E-4</v>
      </c>
      <c r="D1376" s="8">
        <f t="shared" si="130"/>
        <v>0.88595360824741975</v>
      </c>
      <c r="E1376" s="4">
        <v>5</v>
      </c>
      <c r="F1376" s="5">
        <v>35.299999999999997</v>
      </c>
      <c r="G1376" s="10">
        <f t="shared" si="128"/>
        <v>176.5</v>
      </c>
      <c r="H1376" s="7">
        <f t="shared" si="129"/>
        <v>2.1382999514443593E-5</v>
      </c>
      <c r="I1376" s="8">
        <f t="shared" si="131"/>
        <v>0.99796836426534019</v>
      </c>
      <c r="J1376" s="3" t="s">
        <v>525</v>
      </c>
    </row>
    <row r="1377" spans="1:10" x14ac:dyDescent="0.25">
      <c r="A1377" s="3" t="s">
        <v>1388</v>
      </c>
      <c r="B1377" s="3" t="str">
        <f t="shared" si="126"/>
        <v>2</v>
      </c>
      <c r="C1377" s="7">
        <f t="shared" si="127"/>
        <v>6.4432989690721648E-4</v>
      </c>
      <c r="D1377" s="8">
        <f t="shared" si="130"/>
        <v>0.88659793814432697</v>
      </c>
      <c r="E1377" s="4">
        <v>2</v>
      </c>
      <c r="F1377" s="5">
        <v>88.25</v>
      </c>
      <c r="G1377" s="10">
        <f t="shared" si="128"/>
        <v>176.5</v>
      </c>
      <c r="H1377" s="7">
        <f t="shared" si="129"/>
        <v>2.1382999514443593E-5</v>
      </c>
      <c r="I1377" s="8">
        <f t="shared" si="131"/>
        <v>0.99798974726485468</v>
      </c>
      <c r="J1377" s="3" t="s">
        <v>525</v>
      </c>
    </row>
    <row r="1378" spans="1:10" x14ac:dyDescent="0.25">
      <c r="A1378" s="3" t="s">
        <v>1389</v>
      </c>
      <c r="B1378" s="3" t="str">
        <f t="shared" si="126"/>
        <v>7</v>
      </c>
      <c r="C1378" s="7">
        <f t="shared" si="127"/>
        <v>6.4432989690721648E-4</v>
      </c>
      <c r="D1378" s="8">
        <f t="shared" si="130"/>
        <v>0.88724226804123418</v>
      </c>
      <c r="E1378" s="4">
        <v>2</v>
      </c>
      <c r="F1378" s="5">
        <v>88.21</v>
      </c>
      <c r="G1378" s="10">
        <f t="shared" si="128"/>
        <v>176.42</v>
      </c>
      <c r="H1378" s="7">
        <f t="shared" si="129"/>
        <v>2.1373307503332229E-5</v>
      </c>
      <c r="I1378" s="8">
        <f t="shared" si="131"/>
        <v>0.99801112057235797</v>
      </c>
      <c r="J1378" s="3" t="s">
        <v>525</v>
      </c>
    </row>
    <row r="1379" spans="1:10" x14ac:dyDescent="0.25">
      <c r="A1379" s="3" t="s">
        <v>1390</v>
      </c>
      <c r="B1379" s="3" t="str">
        <f t="shared" si="126"/>
        <v>3</v>
      </c>
      <c r="C1379" s="7">
        <f t="shared" si="127"/>
        <v>6.4432989690721648E-4</v>
      </c>
      <c r="D1379" s="8">
        <f t="shared" si="130"/>
        <v>0.8878865979381414</v>
      </c>
      <c r="E1379" s="4">
        <v>1</v>
      </c>
      <c r="F1379" s="5">
        <v>176.21</v>
      </c>
      <c r="G1379" s="10">
        <f t="shared" si="128"/>
        <v>176.21</v>
      </c>
      <c r="H1379" s="7">
        <f t="shared" si="129"/>
        <v>2.1347865974164902E-5</v>
      </c>
      <c r="I1379" s="8">
        <f t="shared" si="131"/>
        <v>0.99803246843833215</v>
      </c>
      <c r="J1379" s="3" t="s">
        <v>525</v>
      </c>
    </row>
    <row r="1380" spans="1:10" x14ac:dyDescent="0.25">
      <c r="A1380" s="3" t="s">
        <v>1391</v>
      </c>
      <c r="B1380" s="3" t="str">
        <f t="shared" si="126"/>
        <v>7</v>
      </c>
      <c r="C1380" s="7">
        <f t="shared" si="127"/>
        <v>6.4432989690721648E-4</v>
      </c>
      <c r="D1380" s="8">
        <f t="shared" si="130"/>
        <v>0.88853092783504861</v>
      </c>
      <c r="E1380" s="4">
        <v>3</v>
      </c>
      <c r="F1380" s="5">
        <v>58.12</v>
      </c>
      <c r="G1380" s="10">
        <f t="shared" si="128"/>
        <v>174.35999999999999</v>
      </c>
      <c r="H1380" s="7">
        <f t="shared" si="129"/>
        <v>2.1123738217214643E-5</v>
      </c>
      <c r="I1380" s="8">
        <f t="shared" si="131"/>
        <v>0.99805359217654932</v>
      </c>
      <c r="J1380" s="3" t="s">
        <v>525</v>
      </c>
    </row>
    <row r="1381" spans="1:10" x14ac:dyDescent="0.25">
      <c r="A1381" s="3" t="s">
        <v>1392</v>
      </c>
      <c r="B1381" s="3" t="str">
        <f t="shared" si="126"/>
        <v>7</v>
      </c>
      <c r="C1381" s="7">
        <f t="shared" si="127"/>
        <v>6.4432989690721648E-4</v>
      </c>
      <c r="D1381" s="8">
        <f t="shared" si="130"/>
        <v>0.88917525773195583</v>
      </c>
      <c r="E1381" s="4">
        <v>3</v>
      </c>
      <c r="F1381" s="5">
        <v>57.89</v>
      </c>
      <c r="G1381" s="10">
        <f t="shared" si="128"/>
        <v>173.67000000000002</v>
      </c>
      <c r="H1381" s="7">
        <f t="shared" si="129"/>
        <v>2.1040144621379144E-5</v>
      </c>
      <c r="I1381" s="8">
        <f t="shared" si="131"/>
        <v>0.99807463232117066</v>
      </c>
      <c r="J1381" s="3" t="s">
        <v>525</v>
      </c>
    </row>
    <row r="1382" spans="1:10" x14ac:dyDescent="0.25">
      <c r="A1382" s="3" t="s">
        <v>1393</v>
      </c>
      <c r="B1382" s="3" t="str">
        <f t="shared" si="126"/>
        <v>5</v>
      </c>
      <c r="C1382" s="7">
        <f t="shared" si="127"/>
        <v>6.4432989690721648E-4</v>
      </c>
      <c r="D1382" s="8">
        <f t="shared" si="130"/>
        <v>0.88981958762886304</v>
      </c>
      <c r="E1382" s="4">
        <v>1</v>
      </c>
      <c r="F1382" s="5">
        <v>172.48</v>
      </c>
      <c r="G1382" s="10">
        <f t="shared" si="128"/>
        <v>172.48</v>
      </c>
      <c r="H1382" s="7">
        <f t="shared" si="129"/>
        <v>2.0895975956097624E-5</v>
      </c>
      <c r="I1382" s="8">
        <f t="shared" si="131"/>
        <v>0.99809552829712678</v>
      </c>
      <c r="J1382" s="3" t="s">
        <v>525</v>
      </c>
    </row>
    <row r="1383" spans="1:10" x14ac:dyDescent="0.25">
      <c r="A1383" s="3" t="s">
        <v>1394</v>
      </c>
      <c r="B1383" s="3" t="str">
        <f t="shared" si="126"/>
        <v>8</v>
      </c>
      <c r="C1383" s="7">
        <f t="shared" si="127"/>
        <v>6.4432989690721648E-4</v>
      </c>
      <c r="D1383" s="8">
        <f t="shared" si="130"/>
        <v>0.89046391752577025</v>
      </c>
      <c r="E1383" s="4">
        <v>4</v>
      </c>
      <c r="F1383" s="5">
        <v>42.76</v>
      </c>
      <c r="G1383" s="10">
        <f t="shared" si="128"/>
        <v>171.04</v>
      </c>
      <c r="H1383" s="7">
        <f t="shared" si="129"/>
        <v>2.0721519756093098E-5</v>
      </c>
      <c r="I1383" s="8">
        <f t="shared" si="131"/>
        <v>0.99811624981688285</v>
      </c>
      <c r="J1383" s="3" t="s">
        <v>525</v>
      </c>
    </row>
    <row r="1384" spans="1:10" x14ac:dyDescent="0.25">
      <c r="A1384" s="3" t="s">
        <v>1395</v>
      </c>
      <c r="B1384" s="3" t="str">
        <f t="shared" si="126"/>
        <v>9</v>
      </c>
      <c r="C1384" s="7">
        <f t="shared" si="127"/>
        <v>6.4432989690721648E-4</v>
      </c>
      <c r="D1384" s="8">
        <f t="shared" si="130"/>
        <v>0.89110824742267747</v>
      </c>
      <c r="E1384" s="4">
        <v>4</v>
      </c>
      <c r="F1384" s="5">
        <v>42.53</v>
      </c>
      <c r="G1384" s="10">
        <f t="shared" si="128"/>
        <v>170.12</v>
      </c>
      <c r="H1384" s="7">
        <f t="shared" si="129"/>
        <v>2.0610061628312429E-5</v>
      </c>
      <c r="I1384" s="8">
        <f t="shared" si="131"/>
        <v>0.9981368598785112</v>
      </c>
      <c r="J1384" s="3" t="s">
        <v>525</v>
      </c>
    </row>
    <row r="1385" spans="1:10" x14ac:dyDescent="0.25">
      <c r="A1385" s="3" t="s">
        <v>1396</v>
      </c>
      <c r="B1385" s="3" t="str">
        <f t="shared" si="126"/>
        <v>8</v>
      </c>
      <c r="C1385" s="7">
        <f t="shared" si="127"/>
        <v>6.4432989690721648E-4</v>
      </c>
      <c r="D1385" s="8">
        <f t="shared" si="130"/>
        <v>0.89175257731958468</v>
      </c>
      <c r="E1385" s="4">
        <v>3</v>
      </c>
      <c r="F1385" s="5">
        <v>56.7</v>
      </c>
      <c r="G1385" s="10">
        <f t="shared" si="128"/>
        <v>170.10000000000002</v>
      </c>
      <c r="H1385" s="7">
        <f t="shared" si="129"/>
        <v>2.060763862553459E-5</v>
      </c>
      <c r="I1385" s="8">
        <f t="shared" si="131"/>
        <v>0.99815746751713674</v>
      </c>
      <c r="J1385" s="3" t="s">
        <v>525</v>
      </c>
    </row>
    <row r="1386" spans="1:10" x14ac:dyDescent="0.25">
      <c r="A1386" s="3" t="s">
        <v>1397</v>
      </c>
      <c r="B1386" s="3" t="str">
        <f t="shared" si="126"/>
        <v>8</v>
      </c>
      <c r="C1386" s="7">
        <f t="shared" si="127"/>
        <v>6.4432989690721648E-4</v>
      </c>
      <c r="D1386" s="8">
        <f t="shared" si="130"/>
        <v>0.8923969072164919</v>
      </c>
      <c r="E1386" s="4">
        <v>3</v>
      </c>
      <c r="F1386" s="5">
        <v>55.89</v>
      </c>
      <c r="G1386" s="10">
        <f t="shared" si="128"/>
        <v>167.67000000000002</v>
      </c>
      <c r="H1386" s="7">
        <f t="shared" si="129"/>
        <v>2.0313243788026953E-5</v>
      </c>
      <c r="I1386" s="8">
        <f t="shared" si="131"/>
        <v>0.99817778076092478</v>
      </c>
      <c r="J1386" s="3" t="s">
        <v>525</v>
      </c>
    </row>
    <row r="1387" spans="1:10" x14ac:dyDescent="0.25">
      <c r="A1387" s="3" t="s">
        <v>1398</v>
      </c>
      <c r="B1387" s="3" t="str">
        <f t="shared" si="126"/>
        <v>9</v>
      </c>
      <c r="C1387" s="7">
        <f t="shared" si="127"/>
        <v>6.4432989690721648E-4</v>
      </c>
      <c r="D1387" s="8">
        <f t="shared" si="130"/>
        <v>0.89304123711339911</v>
      </c>
      <c r="E1387" s="4">
        <v>1</v>
      </c>
      <c r="F1387" s="5">
        <v>167.16</v>
      </c>
      <c r="G1387" s="10">
        <f t="shared" si="128"/>
        <v>167.16</v>
      </c>
      <c r="H1387" s="7">
        <f t="shared" si="129"/>
        <v>2.0251457217192014E-5</v>
      </c>
      <c r="I1387" s="8">
        <f t="shared" si="131"/>
        <v>0.99819803221814196</v>
      </c>
      <c r="J1387" s="3" t="s">
        <v>525</v>
      </c>
    </row>
    <row r="1388" spans="1:10" x14ac:dyDescent="0.25">
      <c r="A1388" s="3" t="s">
        <v>1399</v>
      </c>
      <c r="B1388" s="3" t="str">
        <f t="shared" si="126"/>
        <v>9</v>
      </c>
      <c r="C1388" s="7">
        <f t="shared" si="127"/>
        <v>6.4432989690721648E-4</v>
      </c>
      <c r="D1388" s="8">
        <f t="shared" si="130"/>
        <v>0.89368556701030633</v>
      </c>
      <c r="E1388" s="4">
        <v>1</v>
      </c>
      <c r="F1388" s="5">
        <v>167.01</v>
      </c>
      <c r="G1388" s="10">
        <f t="shared" si="128"/>
        <v>167.01</v>
      </c>
      <c r="H1388" s="7">
        <f t="shared" si="129"/>
        <v>2.0233284696358208E-5</v>
      </c>
      <c r="I1388" s="8">
        <f t="shared" si="131"/>
        <v>0.99821826550283832</v>
      </c>
      <c r="J1388" s="3" t="s">
        <v>525</v>
      </c>
    </row>
    <row r="1389" spans="1:10" x14ac:dyDescent="0.25">
      <c r="A1389" s="3" t="s">
        <v>1400</v>
      </c>
      <c r="B1389" s="3" t="str">
        <f t="shared" si="126"/>
        <v>8</v>
      </c>
      <c r="C1389" s="7">
        <f t="shared" si="127"/>
        <v>6.4432989690721648E-4</v>
      </c>
      <c r="D1389" s="8">
        <f t="shared" si="130"/>
        <v>0.89432989690721354</v>
      </c>
      <c r="E1389" s="4">
        <v>21</v>
      </c>
      <c r="F1389" s="5">
        <v>7.94</v>
      </c>
      <c r="G1389" s="10">
        <f t="shared" si="128"/>
        <v>166.74</v>
      </c>
      <c r="H1389" s="7">
        <f t="shared" si="129"/>
        <v>2.0200574158857363E-5</v>
      </c>
      <c r="I1389" s="8">
        <f t="shared" si="131"/>
        <v>0.99823846607699718</v>
      </c>
      <c r="J1389" s="3" t="s">
        <v>525</v>
      </c>
    </row>
    <row r="1390" spans="1:10" x14ac:dyDescent="0.25">
      <c r="A1390" s="3" t="s">
        <v>1401</v>
      </c>
      <c r="B1390" s="3" t="str">
        <f t="shared" si="126"/>
        <v>8</v>
      </c>
      <c r="C1390" s="7">
        <f t="shared" si="127"/>
        <v>6.4432989690721648E-4</v>
      </c>
      <c r="D1390" s="8">
        <f t="shared" si="130"/>
        <v>0.89497422680412075</v>
      </c>
      <c r="E1390" s="4">
        <v>3</v>
      </c>
      <c r="F1390" s="5">
        <v>55.44</v>
      </c>
      <c r="G1390" s="10">
        <f t="shared" si="128"/>
        <v>166.32</v>
      </c>
      <c r="H1390" s="7">
        <f t="shared" si="129"/>
        <v>2.0149691100522709E-5</v>
      </c>
      <c r="I1390" s="8">
        <f t="shared" si="131"/>
        <v>0.99825861576809771</v>
      </c>
      <c r="J1390" s="3" t="s">
        <v>525</v>
      </c>
    </row>
    <row r="1391" spans="1:10" x14ac:dyDescent="0.25">
      <c r="A1391" s="3" t="s">
        <v>1402</v>
      </c>
      <c r="B1391" s="3" t="str">
        <f t="shared" si="126"/>
        <v>6</v>
      </c>
      <c r="C1391" s="7">
        <f t="shared" si="127"/>
        <v>6.4432989690721648E-4</v>
      </c>
      <c r="D1391" s="8">
        <f t="shared" si="130"/>
        <v>0.89561855670102797</v>
      </c>
      <c r="E1391" s="4">
        <v>39</v>
      </c>
      <c r="F1391" s="5">
        <v>4.2300000000000004</v>
      </c>
      <c r="G1391" s="10">
        <f t="shared" si="128"/>
        <v>164.97000000000003</v>
      </c>
      <c r="H1391" s="7">
        <f t="shared" si="129"/>
        <v>1.9986138413018468E-5</v>
      </c>
      <c r="I1391" s="8">
        <f t="shared" si="131"/>
        <v>0.99827860190651074</v>
      </c>
      <c r="J1391" s="3" t="s">
        <v>525</v>
      </c>
    </row>
    <row r="1392" spans="1:10" x14ac:dyDescent="0.25">
      <c r="A1392" s="3" t="s">
        <v>1403</v>
      </c>
      <c r="B1392" s="3" t="str">
        <f t="shared" si="126"/>
        <v>8</v>
      </c>
      <c r="C1392" s="7">
        <f t="shared" si="127"/>
        <v>6.4432989690721648E-4</v>
      </c>
      <c r="D1392" s="8">
        <f t="shared" si="130"/>
        <v>0.89626288659793518</v>
      </c>
      <c r="E1392" s="4">
        <v>6</v>
      </c>
      <c r="F1392" s="5">
        <v>27.49</v>
      </c>
      <c r="G1392" s="10">
        <f t="shared" si="128"/>
        <v>164.94</v>
      </c>
      <c r="H1392" s="7">
        <f t="shared" si="129"/>
        <v>1.9982503908851704E-5</v>
      </c>
      <c r="I1392" s="8">
        <f t="shared" si="131"/>
        <v>0.99829858441041963</v>
      </c>
      <c r="J1392" s="3" t="s">
        <v>525</v>
      </c>
    </row>
    <row r="1393" spans="1:10" x14ac:dyDescent="0.25">
      <c r="A1393" s="3" t="s">
        <v>1404</v>
      </c>
      <c r="B1393" s="3" t="str">
        <f t="shared" si="126"/>
        <v>3</v>
      </c>
      <c r="C1393" s="7">
        <f t="shared" si="127"/>
        <v>6.4432989690721648E-4</v>
      </c>
      <c r="D1393" s="8">
        <f t="shared" si="130"/>
        <v>0.8969072164948424</v>
      </c>
      <c r="E1393" s="4">
        <v>1</v>
      </c>
      <c r="F1393" s="5">
        <v>160.65</v>
      </c>
      <c r="G1393" s="10">
        <f t="shared" si="128"/>
        <v>160.65</v>
      </c>
      <c r="H1393" s="7">
        <f t="shared" si="129"/>
        <v>1.9462769813004891E-5</v>
      </c>
      <c r="I1393" s="8">
        <f t="shared" si="131"/>
        <v>0.99831804718023265</v>
      </c>
      <c r="J1393" s="3" t="s">
        <v>525</v>
      </c>
    </row>
    <row r="1394" spans="1:10" x14ac:dyDescent="0.25">
      <c r="A1394" s="3" t="s">
        <v>1405</v>
      </c>
      <c r="B1394" s="3" t="str">
        <f t="shared" si="126"/>
        <v>8</v>
      </c>
      <c r="C1394" s="7">
        <f t="shared" si="127"/>
        <v>6.4432989690721648E-4</v>
      </c>
      <c r="D1394" s="8">
        <f t="shared" si="130"/>
        <v>0.89755154639174961</v>
      </c>
      <c r="E1394" s="4">
        <v>6</v>
      </c>
      <c r="F1394" s="5">
        <v>26.66</v>
      </c>
      <c r="G1394" s="10">
        <f t="shared" si="128"/>
        <v>159.96</v>
      </c>
      <c r="H1394" s="7">
        <f t="shared" si="129"/>
        <v>1.9379176217169388E-5</v>
      </c>
      <c r="I1394" s="8">
        <f t="shared" si="131"/>
        <v>0.99833742635644984</v>
      </c>
      <c r="J1394" s="3" t="s">
        <v>525</v>
      </c>
    </row>
    <row r="1395" spans="1:10" x14ac:dyDescent="0.25">
      <c r="A1395" s="3" t="s">
        <v>1406</v>
      </c>
      <c r="B1395" s="3" t="str">
        <f t="shared" si="126"/>
        <v>3</v>
      </c>
      <c r="C1395" s="7">
        <f t="shared" si="127"/>
        <v>6.4432989690721648E-4</v>
      </c>
      <c r="D1395" s="8">
        <f t="shared" si="130"/>
        <v>0.89819587628865682</v>
      </c>
      <c r="E1395" s="4">
        <v>1</v>
      </c>
      <c r="F1395" s="5">
        <v>159.54</v>
      </c>
      <c r="G1395" s="10">
        <f t="shared" si="128"/>
        <v>159.54</v>
      </c>
      <c r="H1395" s="7">
        <f t="shared" si="129"/>
        <v>1.9328293158834734E-5</v>
      </c>
      <c r="I1395" s="8">
        <f t="shared" si="131"/>
        <v>0.99835675464960871</v>
      </c>
      <c r="J1395" s="3" t="s">
        <v>525</v>
      </c>
    </row>
    <row r="1396" spans="1:10" x14ac:dyDescent="0.25">
      <c r="A1396" s="3" t="s">
        <v>1407</v>
      </c>
      <c r="B1396" s="3" t="str">
        <f t="shared" si="126"/>
        <v>5</v>
      </c>
      <c r="C1396" s="7">
        <f t="shared" si="127"/>
        <v>6.4432989690721648E-4</v>
      </c>
      <c r="D1396" s="8">
        <f t="shared" si="130"/>
        <v>0.89884020618556404</v>
      </c>
      <c r="E1396" s="4">
        <v>1</v>
      </c>
      <c r="F1396" s="5">
        <v>159.31</v>
      </c>
      <c r="G1396" s="10">
        <f t="shared" si="128"/>
        <v>159.31</v>
      </c>
      <c r="H1396" s="7">
        <f t="shared" si="129"/>
        <v>1.9300428626889568E-5</v>
      </c>
      <c r="I1396" s="8">
        <f t="shared" si="131"/>
        <v>0.99837605507823557</v>
      </c>
      <c r="J1396" s="3" t="s">
        <v>525</v>
      </c>
    </row>
    <row r="1397" spans="1:10" x14ac:dyDescent="0.25">
      <c r="A1397" s="3" t="s">
        <v>1408</v>
      </c>
      <c r="B1397" s="3" t="str">
        <f t="shared" si="126"/>
        <v>7</v>
      </c>
      <c r="C1397" s="7">
        <f t="shared" si="127"/>
        <v>6.4432989690721648E-4</v>
      </c>
      <c r="D1397" s="8">
        <f t="shared" si="130"/>
        <v>0.89948453608247125</v>
      </c>
      <c r="E1397" s="4">
        <v>1</v>
      </c>
      <c r="F1397" s="5">
        <v>155.96</v>
      </c>
      <c r="G1397" s="10">
        <f t="shared" si="128"/>
        <v>155.96</v>
      </c>
      <c r="H1397" s="7">
        <f t="shared" si="129"/>
        <v>1.8894575661601262E-5</v>
      </c>
      <c r="I1397" s="8">
        <f t="shared" si="131"/>
        <v>0.99839494965389719</v>
      </c>
      <c r="J1397" s="3" t="s">
        <v>525</v>
      </c>
    </row>
    <row r="1398" spans="1:10" x14ac:dyDescent="0.25">
      <c r="A1398" s="3" t="s">
        <v>1409</v>
      </c>
      <c r="B1398" s="3" t="str">
        <f t="shared" si="126"/>
        <v>7</v>
      </c>
      <c r="C1398" s="7">
        <f t="shared" si="127"/>
        <v>6.4432989690721648E-4</v>
      </c>
      <c r="D1398" s="8">
        <f t="shared" si="130"/>
        <v>0.90012886597937847</v>
      </c>
      <c r="E1398" s="4">
        <v>1</v>
      </c>
      <c r="F1398" s="5">
        <v>155.79</v>
      </c>
      <c r="G1398" s="10">
        <f t="shared" si="128"/>
        <v>155.79</v>
      </c>
      <c r="H1398" s="7">
        <f t="shared" si="129"/>
        <v>1.8873980137989613E-5</v>
      </c>
      <c r="I1398" s="8">
        <f t="shared" si="131"/>
        <v>0.99841382363403519</v>
      </c>
      <c r="J1398" s="3" t="s">
        <v>525</v>
      </c>
    </row>
    <row r="1399" spans="1:10" x14ac:dyDescent="0.25">
      <c r="A1399" s="3" t="s">
        <v>1410</v>
      </c>
      <c r="B1399" s="3" t="str">
        <f t="shared" si="126"/>
        <v>4</v>
      </c>
      <c r="C1399" s="7">
        <f t="shared" si="127"/>
        <v>6.4432989690721648E-4</v>
      </c>
      <c r="D1399" s="8">
        <f t="shared" si="130"/>
        <v>0.90077319587628568</v>
      </c>
      <c r="E1399" s="4">
        <v>1</v>
      </c>
      <c r="F1399" s="5">
        <v>152.91999999999999</v>
      </c>
      <c r="G1399" s="10">
        <f t="shared" si="128"/>
        <v>152.91999999999999</v>
      </c>
      <c r="H1399" s="7">
        <f t="shared" si="129"/>
        <v>1.8526279239369483E-5</v>
      </c>
      <c r="I1399" s="8">
        <f t="shared" si="131"/>
        <v>0.99843234991327456</v>
      </c>
      <c r="J1399" s="3" t="s">
        <v>525</v>
      </c>
    </row>
    <row r="1400" spans="1:10" x14ac:dyDescent="0.25">
      <c r="A1400" s="3" t="s">
        <v>1411</v>
      </c>
      <c r="B1400" s="3" t="str">
        <f t="shared" si="126"/>
        <v>7</v>
      </c>
      <c r="C1400" s="7">
        <f t="shared" si="127"/>
        <v>6.4432989690721648E-4</v>
      </c>
      <c r="D1400" s="8">
        <f t="shared" si="130"/>
        <v>0.9014175257731929</v>
      </c>
      <c r="E1400" s="4">
        <v>1</v>
      </c>
      <c r="F1400" s="5">
        <v>152.1</v>
      </c>
      <c r="G1400" s="10">
        <f t="shared" si="128"/>
        <v>152.1</v>
      </c>
      <c r="H1400" s="7">
        <f t="shared" si="129"/>
        <v>1.8426936125478017E-5</v>
      </c>
      <c r="I1400" s="8">
        <f t="shared" si="131"/>
        <v>0.99845077684940009</v>
      </c>
      <c r="J1400" s="3" t="s">
        <v>525</v>
      </c>
    </row>
    <row r="1401" spans="1:10" x14ac:dyDescent="0.25">
      <c r="A1401" s="3" t="s">
        <v>1412</v>
      </c>
      <c r="B1401" s="3" t="str">
        <f t="shared" si="126"/>
        <v>7</v>
      </c>
      <c r="C1401" s="7">
        <f t="shared" si="127"/>
        <v>6.4432989690721648E-4</v>
      </c>
      <c r="D1401" s="8">
        <f t="shared" si="130"/>
        <v>0.90206185567010011</v>
      </c>
      <c r="E1401" s="4">
        <v>1</v>
      </c>
      <c r="F1401" s="5">
        <v>151.78</v>
      </c>
      <c r="G1401" s="10">
        <f t="shared" si="128"/>
        <v>151.78</v>
      </c>
      <c r="H1401" s="7">
        <f t="shared" si="129"/>
        <v>1.8388168081032569E-5</v>
      </c>
      <c r="I1401" s="8">
        <f t="shared" si="131"/>
        <v>0.99846916501748118</v>
      </c>
      <c r="J1401" s="3" t="s">
        <v>525</v>
      </c>
    </row>
    <row r="1402" spans="1:10" x14ac:dyDescent="0.25">
      <c r="A1402" s="3" t="s">
        <v>1413</v>
      </c>
      <c r="B1402" s="3" t="str">
        <f t="shared" si="126"/>
        <v>6</v>
      </c>
      <c r="C1402" s="7">
        <f t="shared" si="127"/>
        <v>6.4432989690721648E-4</v>
      </c>
      <c r="D1402" s="8">
        <f t="shared" si="130"/>
        <v>0.90270618556700732</v>
      </c>
      <c r="E1402" s="4">
        <v>2</v>
      </c>
      <c r="F1402" s="5">
        <v>75.709999999999994</v>
      </c>
      <c r="G1402" s="10">
        <f t="shared" si="128"/>
        <v>151.41999999999999</v>
      </c>
      <c r="H1402" s="7">
        <f t="shared" si="129"/>
        <v>1.8344554031031436E-5</v>
      </c>
      <c r="I1402" s="8">
        <f t="shared" si="131"/>
        <v>0.99848750957151222</v>
      </c>
      <c r="J1402" s="3" t="s">
        <v>525</v>
      </c>
    </row>
    <row r="1403" spans="1:10" x14ac:dyDescent="0.25">
      <c r="A1403" s="3" t="s">
        <v>1414</v>
      </c>
      <c r="B1403" s="3" t="str">
        <f t="shared" si="126"/>
        <v>5</v>
      </c>
      <c r="C1403" s="7">
        <f t="shared" si="127"/>
        <v>6.4432989690721648E-4</v>
      </c>
      <c r="D1403" s="8">
        <f t="shared" si="130"/>
        <v>0.90335051546391454</v>
      </c>
      <c r="E1403" s="4">
        <v>3</v>
      </c>
      <c r="F1403" s="5">
        <v>50.35</v>
      </c>
      <c r="G1403" s="10">
        <f t="shared" si="128"/>
        <v>151.05000000000001</v>
      </c>
      <c r="H1403" s="7">
        <f t="shared" si="129"/>
        <v>1.8299728479641385E-5</v>
      </c>
      <c r="I1403" s="8">
        <f t="shared" si="131"/>
        <v>0.99850580929999189</v>
      </c>
      <c r="J1403" s="3" t="s">
        <v>525</v>
      </c>
    </row>
    <row r="1404" spans="1:10" x14ac:dyDescent="0.25">
      <c r="A1404" s="3" t="s">
        <v>1415</v>
      </c>
      <c r="B1404" s="3" t="str">
        <f t="shared" si="126"/>
        <v>4</v>
      </c>
      <c r="C1404" s="7">
        <f t="shared" si="127"/>
        <v>6.4432989690721648E-4</v>
      </c>
      <c r="D1404" s="8">
        <f t="shared" si="130"/>
        <v>0.90399484536082175</v>
      </c>
      <c r="E1404" s="4">
        <v>1</v>
      </c>
      <c r="F1404" s="5">
        <v>150.94999999999999</v>
      </c>
      <c r="G1404" s="10">
        <f t="shared" si="128"/>
        <v>150.94999999999999</v>
      </c>
      <c r="H1404" s="7">
        <f t="shared" si="129"/>
        <v>1.8287613465752182E-5</v>
      </c>
      <c r="I1404" s="8">
        <f t="shared" si="131"/>
        <v>0.99852409691345767</v>
      </c>
      <c r="J1404" s="3" t="s">
        <v>525</v>
      </c>
    </row>
    <row r="1405" spans="1:10" x14ac:dyDescent="0.25">
      <c r="A1405" s="3" t="s">
        <v>1416</v>
      </c>
      <c r="B1405" s="3" t="str">
        <f t="shared" si="126"/>
        <v>7</v>
      </c>
      <c r="C1405" s="7">
        <f t="shared" si="127"/>
        <v>6.4432989690721648E-4</v>
      </c>
      <c r="D1405" s="8">
        <f t="shared" si="130"/>
        <v>0.90463917525772897</v>
      </c>
      <c r="E1405" s="4">
        <v>1</v>
      </c>
      <c r="F1405" s="5">
        <v>149.97</v>
      </c>
      <c r="G1405" s="10">
        <f t="shared" si="128"/>
        <v>149.97</v>
      </c>
      <c r="H1405" s="7">
        <f t="shared" si="129"/>
        <v>1.8168886329637989E-5</v>
      </c>
      <c r="I1405" s="8">
        <f t="shared" si="131"/>
        <v>0.99854226579978733</v>
      </c>
      <c r="J1405" s="3" t="s">
        <v>525</v>
      </c>
    </row>
    <row r="1406" spans="1:10" x14ac:dyDescent="0.25">
      <c r="A1406" s="3" t="s">
        <v>1417</v>
      </c>
      <c r="B1406" s="3" t="str">
        <f t="shared" si="126"/>
        <v>6</v>
      </c>
      <c r="C1406" s="7">
        <f t="shared" si="127"/>
        <v>6.4432989690721648E-4</v>
      </c>
      <c r="D1406" s="8">
        <f t="shared" si="130"/>
        <v>0.90528350515463618</v>
      </c>
      <c r="E1406" s="4">
        <v>3</v>
      </c>
      <c r="F1406" s="5">
        <v>49.91</v>
      </c>
      <c r="G1406" s="10">
        <f t="shared" si="128"/>
        <v>149.72999999999999</v>
      </c>
      <c r="H1406" s="7">
        <f t="shared" si="129"/>
        <v>1.8139810296303901E-5</v>
      </c>
      <c r="I1406" s="8">
        <f t="shared" si="131"/>
        <v>0.99856040561008363</v>
      </c>
      <c r="J1406" s="3" t="s">
        <v>525</v>
      </c>
    </row>
    <row r="1407" spans="1:10" x14ac:dyDescent="0.25">
      <c r="A1407" s="3" t="s">
        <v>1418</v>
      </c>
      <c r="B1407" s="3" t="str">
        <f t="shared" si="126"/>
        <v>8</v>
      </c>
      <c r="C1407" s="7">
        <f t="shared" si="127"/>
        <v>6.4432989690721648E-4</v>
      </c>
      <c r="D1407" s="8">
        <f t="shared" si="130"/>
        <v>0.9059278350515434</v>
      </c>
      <c r="E1407" s="4">
        <v>2</v>
      </c>
      <c r="F1407" s="5">
        <v>74.55</v>
      </c>
      <c r="G1407" s="10">
        <f t="shared" si="128"/>
        <v>149.1</v>
      </c>
      <c r="H1407" s="7">
        <f t="shared" si="129"/>
        <v>1.8063485708801924E-5</v>
      </c>
      <c r="I1407" s="8">
        <f t="shared" si="131"/>
        <v>0.9985784690957924</v>
      </c>
      <c r="J1407" s="3" t="s">
        <v>525</v>
      </c>
    </row>
    <row r="1408" spans="1:10" x14ac:dyDescent="0.25">
      <c r="A1408" s="3" t="s">
        <v>1419</v>
      </c>
      <c r="B1408" s="3" t="str">
        <f t="shared" si="126"/>
        <v>7</v>
      </c>
      <c r="C1408" s="7">
        <f t="shared" si="127"/>
        <v>6.4432989690721648E-4</v>
      </c>
      <c r="D1408" s="8">
        <f t="shared" si="130"/>
        <v>0.90657216494845061</v>
      </c>
      <c r="E1408" s="4">
        <v>2</v>
      </c>
      <c r="F1408" s="5">
        <v>74.510000000000005</v>
      </c>
      <c r="G1408" s="10">
        <f t="shared" si="128"/>
        <v>149.02000000000001</v>
      </c>
      <c r="H1408" s="7">
        <f t="shared" si="129"/>
        <v>1.8053793697690563E-5</v>
      </c>
      <c r="I1408" s="8">
        <f t="shared" si="131"/>
        <v>0.99859652288949008</v>
      </c>
      <c r="J1408" s="3" t="s">
        <v>525</v>
      </c>
    </row>
    <row r="1409" spans="1:10" x14ac:dyDescent="0.25">
      <c r="A1409" s="3" t="s">
        <v>1420</v>
      </c>
      <c r="B1409" s="3" t="str">
        <f t="shared" si="126"/>
        <v>7</v>
      </c>
      <c r="C1409" s="7">
        <f t="shared" si="127"/>
        <v>6.4432989690721648E-4</v>
      </c>
      <c r="D1409" s="8">
        <f t="shared" si="130"/>
        <v>0.90721649484535782</v>
      </c>
      <c r="E1409" s="4">
        <v>1</v>
      </c>
      <c r="F1409" s="5">
        <v>148.53</v>
      </c>
      <c r="G1409" s="10">
        <f t="shared" si="128"/>
        <v>148.53</v>
      </c>
      <c r="H1409" s="7">
        <f t="shared" si="129"/>
        <v>1.7994430129633467E-5</v>
      </c>
      <c r="I1409" s="8">
        <f t="shared" si="131"/>
        <v>0.9986145173196197</v>
      </c>
      <c r="J1409" s="3" t="s">
        <v>525</v>
      </c>
    </row>
    <row r="1410" spans="1:10" x14ac:dyDescent="0.25">
      <c r="A1410" s="3" t="s">
        <v>1421</v>
      </c>
      <c r="B1410" s="3" t="str">
        <f t="shared" ref="B1410:B1473" si="132">RIGHT(A1410,1)</f>
        <v>9</v>
      </c>
      <c r="C1410" s="7">
        <f t="shared" ref="C1410:C1473" si="133">1/COUNTA(A$2:A$1553)</f>
        <v>6.4432989690721648E-4</v>
      </c>
      <c r="D1410" s="8">
        <f t="shared" si="130"/>
        <v>0.90786082474226504</v>
      </c>
      <c r="E1410" s="4">
        <v>1</v>
      </c>
      <c r="F1410" s="5">
        <v>148.34</v>
      </c>
      <c r="G1410" s="10">
        <f t="shared" ref="G1410:G1473" si="134">E1410*F1410</f>
        <v>148.34</v>
      </c>
      <c r="H1410" s="7">
        <f t="shared" ref="H1410:H1473" si="135">G1410/SUM(G$2:G$1553)</f>
        <v>1.7971411603243979E-5</v>
      </c>
      <c r="I1410" s="8">
        <f t="shared" si="131"/>
        <v>0.9986324887312229</v>
      </c>
      <c r="J1410" s="3" t="s">
        <v>525</v>
      </c>
    </row>
    <row r="1411" spans="1:10" x14ac:dyDescent="0.25">
      <c r="A1411" s="3" t="s">
        <v>1422</v>
      </c>
      <c r="B1411" s="3" t="str">
        <f t="shared" si="132"/>
        <v>8</v>
      </c>
      <c r="C1411" s="7">
        <f t="shared" si="133"/>
        <v>6.4432989690721648E-4</v>
      </c>
      <c r="D1411" s="8">
        <f t="shared" ref="D1411:D1474" si="136">D1410+C1411</f>
        <v>0.90850515463917225</v>
      </c>
      <c r="E1411" s="4">
        <v>3</v>
      </c>
      <c r="F1411" s="5">
        <v>49.15</v>
      </c>
      <c r="G1411" s="10">
        <f t="shared" si="134"/>
        <v>147.44999999999999</v>
      </c>
      <c r="H1411" s="7">
        <f t="shared" si="135"/>
        <v>1.7863587979630071E-5</v>
      </c>
      <c r="I1411" s="8">
        <f t="shared" ref="I1411:I1474" si="137">I1410+H1411</f>
        <v>0.99865035231920252</v>
      </c>
      <c r="J1411" s="3" t="s">
        <v>525</v>
      </c>
    </row>
    <row r="1412" spans="1:10" x14ac:dyDescent="0.25">
      <c r="A1412" s="3" t="s">
        <v>1423</v>
      </c>
      <c r="B1412" s="3" t="str">
        <f t="shared" si="132"/>
        <v>4</v>
      </c>
      <c r="C1412" s="7">
        <f t="shared" si="133"/>
        <v>6.4432989690721648E-4</v>
      </c>
      <c r="D1412" s="8">
        <f t="shared" si="136"/>
        <v>0.90914948453607947</v>
      </c>
      <c r="E1412" s="4">
        <v>3</v>
      </c>
      <c r="F1412" s="5">
        <v>49.13</v>
      </c>
      <c r="G1412" s="10">
        <f t="shared" si="134"/>
        <v>147.39000000000001</v>
      </c>
      <c r="H1412" s="7">
        <f t="shared" si="135"/>
        <v>1.785631897129655E-5</v>
      </c>
      <c r="I1412" s="8">
        <f t="shared" si="137"/>
        <v>0.99866820863817385</v>
      </c>
      <c r="J1412" s="3" t="s">
        <v>525</v>
      </c>
    </row>
    <row r="1413" spans="1:10" x14ac:dyDescent="0.25">
      <c r="A1413" s="3" t="s">
        <v>1424</v>
      </c>
      <c r="B1413" s="3" t="str">
        <f t="shared" si="132"/>
        <v>7</v>
      </c>
      <c r="C1413" s="7">
        <f t="shared" si="133"/>
        <v>6.4432989690721648E-4</v>
      </c>
      <c r="D1413" s="8">
        <f t="shared" si="136"/>
        <v>0.90979381443298668</v>
      </c>
      <c r="E1413" s="4">
        <v>2</v>
      </c>
      <c r="F1413" s="5">
        <v>73.569999999999993</v>
      </c>
      <c r="G1413" s="10">
        <f t="shared" si="134"/>
        <v>147.13999999999999</v>
      </c>
      <c r="H1413" s="7">
        <f t="shared" si="135"/>
        <v>1.7826031436573541E-5</v>
      </c>
      <c r="I1413" s="8">
        <f t="shared" si="137"/>
        <v>0.99868603466961037</v>
      </c>
      <c r="J1413" s="3" t="s">
        <v>525</v>
      </c>
    </row>
    <row r="1414" spans="1:10" x14ac:dyDescent="0.25">
      <c r="A1414" s="3" t="s">
        <v>1425</v>
      </c>
      <c r="B1414" s="3" t="str">
        <f t="shared" si="132"/>
        <v>7</v>
      </c>
      <c r="C1414" s="7">
        <f t="shared" si="133"/>
        <v>6.4432989690721648E-4</v>
      </c>
      <c r="D1414" s="8">
        <f t="shared" si="136"/>
        <v>0.91043814432989389</v>
      </c>
      <c r="E1414" s="4">
        <v>1</v>
      </c>
      <c r="F1414" s="5">
        <v>146.82</v>
      </c>
      <c r="G1414" s="10">
        <f t="shared" si="134"/>
        <v>146.82</v>
      </c>
      <c r="H1414" s="7">
        <f t="shared" si="135"/>
        <v>1.7787263392128089E-5</v>
      </c>
      <c r="I1414" s="8">
        <f t="shared" si="137"/>
        <v>0.99870382193300244</v>
      </c>
      <c r="J1414" s="3" t="s">
        <v>525</v>
      </c>
    </row>
    <row r="1415" spans="1:10" x14ac:dyDescent="0.25">
      <c r="A1415" s="3" t="s">
        <v>1426</v>
      </c>
      <c r="B1415" s="3" t="str">
        <f t="shared" si="132"/>
        <v>8</v>
      </c>
      <c r="C1415" s="7">
        <f t="shared" si="133"/>
        <v>6.4432989690721648E-4</v>
      </c>
      <c r="D1415" s="8">
        <f t="shared" si="136"/>
        <v>0.91108247422680111</v>
      </c>
      <c r="E1415" s="4">
        <v>2</v>
      </c>
      <c r="F1415" s="5">
        <v>73.17</v>
      </c>
      <c r="G1415" s="10">
        <f t="shared" si="134"/>
        <v>146.34</v>
      </c>
      <c r="H1415" s="7">
        <f t="shared" si="135"/>
        <v>1.7729111325459917E-5</v>
      </c>
      <c r="I1415" s="8">
        <f t="shared" si="137"/>
        <v>0.99872155104432792</v>
      </c>
      <c r="J1415" s="3" t="s">
        <v>525</v>
      </c>
    </row>
    <row r="1416" spans="1:10" x14ac:dyDescent="0.25">
      <c r="A1416" s="3" t="s">
        <v>1427</v>
      </c>
      <c r="B1416" s="3" t="str">
        <f t="shared" si="132"/>
        <v>8</v>
      </c>
      <c r="C1416" s="7">
        <f t="shared" si="133"/>
        <v>6.4432989690721648E-4</v>
      </c>
      <c r="D1416" s="8">
        <f t="shared" si="136"/>
        <v>0.91172680412370832</v>
      </c>
      <c r="E1416" s="4">
        <v>11</v>
      </c>
      <c r="F1416" s="5">
        <v>13.28</v>
      </c>
      <c r="G1416" s="10">
        <f t="shared" si="134"/>
        <v>146.07999999999998</v>
      </c>
      <c r="H1416" s="7">
        <f t="shared" si="135"/>
        <v>1.7697612289347987E-5</v>
      </c>
      <c r="I1416" s="8">
        <f t="shared" si="137"/>
        <v>0.99873924865661723</v>
      </c>
      <c r="J1416" s="3" t="s">
        <v>525</v>
      </c>
    </row>
    <row r="1417" spans="1:10" x14ac:dyDescent="0.25">
      <c r="A1417" s="3" t="s">
        <v>1428</v>
      </c>
      <c r="B1417" s="3" t="str">
        <f t="shared" si="132"/>
        <v>5</v>
      </c>
      <c r="C1417" s="7">
        <f t="shared" si="133"/>
        <v>6.4432989690721648E-4</v>
      </c>
      <c r="D1417" s="8">
        <f t="shared" si="136"/>
        <v>0.91237113402061554</v>
      </c>
      <c r="E1417" s="4">
        <v>2</v>
      </c>
      <c r="F1417" s="5">
        <v>72.95</v>
      </c>
      <c r="G1417" s="10">
        <f t="shared" si="134"/>
        <v>145.9</v>
      </c>
      <c r="H1417" s="7">
        <f t="shared" si="135"/>
        <v>1.7675805264347424E-5</v>
      </c>
      <c r="I1417" s="8">
        <f t="shared" si="137"/>
        <v>0.99875692446188158</v>
      </c>
      <c r="J1417" s="3" t="s">
        <v>525</v>
      </c>
    </row>
    <row r="1418" spans="1:10" x14ac:dyDescent="0.25">
      <c r="A1418" s="3" t="s">
        <v>1429</v>
      </c>
      <c r="B1418" s="3" t="str">
        <f t="shared" si="132"/>
        <v>7</v>
      </c>
      <c r="C1418" s="7">
        <f t="shared" si="133"/>
        <v>6.4432989690721648E-4</v>
      </c>
      <c r="D1418" s="8">
        <f t="shared" si="136"/>
        <v>0.91301546391752275</v>
      </c>
      <c r="E1418" s="4">
        <v>1</v>
      </c>
      <c r="F1418" s="5">
        <v>144.87</v>
      </c>
      <c r="G1418" s="10">
        <f t="shared" si="134"/>
        <v>144.87</v>
      </c>
      <c r="H1418" s="7">
        <f t="shared" si="135"/>
        <v>1.7551020621288631E-5</v>
      </c>
      <c r="I1418" s="8">
        <f t="shared" si="137"/>
        <v>0.99877447548250287</v>
      </c>
      <c r="J1418" s="3" t="s">
        <v>525</v>
      </c>
    </row>
    <row r="1419" spans="1:10" x14ac:dyDescent="0.25">
      <c r="A1419" s="3" t="s">
        <v>1430</v>
      </c>
      <c r="B1419" s="3" t="str">
        <f t="shared" si="132"/>
        <v>8</v>
      </c>
      <c r="C1419" s="7">
        <f t="shared" si="133"/>
        <v>6.4432989690721648E-4</v>
      </c>
      <c r="D1419" s="8">
        <f t="shared" si="136"/>
        <v>0.91365979381442997</v>
      </c>
      <c r="E1419" s="4">
        <v>15</v>
      </c>
      <c r="F1419" s="5">
        <v>9.64</v>
      </c>
      <c r="G1419" s="10">
        <f t="shared" si="134"/>
        <v>144.60000000000002</v>
      </c>
      <c r="H1419" s="7">
        <f t="shared" si="135"/>
        <v>1.7518310083787783E-5</v>
      </c>
      <c r="I1419" s="8">
        <f t="shared" si="137"/>
        <v>0.99879199379258665</v>
      </c>
      <c r="J1419" s="3" t="s">
        <v>525</v>
      </c>
    </row>
    <row r="1420" spans="1:10" x14ac:dyDescent="0.25">
      <c r="A1420" s="3" t="s">
        <v>1431</v>
      </c>
      <c r="B1420" s="3" t="str">
        <f t="shared" si="132"/>
        <v>4</v>
      </c>
      <c r="C1420" s="7">
        <f t="shared" si="133"/>
        <v>6.4432989690721648E-4</v>
      </c>
      <c r="D1420" s="8">
        <f t="shared" si="136"/>
        <v>0.91430412371133718</v>
      </c>
      <c r="E1420" s="4">
        <v>1</v>
      </c>
      <c r="F1420" s="5">
        <v>143.21</v>
      </c>
      <c r="G1420" s="10">
        <f t="shared" si="134"/>
        <v>143.21</v>
      </c>
      <c r="H1420" s="7">
        <f t="shared" si="135"/>
        <v>1.7349911390727857E-5</v>
      </c>
      <c r="I1420" s="8">
        <f t="shared" si="137"/>
        <v>0.99880934370397734</v>
      </c>
      <c r="J1420" s="3" t="s">
        <v>525</v>
      </c>
    </row>
    <row r="1421" spans="1:10" x14ac:dyDescent="0.25">
      <c r="A1421" s="3" t="s">
        <v>1432</v>
      </c>
      <c r="B1421" s="3" t="str">
        <f t="shared" si="132"/>
        <v>5</v>
      </c>
      <c r="C1421" s="7">
        <f t="shared" si="133"/>
        <v>6.4432989690721648E-4</v>
      </c>
      <c r="D1421" s="8">
        <f t="shared" si="136"/>
        <v>0.91494845360824439</v>
      </c>
      <c r="E1421" s="4">
        <v>1</v>
      </c>
      <c r="F1421" s="5">
        <v>141.80000000000001</v>
      </c>
      <c r="G1421" s="10">
        <f t="shared" si="134"/>
        <v>141.80000000000001</v>
      </c>
      <c r="H1421" s="7">
        <f t="shared" si="135"/>
        <v>1.7179089694890095E-5</v>
      </c>
      <c r="I1421" s="8">
        <f t="shared" si="137"/>
        <v>0.99882652279367223</v>
      </c>
      <c r="J1421" s="3" t="s">
        <v>525</v>
      </c>
    </row>
    <row r="1422" spans="1:10" x14ac:dyDescent="0.25">
      <c r="A1422" s="3" t="s">
        <v>1433</v>
      </c>
      <c r="B1422" s="3" t="str">
        <f t="shared" si="132"/>
        <v>7</v>
      </c>
      <c r="C1422" s="7">
        <f t="shared" si="133"/>
        <v>6.4432989690721648E-4</v>
      </c>
      <c r="D1422" s="8">
        <f t="shared" si="136"/>
        <v>0.91559278350515161</v>
      </c>
      <c r="E1422" s="4">
        <v>1</v>
      </c>
      <c r="F1422" s="5">
        <v>138.81</v>
      </c>
      <c r="G1422" s="10">
        <f t="shared" si="134"/>
        <v>138.81</v>
      </c>
      <c r="H1422" s="7">
        <f t="shared" si="135"/>
        <v>1.6816850779602919E-5</v>
      </c>
      <c r="I1422" s="8">
        <f t="shared" si="137"/>
        <v>0.99884333964445182</v>
      </c>
      <c r="J1422" s="3" t="s">
        <v>525</v>
      </c>
    </row>
    <row r="1423" spans="1:10" x14ac:dyDescent="0.25">
      <c r="A1423" s="3" t="s">
        <v>1434</v>
      </c>
      <c r="B1423" s="3" t="str">
        <f t="shared" si="132"/>
        <v>8</v>
      </c>
      <c r="C1423" s="7">
        <f t="shared" si="133"/>
        <v>6.4432989690721648E-4</v>
      </c>
      <c r="D1423" s="8">
        <f t="shared" si="136"/>
        <v>0.91623711340205882</v>
      </c>
      <c r="E1423" s="4">
        <v>3</v>
      </c>
      <c r="F1423" s="5">
        <v>46.04</v>
      </c>
      <c r="G1423" s="10">
        <f t="shared" si="134"/>
        <v>138.12</v>
      </c>
      <c r="H1423" s="7">
        <f t="shared" si="135"/>
        <v>1.6733257183767417E-5</v>
      </c>
      <c r="I1423" s="8">
        <f t="shared" si="137"/>
        <v>0.99886007290163559</v>
      </c>
      <c r="J1423" s="3" t="s">
        <v>525</v>
      </c>
    </row>
    <row r="1424" spans="1:10" x14ac:dyDescent="0.25">
      <c r="A1424" s="3" t="s">
        <v>1435</v>
      </c>
      <c r="B1424" s="3" t="str">
        <f t="shared" si="132"/>
        <v>6</v>
      </c>
      <c r="C1424" s="7">
        <f t="shared" si="133"/>
        <v>6.4432989690721648E-4</v>
      </c>
      <c r="D1424" s="8">
        <f t="shared" si="136"/>
        <v>0.91688144329896604</v>
      </c>
      <c r="E1424" s="4">
        <v>3</v>
      </c>
      <c r="F1424" s="5">
        <v>45.94</v>
      </c>
      <c r="G1424" s="10">
        <f t="shared" si="134"/>
        <v>137.82</v>
      </c>
      <c r="H1424" s="7">
        <f t="shared" si="135"/>
        <v>1.6696912142099805E-5</v>
      </c>
      <c r="I1424" s="8">
        <f t="shared" si="137"/>
        <v>0.99887676981377771</v>
      </c>
      <c r="J1424" s="3" t="s">
        <v>525</v>
      </c>
    </row>
    <row r="1425" spans="1:10" x14ac:dyDescent="0.25">
      <c r="A1425" s="3" t="s">
        <v>1436</v>
      </c>
      <c r="B1425" s="3" t="str">
        <f t="shared" si="132"/>
        <v>4</v>
      </c>
      <c r="C1425" s="7">
        <f t="shared" si="133"/>
        <v>6.4432989690721648E-4</v>
      </c>
      <c r="D1425" s="8">
        <f t="shared" si="136"/>
        <v>0.91752577319587325</v>
      </c>
      <c r="E1425" s="4">
        <v>3</v>
      </c>
      <c r="F1425" s="5">
        <v>45.78</v>
      </c>
      <c r="G1425" s="10">
        <f t="shared" si="134"/>
        <v>137.34</v>
      </c>
      <c r="H1425" s="7">
        <f t="shared" si="135"/>
        <v>1.6638760075431633E-5</v>
      </c>
      <c r="I1425" s="8">
        <f t="shared" si="137"/>
        <v>0.99889340857385311</v>
      </c>
      <c r="J1425" s="3" t="s">
        <v>525</v>
      </c>
    </row>
    <row r="1426" spans="1:10" x14ac:dyDescent="0.25">
      <c r="A1426" s="3" t="s">
        <v>1437</v>
      </c>
      <c r="B1426" s="3" t="str">
        <f t="shared" si="132"/>
        <v>6</v>
      </c>
      <c r="C1426" s="7">
        <f t="shared" si="133"/>
        <v>6.4432989690721648E-4</v>
      </c>
      <c r="D1426" s="8">
        <f t="shared" si="136"/>
        <v>0.91817010309278047</v>
      </c>
      <c r="E1426" s="4">
        <v>4</v>
      </c>
      <c r="F1426" s="5">
        <v>34.26</v>
      </c>
      <c r="G1426" s="10">
        <f t="shared" si="134"/>
        <v>137.04</v>
      </c>
      <c r="H1426" s="7">
        <f t="shared" si="135"/>
        <v>1.6602415033764021E-5</v>
      </c>
      <c r="I1426" s="8">
        <f t="shared" si="137"/>
        <v>0.99891001098888688</v>
      </c>
      <c r="J1426" s="3" t="s">
        <v>525</v>
      </c>
    </row>
    <row r="1427" spans="1:10" x14ac:dyDescent="0.25">
      <c r="A1427" s="3" t="s">
        <v>1438</v>
      </c>
      <c r="B1427" s="3" t="str">
        <f t="shared" si="132"/>
        <v>8</v>
      </c>
      <c r="C1427" s="7">
        <f t="shared" si="133"/>
        <v>6.4432989690721648E-4</v>
      </c>
      <c r="D1427" s="8">
        <f t="shared" si="136"/>
        <v>0.91881443298968768</v>
      </c>
      <c r="E1427" s="4">
        <v>2</v>
      </c>
      <c r="F1427" s="5">
        <v>68.239999999999995</v>
      </c>
      <c r="G1427" s="10">
        <f t="shared" si="134"/>
        <v>136.47999999999999</v>
      </c>
      <c r="H1427" s="7">
        <f t="shared" si="135"/>
        <v>1.6534570955984482E-5</v>
      </c>
      <c r="I1427" s="8">
        <f t="shared" si="137"/>
        <v>0.99892654555984284</v>
      </c>
      <c r="J1427" s="3" t="s">
        <v>525</v>
      </c>
    </row>
    <row r="1428" spans="1:10" x14ac:dyDescent="0.25">
      <c r="A1428" s="3" t="s">
        <v>1439</v>
      </c>
      <c r="B1428" s="3" t="str">
        <f t="shared" si="132"/>
        <v>9</v>
      </c>
      <c r="C1428" s="7">
        <f t="shared" si="133"/>
        <v>6.4432989690721648E-4</v>
      </c>
      <c r="D1428" s="8">
        <f t="shared" si="136"/>
        <v>0.91945876288659489</v>
      </c>
      <c r="E1428" s="4">
        <v>3</v>
      </c>
      <c r="F1428" s="5">
        <v>45.23</v>
      </c>
      <c r="G1428" s="10">
        <f t="shared" si="134"/>
        <v>135.69</v>
      </c>
      <c r="H1428" s="7">
        <f t="shared" si="135"/>
        <v>1.643886234625978E-5</v>
      </c>
      <c r="I1428" s="8">
        <f t="shared" si="137"/>
        <v>0.9989429844221891</v>
      </c>
      <c r="J1428" s="3" t="s">
        <v>525</v>
      </c>
    </row>
    <row r="1429" spans="1:10" x14ac:dyDescent="0.25">
      <c r="A1429" s="3" t="s">
        <v>1440</v>
      </c>
      <c r="B1429" s="3" t="str">
        <f t="shared" si="132"/>
        <v>9</v>
      </c>
      <c r="C1429" s="7">
        <f t="shared" si="133"/>
        <v>6.4432989690721648E-4</v>
      </c>
      <c r="D1429" s="8">
        <f t="shared" si="136"/>
        <v>0.92010309278350211</v>
      </c>
      <c r="E1429" s="4">
        <v>1</v>
      </c>
      <c r="F1429" s="5">
        <v>133.36000000000001</v>
      </c>
      <c r="G1429" s="10">
        <f t="shared" si="134"/>
        <v>133.36000000000001</v>
      </c>
      <c r="H1429" s="7">
        <f t="shared" si="135"/>
        <v>1.6156582522641346E-5</v>
      </c>
      <c r="I1429" s="8">
        <f t="shared" si="137"/>
        <v>0.99895914100471173</v>
      </c>
      <c r="J1429" s="3" t="s">
        <v>525</v>
      </c>
    </row>
    <row r="1430" spans="1:10" x14ac:dyDescent="0.25">
      <c r="A1430" s="3" t="s">
        <v>1441</v>
      </c>
      <c r="B1430" s="3" t="str">
        <f t="shared" si="132"/>
        <v>5</v>
      </c>
      <c r="C1430" s="7">
        <f t="shared" si="133"/>
        <v>6.4432989690721648E-4</v>
      </c>
      <c r="D1430" s="8">
        <f t="shared" si="136"/>
        <v>0.92074742268040932</v>
      </c>
      <c r="E1430" s="4">
        <v>1</v>
      </c>
      <c r="F1430" s="5">
        <v>131.6</v>
      </c>
      <c r="G1430" s="10">
        <f t="shared" si="134"/>
        <v>131.6</v>
      </c>
      <c r="H1430" s="7">
        <f t="shared" si="135"/>
        <v>1.5943358278191369E-5</v>
      </c>
      <c r="I1430" s="8">
        <f t="shared" si="137"/>
        <v>0.99897508436298987</v>
      </c>
      <c r="J1430" s="3" t="s">
        <v>525</v>
      </c>
    </row>
    <row r="1431" spans="1:10" x14ac:dyDescent="0.25">
      <c r="A1431" s="3" t="s">
        <v>1442</v>
      </c>
      <c r="B1431" s="3" t="str">
        <f t="shared" si="132"/>
        <v>4</v>
      </c>
      <c r="C1431" s="7">
        <f t="shared" si="133"/>
        <v>6.4432989690721648E-4</v>
      </c>
      <c r="D1431" s="8">
        <f t="shared" si="136"/>
        <v>0.92139175257731654</v>
      </c>
      <c r="E1431" s="4">
        <v>2</v>
      </c>
      <c r="F1431" s="5">
        <v>65.290000000000006</v>
      </c>
      <c r="G1431" s="10">
        <f t="shared" si="134"/>
        <v>130.58000000000001</v>
      </c>
      <c r="H1431" s="7">
        <f t="shared" si="135"/>
        <v>1.5819785136521497E-5</v>
      </c>
      <c r="I1431" s="8">
        <f t="shared" si="137"/>
        <v>0.99899090414812641</v>
      </c>
      <c r="J1431" s="3" t="s">
        <v>525</v>
      </c>
    </row>
    <row r="1432" spans="1:10" x14ac:dyDescent="0.25">
      <c r="A1432" s="3" t="s">
        <v>1443</v>
      </c>
      <c r="B1432" s="3" t="str">
        <f t="shared" si="132"/>
        <v>3</v>
      </c>
      <c r="C1432" s="7">
        <f t="shared" si="133"/>
        <v>6.4432989690721648E-4</v>
      </c>
      <c r="D1432" s="8">
        <f t="shared" si="136"/>
        <v>0.92203608247422375</v>
      </c>
      <c r="E1432" s="4">
        <v>2</v>
      </c>
      <c r="F1432" s="5">
        <v>64.97</v>
      </c>
      <c r="G1432" s="10">
        <f t="shared" si="134"/>
        <v>129.94</v>
      </c>
      <c r="H1432" s="7">
        <f t="shared" si="135"/>
        <v>1.5742249047630598E-5</v>
      </c>
      <c r="I1432" s="8">
        <f t="shared" si="137"/>
        <v>0.99900664639717407</v>
      </c>
      <c r="J1432" s="3" t="s">
        <v>525</v>
      </c>
    </row>
    <row r="1433" spans="1:10" x14ac:dyDescent="0.25">
      <c r="A1433" s="3" t="s">
        <v>1444</v>
      </c>
      <c r="B1433" s="3" t="str">
        <f t="shared" si="132"/>
        <v>6</v>
      </c>
      <c r="C1433" s="7">
        <f t="shared" si="133"/>
        <v>6.4432989690721648E-4</v>
      </c>
      <c r="D1433" s="8">
        <f t="shared" si="136"/>
        <v>0.92268041237113096</v>
      </c>
      <c r="E1433" s="4">
        <v>2</v>
      </c>
      <c r="F1433" s="5">
        <v>64.86</v>
      </c>
      <c r="G1433" s="10">
        <f t="shared" si="134"/>
        <v>129.72</v>
      </c>
      <c r="H1433" s="7">
        <f t="shared" si="135"/>
        <v>1.5715596017074349E-5</v>
      </c>
      <c r="I1433" s="8">
        <f t="shared" si="137"/>
        <v>0.99902236199319117</v>
      </c>
      <c r="J1433" s="3" t="s">
        <v>525</v>
      </c>
    </row>
    <row r="1434" spans="1:10" x14ac:dyDescent="0.25">
      <c r="A1434" s="3" t="s">
        <v>1445</v>
      </c>
      <c r="B1434" s="3" t="str">
        <f t="shared" si="132"/>
        <v>5</v>
      </c>
      <c r="C1434" s="7">
        <f t="shared" si="133"/>
        <v>6.4432989690721648E-4</v>
      </c>
      <c r="D1434" s="8">
        <f t="shared" si="136"/>
        <v>0.92332474226803818</v>
      </c>
      <c r="E1434" s="4">
        <v>1</v>
      </c>
      <c r="F1434" s="5">
        <v>129.38999999999999</v>
      </c>
      <c r="G1434" s="10">
        <f t="shared" si="134"/>
        <v>129.38999999999999</v>
      </c>
      <c r="H1434" s="7">
        <f t="shared" si="135"/>
        <v>1.5675616471239977E-5</v>
      </c>
      <c r="I1434" s="8">
        <f t="shared" si="137"/>
        <v>0.99903803760966237</v>
      </c>
      <c r="J1434" s="3" t="s">
        <v>525</v>
      </c>
    </row>
    <row r="1435" spans="1:10" x14ac:dyDescent="0.25">
      <c r="A1435" s="3" t="s">
        <v>1446</v>
      </c>
      <c r="B1435" s="3" t="str">
        <f t="shared" si="132"/>
        <v>7</v>
      </c>
      <c r="C1435" s="7">
        <f t="shared" si="133"/>
        <v>6.4432989690721648E-4</v>
      </c>
      <c r="D1435" s="8">
        <f t="shared" si="136"/>
        <v>0.92396907216494539</v>
      </c>
      <c r="E1435" s="4">
        <v>1</v>
      </c>
      <c r="F1435" s="5">
        <v>127.3</v>
      </c>
      <c r="G1435" s="10">
        <f t="shared" si="134"/>
        <v>127.3</v>
      </c>
      <c r="H1435" s="7">
        <f t="shared" si="135"/>
        <v>1.5422412680955634E-5</v>
      </c>
      <c r="I1435" s="8">
        <f t="shared" si="137"/>
        <v>0.9990534600223433</v>
      </c>
      <c r="J1435" s="3" t="s">
        <v>525</v>
      </c>
    </row>
    <row r="1436" spans="1:10" x14ac:dyDescent="0.25">
      <c r="A1436" s="3" t="s">
        <v>1447</v>
      </c>
      <c r="B1436" s="3" t="str">
        <f t="shared" si="132"/>
        <v>5</v>
      </c>
      <c r="C1436" s="7">
        <f t="shared" si="133"/>
        <v>6.4432989690721648E-4</v>
      </c>
      <c r="D1436" s="8">
        <f t="shared" si="136"/>
        <v>0.92461340206185261</v>
      </c>
      <c r="E1436" s="4">
        <v>4</v>
      </c>
      <c r="F1436" s="5">
        <v>31.82</v>
      </c>
      <c r="G1436" s="10">
        <f t="shared" si="134"/>
        <v>127.28</v>
      </c>
      <c r="H1436" s="7">
        <f t="shared" si="135"/>
        <v>1.5419989678177791E-5</v>
      </c>
      <c r="I1436" s="8">
        <f t="shared" si="137"/>
        <v>0.99906888001202143</v>
      </c>
      <c r="J1436" s="3" t="s">
        <v>525</v>
      </c>
    </row>
    <row r="1437" spans="1:10" x14ac:dyDescent="0.25">
      <c r="A1437" s="3" t="s">
        <v>1448</v>
      </c>
      <c r="B1437" s="3" t="str">
        <f t="shared" si="132"/>
        <v>8</v>
      </c>
      <c r="C1437" s="7">
        <f t="shared" si="133"/>
        <v>6.4432989690721648E-4</v>
      </c>
      <c r="D1437" s="8">
        <f t="shared" si="136"/>
        <v>0.92525773195875982</v>
      </c>
      <c r="E1437" s="4">
        <v>2</v>
      </c>
      <c r="F1437" s="5">
        <v>62.77</v>
      </c>
      <c r="G1437" s="10">
        <f t="shared" si="134"/>
        <v>125.54</v>
      </c>
      <c r="H1437" s="7">
        <f t="shared" si="135"/>
        <v>1.5209188436505658E-5</v>
      </c>
      <c r="I1437" s="8">
        <f t="shared" si="137"/>
        <v>0.99908408920045799</v>
      </c>
      <c r="J1437" s="3" t="s">
        <v>525</v>
      </c>
    </row>
    <row r="1438" spans="1:10" x14ac:dyDescent="0.25">
      <c r="A1438" s="3" t="s">
        <v>1449</v>
      </c>
      <c r="B1438" s="3" t="str">
        <f t="shared" si="132"/>
        <v>8</v>
      </c>
      <c r="C1438" s="7">
        <f t="shared" si="133"/>
        <v>6.4432989690721648E-4</v>
      </c>
      <c r="D1438" s="8">
        <f t="shared" si="136"/>
        <v>0.92590206185566704</v>
      </c>
      <c r="E1438" s="4">
        <v>7</v>
      </c>
      <c r="F1438" s="5">
        <v>17.73</v>
      </c>
      <c r="G1438" s="10">
        <f t="shared" si="134"/>
        <v>124.11</v>
      </c>
      <c r="H1438" s="7">
        <f t="shared" si="135"/>
        <v>1.5035943737890052E-5</v>
      </c>
      <c r="I1438" s="8">
        <f t="shared" si="137"/>
        <v>0.99909912514419585</v>
      </c>
      <c r="J1438" s="3" t="s">
        <v>525</v>
      </c>
    </row>
    <row r="1439" spans="1:10" x14ac:dyDescent="0.25">
      <c r="A1439" s="3" t="s">
        <v>1450</v>
      </c>
      <c r="B1439" s="3" t="str">
        <f t="shared" si="132"/>
        <v>3</v>
      </c>
      <c r="C1439" s="7">
        <f t="shared" si="133"/>
        <v>6.4432989690721648E-4</v>
      </c>
      <c r="D1439" s="8">
        <f t="shared" si="136"/>
        <v>0.92654639175257425</v>
      </c>
      <c r="E1439" s="4">
        <v>1</v>
      </c>
      <c r="F1439" s="5">
        <v>122.62</v>
      </c>
      <c r="G1439" s="10">
        <f t="shared" si="134"/>
        <v>122.62</v>
      </c>
      <c r="H1439" s="7">
        <f t="shared" si="135"/>
        <v>1.4855430030940925E-5</v>
      </c>
      <c r="I1439" s="8">
        <f t="shared" si="137"/>
        <v>0.99911398057422685</v>
      </c>
      <c r="J1439" s="3" t="s">
        <v>525</v>
      </c>
    </row>
    <row r="1440" spans="1:10" x14ac:dyDescent="0.25">
      <c r="A1440" s="3" t="s">
        <v>1451</v>
      </c>
      <c r="B1440" s="3" t="str">
        <f t="shared" si="132"/>
        <v>5</v>
      </c>
      <c r="C1440" s="7">
        <f t="shared" si="133"/>
        <v>6.4432989690721648E-4</v>
      </c>
      <c r="D1440" s="8">
        <f t="shared" si="136"/>
        <v>0.92719072164948146</v>
      </c>
      <c r="E1440" s="4">
        <v>1</v>
      </c>
      <c r="F1440" s="5">
        <v>121.94</v>
      </c>
      <c r="G1440" s="10">
        <f t="shared" si="134"/>
        <v>121.94</v>
      </c>
      <c r="H1440" s="7">
        <f t="shared" si="135"/>
        <v>1.4773047936494342E-5</v>
      </c>
      <c r="I1440" s="8">
        <f t="shared" si="137"/>
        <v>0.99912875362216336</v>
      </c>
      <c r="J1440" s="3" t="s">
        <v>525</v>
      </c>
    </row>
    <row r="1441" spans="1:10" x14ac:dyDescent="0.25">
      <c r="A1441" s="3" t="s">
        <v>1452</v>
      </c>
      <c r="B1441" s="3" t="str">
        <f t="shared" si="132"/>
        <v>2</v>
      </c>
      <c r="C1441" s="7">
        <f t="shared" si="133"/>
        <v>6.4432989690721648E-4</v>
      </c>
      <c r="D1441" s="8">
        <f t="shared" si="136"/>
        <v>0.92783505154638868</v>
      </c>
      <c r="E1441" s="4">
        <v>10</v>
      </c>
      <c r="F1441" s="5">
        <v>12.14</v>
      </c>
      <c r="G1441" s="10">
        <f t="shared" si="134"/>
        <v>121.4</v>
      </c>
      <c r="H1441" s="7">
        <f t="shared" si="135"/>
        <v>1.4707626861492646E-5</v>
      </c>
      <c r="I1441" s="8">
        <f t="shared" si="137"/>
        <v>0.99914346124902487</v>
      </c>
      <c r="J1441" s="3" t="s">
        <v>525</v>
      </c>
    </row>
    <row r="1442" spans="1:10" x14ac:dyDescent="0.25">
      <c r="A1442" s="3" t="s">
        <v>1453</v>
      </c>
      <c r="B1442" s="3" t="str">
        <f t="shared" si="132"/>
        <v>7</v>
      </c>
      <c r="C1442" s="7">
        <f t="shared" si="133"/>
        <v>6.4432989690721648E-4</v>
      </c>
      <c r="D1442" s="8">
        <f t="shared" si="136"/>
        <v>0.92847938144329589</v>
      </c>
      <c r="E1442" s="4">
        <v>1</v>
      </c>
      <c r="F1442" s="5">
        <v>119.56</v>
      </c>
      <c r="G1442" s="10">
        <f t="shared" si="134"/>
        <v>119.56</v>
      </c>
      <c r="H1442" s="7">
        <f t="shared" si="135"/>
        <v>1.4484710605931308E-5</v>
      </c>
      <c r="I1442" s="8">
        <f t="shared" si="137"/>
        <v>0.99915794595963081</v>
      </c>
      <c r="J1442" s="3" t="s">
        <v>525</v>
      </c>
    </row>
    <row r="1443" spans="1:10" x14ac:dyDescent="0.25">
      <c r="A1443" s="3" t="s">
        <v>1454</v>
      </c>
      <c r="B1443" s="3" t="str">
        <f t="shared" si="132"/>
        <v>8</v>
      </c>
      <c r="C1443" s="7">
        <f t="shared" si="133"/>
        <v>6.4432989690721648E-4</v>
      </c>
      <c r="D1443" s="8">
        <f t="shared" si="136"/>
        <v>0.92912371134020311</v>
      </c>
      <c r="E1443" s="4">
        <v>13</v>
      </c>
      <c r="F1443" s="5">
        <v>8.74</v>
      </c>
      <c r="G1443" s="10">
        <f t="shared" si="134"/>
        <v>113.62</v>
      </c>
      <c r="H1443" s="7">
        <f t="shared" si="135"/>
        <v>1.376507878091264E-5</v>
      </c>
      <c r="I1443" s="8">
        <f t="shared" si="137"/>
        <v>0.99917171103841174</v>
      </c>
      <c r="J1443" s="3" t="s">
        <v>525</v>
      </c>
    </row>
    <row r="1444" spans="1:10" x14ac:dyDescent="0.25">
      <c r="A1444" s="3" t="s">
        <v>1455</v>
      </c>
      <c r="B1444" s="3" t="str">
        <f t="shared" si="132"/>
        <v>8</v>
      </c>
      <c r="C1444" s="7">
        <f t="shared" si="133"/>
        <v>6.4432989690721648E-4</v>
      </c>
      <c r="D1444" s="8">
        <f t="shared" si="136"/>
        <v>0.92976804123711032</v>
      </c>
      <c r="E1444" s="4">
        <v>2</v>
      </c>
      <c r="F1444" s="5">
        <v>55.47</v>
      </c>
      <c r="G1444" s="10">
        <f t="shared" si="134"/>
        <v>110.94</v>
      </c>
      <c r="H1444" s="7">
        <f t="shared" si="135"/>
        <v>1.3440396408681994E-5</v>
      </c>
      <c r="I1444" s="8">
        <f t="shared" si="137"/>
        <v>0.99918515143482045</v>
      </c>
      <c r="J1444" s="3" t="s">
        <v>525</v>
      </c>
    </row>
    <row r="1445" spans="1:10" x14ac:dyDescent="0.25">
      <c r="A1445" s="3" t="s">
        <v>1456</v>
      </c>
      <c r="B1445" s="3" t="str">
        <f t="shared" si="132"/>
        <v>8</v>
      </c>
      <c r="C1445" s="7">
        <f t="shared" si="133"/>
        <v>6.4432989690721648E-4</v>
      </c>
      <c r="D1445" s="8">
        <f t="shared" si="136"/>
        <v>0.93041237113401754</v>
      </c>
      <c r="E1445" s="4">
        <v>2</v>
      </c>
      <c r="F1445" s="5">
        <v>55.31</v>
      </c>
      <c r="G1445" s="10">
        <f t="shared" si="134"/>
        <v>110.62</v>
      </c>
      <c r="H1445" s="7">
        <f t="shared" si="135"/>
        <v>1.3401628364236545E-5</v>
      </c>
      <c r="I1445" s="8">
        <f t="shared" si="137"/>
        <v>0.99919855306318472</v>
      </c>
      <c r="J1445" s="3" t="s">
        <v>525</v>
      </c>
    </row>
    <row r="1446" spans="1:10" x14ac:dyDescent="0.25">
      <c r="A1446" s="3" t="s">
        <v>1457</v>
      </c>
      <c r="B1446" s="3" t="str">
        <f t="shared" si="132"/>
        <v>9</v>
      </c>
      <c r="C1446" s="7">
        <f t="shared" si="133"/>
        <v>6.4432989690721648E-4</v>
      </c>
      <c r="D1446" s="8">
        <f t="shared" si="136"/>
        <v>0.93105670103092475</v>
      </c>
      <c r="E1446" s="4">
        <v>1</v>
      </c>
      <c r="F1446" s="5">
        <v>110.38</v>
      </c>
      <c r="G1446" s="10">
        <f t="shared" si="134"/>
        <v>110.38</v>
      </c>
      <c r="H1446" s="7">
        <f t="shared" si="135"/>
        <v>1.3372552330902457E-5</v>
      </c>
      <c r="I1446" s="8">
        <f t="shared" si="137"/>
        <v>0.99921192561551564</v>
      </c>
      <c r="J1446" s="3" t="s">
        <v>525</v>
      </c>
    </row>
    <row r="1447" spans="1:10" x14ac:dyDescent="0.25">
      <c r="A1447" s="3" t="s">
        <v>1458</v>
      </c>
      <c r="B1447" s="3" t="str">
        <f t="shared" si="132"/>
        <v>8</v>
      </c>
      <c r="C1447" s="7">
        <f t="shared" si="133"/>
        <v>6.4432989690721648E-4</v>
      </c>
      <c r="D1447" s="8">
        <f t="shared" si="136"/>
        <v>0.93170103092783196</v>
      </c>
      <c r="E1447" s="4">
        <v>10</v>
      </c>
      <c r="F1447" s="5">
        <v>10.97</v>
      </c>
      <c r="G1447" s="10">
        <f t="shared" si="134"/>
        <v>109.7</v>
      </c>
      <c r="H1447" s="7">
        <f t="shared" si="135"/>
        <v>1.3290170236455876E-5</v>
      </c>
      <c r="I1447" s="8">
        <f t="shared" si="137"/>
        <v>0.99922521578575207</v>
      </c>
      <c r="J1447" s="3" t="s">
        <v>525</v>
      </c>
    </row>
    <row r="1448" spans="1:10" x14ac:dyDescent="0.25">
      <c r="A1448" s="3" t="s">
        <v>1459</v>
      </c>
      <c r="B1448" s="3" t="str">
        <f t="shared" si="132"/>
        <v>7</v>
      </c>
      <c r="C1448" s="7">
        <f t="shared" si="133"/>
        <v>6.4432989690721648E-4</v>
      </c>
      <c r="D1448" s="8">
        <f t="shared" si="136"/>
        <v>0.93234536082473918</v>
      </c>
      <c r="E1448" s="4">
        <v>1</v>
      </c>
      <c r="F1448" s="5">
        <v>108.89</v>
      </c>
      <c r="G1448" s="10">
        <f t="shared" si="134"/>
        <v>108.89</v>
      </c>
      <c r="H1448" s="7">
        <f t="shared" si="135"/>
        <v>1.319203862395333E-5</v>
      </c>
      <c r="I1448" s="8">
        <f t="shared" si="137"/>
        <v>0.99923840782437601</v>
      </c>
      <c r="J1448" s="3" t="s">
        <v>525</v>
      </c>
    </row>
    <row r="1449" spans="1:10" x14ac:dyDescent="0.25">
      <c r="A1449" s="3" t="s">
        <v>1460</v>
      </c>
      <c r="B1449" s="3" t="str">
        <f t="shared" si="132"/>
        <v>2</v>
      </c>
      <c r="C1449" s="7">
        <f t="shared" si="133"/>
        <v>6.4432989690721648E-4</v>
      </c>
      <c r="D1449" s="8">
        <f t="shared" si="136"/>
        <v>0.93298969072164639</v>
      </c>
      <c r="E1449" s="4">
        <v>2</v>
      </c>
      <c r="F1449" s="5">
        <v>54.22</v>
      </c>
      <c r="G1449" s="10">
        <f t="shared" si="134"/>
        <v>108.44</v>
      </c>
      <c r="H1449" s="7">
        <f t="shared" si="135"/>
        <v>1.3137521061451915E-5</v>
      </c>
      <c r="I1449" s="8">
        <f t="shared" si="137"/>
        <v>0.99925154534543748</v>
      </c>
      <c r="J1449" s="3" t="s">
        <v>525</v>
      </c>
    </row>
    <row r="1450" spans="1:10" x14ac:dyDescent="0.25">
      <c r="A1450" s="3" t="s">
        <v>1461</v>
      </c>
      <c r="B1450" s="3" t="str">
        <f t="shared" si="132"/>
        <v>7</v>
      </c>
      <c r="C1450" s="7">
        <f t="shared" si="133"/>
        <v>6.4432989690721648E-4</v>
      </c>
      <c r="D1450" s="8">
        <f t="shared" si="136"/>
        <v>0.93363402061855361</v>
      </c>
      <c r="E1450" s="4">
        <v>1</v>
      </c>
      <c r="F1450" s="5">
        <v>108.44</v>
      </c>
      <c r="G1450" s="10">
        <f t="shared" si="134"/>
        <v>108.44</v>
      </c>
      <c r="H1450" s="7">
        <f t="shared" si="135"/>
        <v>1.3137521061451915E-5</v>
      </c>
      <c r="I1450" s="8">
        <f t="shared" si="137"/>
        <v>0.99926468286649894</v>
      </c>
      <c r="J1450" s="3" t="s">
        <v>525</v>
      </c>
    </row>
    <row r="1451" spans="1:10" x14ac:dyDescent="0.25">
      <c r="A1451" s="3" t="s">
        <v>1462</v>
      </c>
      <c r="B1451" s="3" t="str">
        <f t="shared" si="132"/>
        <v>2</v>
      </c>
      <c r="C1451" s="7">
        <f t="shared" si="133"/>
        <v>6.4432989690721648E-4</v>
      </c>
      <c r="D1451" s="8">
        <f t="shared" si="136"/>
        <v>0.93427835051546082</v>
      </c>
      <c r="E1451" s="4">
        <v>5</v>
      </c>
      <c r="F1451" s="5">
        <v>21.49</v>
      </c>
      <c r="G1451" s="10">
        <f t="shared" si="134"/>
        <v>107.44999999999999</v>
      </c>
      <c r="H1451" s="7">
        <f t="shared" si="135"/>
        <v>1.3017582423948802E-5</v>
      </c>
      <c r="I1451" s="8">
        <f t="shared" si="137"/>
        <v>0.99927770044892295</v>
      </c>
      <c r="J1451" s="3" t="s">
        <v>525</v>
      </c>
    </row>
    <row r="1452" spans="1:10" x14ac:dyDescent="0.25">
      <c r="A1452" s="3" t="s">
        <v>1463</v>
      </c>
      <c r="B1452" s="3" t="str">
        <f t="shared" si="132"/>
        <v>6</v>
      </c>
      <c r="C1452" s="7">
        <f t="shared" si="133"/>
        <v>6.4432989690721648E-4</v>
      </c>
      <c r="D1452" s="8">
        <f t="shared" si="136"/>
        <v>0.93492268041236803</v>
      </c>
      <c r="E1452" s="4">
        <v>5</v>
      </c>
      <c r="F1452" s="5">
        <v>21.43</v>
      </c>
      <c r="G1452" s="10">
        <f t="shared" si="134"/>
        <v>107.15</v>
      </c>
      <c r="H1452" s="7">
        <f t="shared" si="135"/>
        <v>1.2981237382281195E-5</v>
      </c>
      <c r="I1452" s="8">
        <f t="shared" si="137"/>
        <v>0.99929068168630519</v>
      </c>
      <c r="J1452" s="3" t="s">
        <v>525</v>
      </c>
    </row>
    <row r="1453" spans="1:10" x14ac:dyDescent="0.25">
      <c r="A1453" s="3" t="s">
        <v>1464</v>
      </c>
      <c r="B1453" s="3" t="str">
        <f t="shared" si="132"/>
        <v>8</v>
      </c>
      <c r="C1453" s="7">
        <f t="shared" si="133"/>
        <v>6.4432989690721648E-4</v>
      </c>
      <c r="D1453" s="8">
        <f t="shared" si="136"/>
        <v>0.93556701030927525</v>
      </c>
      <c r="E1453" s="4">
        <v>2</v>
      </c>
      <c r="F1453" s="5">
        <v>53.27</v>
      </c>
      <c r="G1453" s="10">
        <f t="shared" si="134"/>
        <v>106.54</v>
      </c>
      <c r="H1453" s="7">
        <f t="shared" si="135"/>
        <v>1.2907335797557057E-5</v>
      </c>
      <c r="I1453" s="8">
        <f t="shared" si="137"/>
        <v>0.9993035890221027</v>
      </c>
      <c r="J1453" s="3" t="s">
        <v>525</v>
      </c>
    </row>
    <row r="1454" spans="1:10" x14ac:dyDescent="0.25">
      <c r="A1454" s="3" t="s">
        <v>1465</v>
      </c>
      <c r="B1454" s="3" t="str">
        <f t="shared" si="132"/>
        <v>4</v>
      </c>
      <c r="C1454" s="7">
        <f t="shared" si="133"/>
        <v>6.4432989690721648E-4</v>
      </c>
      <c r="D1454" s="8">
        <f t="shared" si="136"/>
        <v>0.93621134020618246</v>
      </c>
      <c r="E1454" s="4">
        <v>1</v>
      </c>
      <c r="F1454" s="5">
        <v>105.86</v>
      </c>
      <c r="G1454" s="10">
        <f t="shared" si="134"/>
        <v>105.86</v>
      </c>
      <c r="H1454" s="7">
        <f t="shared" si="135"/>
        <v>1.2824953703110474E-5</v>
      </c>
      <c r="I1454" s="8">
        <f t="shared" si="137"/>
        <v>0.99931641397580584</v>
      </c>
      <c r="J1454" s="3" t="s">
        <v>525</v>
      </c>
    </row>
    <row r="1455" spans="1:10" x14ac:dyDescent="0.25">
      <c r="A1455" s="3" t="s">
        <v>1466</v>
      </c>
      <c r="B1455" s="3" t="str">
        <f t="shared" si="132"/>
        <v>9</v>
      </c>
      <c r="C1455" s="7">
        <f t="shared" si="133"/>
        <v>6.4432989690721648E-4</v>
      </c>
      <c r="D1455" s="8">
        <f t="shared" si="136"/>
        <v>0.93685567010308968</v>
      </c>
      <c r="E1455" s="4">
        <v>1</v>
      </c>
      <c r="F1455" s="5">
        <v>105</v>
      </c>
      <c r="G1455" s="10">
        <f t="shared" si="134"/>
        <v>105</v>
      </c>
      <c r="H1455" s="7">
        <f t="shared" si="135"/>
        <v>1.2720764583663326E-5</v>
      </c>
      <c r="I1455" s="8">
        <f t="shared" si="137"/>
        <v>0.99932913474038954</v>
      </c>
      <c r="J1455" s="3" t="s">
        <v>525</v>
      </c>
    </row>
    <row r="1456" spans="1:10" x14ac:dyDescent="0.25">
      <c r="A1456" s="3" t="s">
        <v>1467</v>
      </c>
      <c r="B1456" s="3" t="str">
        <f t="shared" si="132"/>
        <v>8</v>
      </c>
      <c r="C1456" s="7">
        <f t="shared" si="133"/>
        <v>6.4432989690721648E-4</v>
      </c>
      <c r="D1456" s="8">
        <f t="shared" si="136"/>
        <v>0.93749999999999689</v>
      </c>
      <c r="E1456" s="4">
        <v>4</v>
      </c>
      <c r="F1456" s="5">
        <v>26.15</v>
      </c>
      <c r="G1456" s="10">
        <f t="shared" si="134"/>
        <v>104.6</v>
      </c>
      <c r="H1456" s="7">
        <f t="shared" si="135"/>
        <v>1.2672304528106513E-5</v>
      </c>
      <c r="I1456" s="8">
        <f t="shared" si="137"/>
        <v>0.9993418070449176</v>
      </c>
      <c r="J1456" s="3" t="s">
        <v>525</v>
      </c>
    </row>
    <row r="1457" spans="1:10" x14ac:dyDescent="0.25">
      <c r="A1457" s="3" t="s">
        <v>1468</v>
      </c>
      <c r="B1457" s="3" t="str">
        <f t="shared" si="132"/>
        <v>8</v>
      </c>
      <c r="C1457" s="7">
        <f t="shared" si="133"/>
        <v>6.4432989690721648E-4</v>
      </c>
      <c r="D1457" s="8">
        <f t="shared" si="136"/>
        <v>0.93814432989690411</v>
      </c>
      <c r="E1457" s="4">
        <v>4</v>
      </c>
      <c r="F1457" s="5">
        <v>25.69</v>
      </c>
      <c r="G1457" s="10">
        <f t="shared" si="134"/>
        <v>102.76</v>
      </c>
      <c r="H1457" s="7">
        <f t="shared" si="135"/>
        <v>1.2449388272545175E-5</v>
      </c>
      <c r="I1457" s="8">
        <f t="shared" si="137"/>
        <v>0.99935425643319009</v>
      </c>
      <c r="J1457" s="3" t="s">
        <v>525</v>
      </c>
    </row>
    <row r="1458" spans="1:10" x14ac:dyDescent="0.25">
      <c r="A1458" s="3" t="s">
        <v>1469</v>
      </c>
      <c r="B1458" s="3" t="str">
        <f t="shared" si="132"/>
        <v>6</v>
      </c>
      <c r="C1458" s="7">
        <f t="shared" si="133"/>
        <v>6.4432989690721648E-4</v>
      </c>
      <c r="D1458" s="8">
        <f t="shared" si="136"/>
        <v>0.93878865979381132</v>
      </c>
      <c r="E1458" s="4">
        <v>1</v>
      </c>
      <c r="F1458" s="5">
        <v>100.91</v>
      </c>
      <c r="G1458" s="10">
        <f t="shared" si="134"/>
        <v>100.91</v>
      </c>
      <c r="H1458" s="7">
        <f t="shared" si="135"/>
        <v>1.2225260515594917E-5</v>
      </c>
      <c r="I1458" s="8">
        <f t="shared" si="137"/>
        <v>0.99936648169370568</v>
      </c>
      <c r="J1458" s="3" t="s">
        <v>525</v>
      </c>
    </row>
    <row r="1459" spans="1:10" x14ac:dyDescent="0.25">
      <c r="A1459" s="3" t="s">
        <v>1470</v>
      </c>
      <c r="B1459" s="3" t="str">
        <f t="shared" si="132"/>
        <v>7</v>
      </c>
      <c r="C1459" s="7">
        <f t="shared" si="133"/>
        <v>6.4432989690721648E-4</v>
      </c>
      <c r="D1459" s="8">
        <f t="shared" si="136"/>
        <v>0.93943298969071853</v>
      </c>
      <c r="E1459" s="4">
        <v>10</v>
      </c>
      <c r="F1459" s="5">
        <v>9.7899999999999991</v>
      </c>
      <c r="G1459" s="10">
        <f t="shared" si="134"/>
        <v>97.899999999999991</v>
      </c>
      <c r="H1459" s="7">
        <f t="shared" si="135"/>
        <v>1.18605985975299E-5</v>
      </c>
      <c r="I1459" s="8">
        <f t="shared" si="137"/>
        <v>0.99937834229230316</v>
      </c>
      <c r="J1459" s="3" t="s">
        <v>525</v>
      </c>
    </row>
    <row r="1460" spans="1:10" x14ac:dyDescent="0.25">
      <c r="A1460" s="3" t="s">
        <v>1471</v>
      </c>
      <c r="B1460" s="3" t="str">
        <f t="shared" si="132"/>
        <v>9</v>
      </c>
      <c r="C1460" s="7">
        <f t="shared" si="133"/>
        <v>6.4432989690721648E-4</v>
      </c>
      <c r="D1460" s="8">
        <f t="shared" si="136"/>
        <v>0.94007731958762575</v>
      </c>
      <c r="E1460" s="4">
        <v>6</v>
      </c>
      <c r="F1460" s="5">
        <v>16.3</v>
      </c>
      <c r="G1460" s="10">
        <f t="shared" si="134"/>
        <v>97.800000000000011</v>
      </c>
      <c r="H1460" s="7">
        <f t="shared" si="135"/>
        <v>1.18484835836407E-5</v>
      </c>
      <c r="I1460" s="8">
        <f t="shared" si="137"/>
        <v>0.99939019077588676</v>
      </c>
      <c r="J1460" s="3" t="s">
        <v>525</v>
      </c>
    </row>
    <row r="1461" spans="1:10" x14ac:dyDescent="0.25">
      <c r="A1461" s="3" t="s">
        <v>1472</v>
      </c>
      <c r="B1461" s="3" t="str">
        <f t="shared" si="132"/>
        <v>2</v>
      </c>
      <c r="C1461" s="7">
        <f t="shared" si="133"/>
        <v>6.4432989690721648E-4</v>
      </c>
      <c r="D1461" s="8">
        <f t="shared" si="136"/>
        <v>0.94072164948453296</v>
      </c>
      <c r="E1461" s="4">
        <v>14</v>
      </c>
      <c r="F1461" s="5">
        <v>6.93</v>
      </c>
      <c r="G1461" s="10">
        <f t="shared" si="134"/>
        <v>97.02</v>
      </c>
      <c r="H1461" s="7">
        <f t="shared" si="135"/>
        <v>1.1753986475304913E-5</v>
      </c>
      <c r="I1461" s="8">
        <f t="shared" si="137"/>
        <v>0.9994019447623621</v>
      </c>
      <c r="J1461" s="3" t="s">
        <v>525</v>
      </c>
    </row>
    <row r="1462" spans="1:10" x14ac:dyDescent="0.25">
      <c r="A1462" s="3" t="s">
        <v>1473</v>
      </c>
      <c r="B1462" s="3" t="str">
        <f t="shared" si="132"/>
        <v>8</v>
      </c>
      <c r="C1462" s="7">
        <f t="shared" si="133"/>
        <v>6.4432989690721648E-4</v>
      </c>
      <c r="D1462" s="8">
        <f t="shared" si="136"/>
        <v>0.94136597938144018</v>
      </c>
      <c r="E1462" s="4">
        <v>4</v>
      </c>
      <c r="F1462" s="5">
        <v>23.69</v>
      </c>
      <c r="G1462" s="10">
        <f t="shared" si="134"/>
        <v>94.76</v>
      </c>
      <c r="H1462" s="7">
        <f t="shared" si="135"/>
        <v>1.1480187161408923E-5</v>
      </c>
      <c r="I1462" s="8">
        <f t="shared" si="137"/>
        <v>0.99941342494952357</v>
      </c>
      <c r="J1462" s="3" t="s">
        <v>525</v>
      </c>
    </row>
    <row r="1463" spans="1:10" x14ac:dyDescent="0.25">
      <c r="A1463" s="3" t="s">
        <v>1474</v>
      </c>
      <c r="B1463" s="3" t="str">
        <f t="shared" si="132"/>
        <v>6</v>
      </c>
      <c r="C1463" s="7">
        <f t="shared" si="133"/>
        <v>6.4432989690721648E-4</v>
      </c>
      <c r="D1463" s="8">
        <f t="shared" si="136"/>
        <v>0.94201030927834739</v>
      </c>
      <c r="E1463" s="4">
        <v>4</v>
      </c>
      <c r="F1463" s="5">
        <v>23.07</v>
      </c>
      <c r="G1463" s="10">
        <f t="shared" si="134"/>
        <v>92.28</v>
      </c>
      <c r="H1463" s="7">
        <f t="shared" si="135"/>
        <v>1.1179734816956683E-5</v>
      </c>
      <c r="I1463" s="8">
        <f t="shared" si="137"/>
        <v>0.99942460468434047</v>
      </c>
      <c r="J1463" s="3" t="s">
        <v>525</v>
      </c>
    </row>
    <row r="1464" spans="1:10" x14ac:dyDescent="0.25">
      <c r="A1464" s="3" t="s">
        <v>1475</v>
      </c>
      <c r="B1464" s="3" t="str">
        <f t="shared" si="132"/>
        <v>9</v>
      </c>
      <c r="C1464" s="7">
        <f t="shared" si="133"/>
        <v>6.4432989690721648E-4</v>
      </c>
      <c r="D1464" s="8">
        <f t="shared" si="136"/>
        <v>0.94265463917525461</v>
      </c>
      <c r="E1464" s="4">
        <v>1</v>
      </c>
      <c r="F1464" s="5">
        <v>91.77</v>
      </c>
      <c r="G1464" s="10">
        <f t="shared" si="134"/>
        <v>91.77</v>
      </c>
      <c r="H1464" s="7">
        <f t="shared" si="135"/>
        <v>1.1117948246121747E-5</v>
      </c>
      <c r="I1464" s="8">
        <f t="shared" si="137"/>
        <v>0.99943572263258662</v>
      </c>
      <c r="J1464" s="3" t="s">
        <v>525</v>
      </c>
    </row>
    <row r="1465" spans="1:10" x14ac:dyDescent="0.25">
      <c r="A1465" s="3" t="s">
        <v>1476</v>
      </c>
      <c r="B1465" s="3" t="str">
        <f t="shared" si="132"/>
        <v>6</v>
      </c>
      <c r="C1465" s="7">
        <f t="shared" si="133"/>
        <v>6.4432989690721648E-4</v>
      </c>
      <c r="D1465" s="8">
        <f t="shared" si="136"/>
        <v>0.94329896907216182</v>
      </c>
      <c r="E1465" s="4">
        <v>8</v>
      </c>
      <c r="F1465" s="5">
        <v>11.23</v>
      </c>
      <c r="G1465" s="10">
        <f t="shared" si="134"/>
        <v>89.84</v>
      </c>
      <c r="H1465" s="7">
        <f t="shared" si="135"/>
        <v>1.0884128478060126E-5</v>
      </c>
      <c r="I1465" s="8">
        <f t="shared" si="137"/>
        <v>0.99944660676106467</v>
      </c>
      <c r="J1465" s="3" t="s">
        <v>525</v>
      </c>
    </row>
    <row r="1466" spans="1:10" x14ac:dyDescent="0.25">
      <c r="A1466" s="3" t="s">
        <v>1477</v>
      </c>
      <c r="B1466" s="3" t="str">
        <f t="shared" si="132"/>
        <v>7</v>
      </c>
      <c r="C1466" s="7">
        <f t="shared" si="133"/>
        <v>6.4432989690721648E-4</v>
      </c>
      <c r="D1466" s="8">
        <f t="shared" si="136"/>
        <v>0.94394329896906903</v>
      </c>
      <c r="E1466" s="4">
        <v>2</v>
      </c>
      <c r="F1466" s="5">
        <v>44.66</v>
      </c>
      <c r="G1466" s="10">
        <f t="shared" si="134"/>
        <v>89.32</v>
      </c>
      <c r="H1466" s="7">
        <f t="shared" si="135"/>
        <v>1.0821130405836269E-5</v>
      </c>
      <c r="I1466" s="8">
        <f t="shared" si="137"/>
        <v>0.99945742789147052</v>
      </c>
      <c r="J1466" s="3" t="s">
        <v>525</v>
      </c>
    </row>
    <row r="1467" spans="1:10" x14ac:dyDescent="0.25">
      <c r="A1467" s="3" t="s">
        <v>1478</v>
      </c>
      <c r="B1467" s="3" t="str">
        <f t="shared" si="132"/>
        <v>4</v>
      </c>
      <c r="C1467" s="7">
        <f t="shared" si="133"/>
        <v>6.4432989690721648E-4</v>
      </c>
      <c r="D1467" s="8">
        <f t="shared" si="136"/>
        <v>0.94458762886597625</v>
      </c>
      <c r="E1467" s="4">
        <v>1</v>
      </c>
      <c r="F1467" s="5">
        <v>86.49</v>
      </c>
      <c r="G1467" s="10">
        <f t="shared" si="134"/>
        <v>86.49</v>
      </c>
      <c r="H1467" s="7">
        <f t="shared" si="135"/>
        <v>1.0478275512771819E-5</v>
      </c>
      <c r="I1467" s="8">
        <f t="shared" si="137"/>
        <v>0.99946790616698333</v>
      </c>
      <c r="J1467" s="3" t="s">
        <v>525</v>
      </c>
    </row>
    <row r="1468" spans="1:10" x14ac:dyDescent="0.25">
      <c r="A1468" s="3" t="s">
        <v>1479</v>
      </c>
      <c r="B1468" s="3" t="str">
        <f t="shared" si="132"/>
        <v>8</v>
      </c>
      <c r="C1468" s="7">
        <f t="shared" si="133"/>
        <v>6.4432989690721648E-4</v>
      </c>
      <c r="D1468" s="8">
        <f t="shared" si="136"/>
        <v>0.94523195876288346</v>
      </c>
      <c r="E1468" s="4">
        <v>8</v>
      </c>
      <c r="F1468" s="5">
        <v>10.79</v>
      </c>
      <c r="G1468" s="10">
        <f t="shared" si="134"/>
        <v>86.32</v>
      </c>
      <c r="H1468" s="7">
        <f t="shared" si="135"/>
        <v>1.0457679989160174E-5</v>
      </c>
      <c r="I1468" s="8">
        <f t="shared" si="137"/>
        <v>0.99947836384697253</v>
      </c>
      <c r="J1468" s="3" t="s">
        <v>525</v>
      </c>
    </row>
    <row r="1469" spans="1:10" x14ac:dyDescent="0.25">
      <c r="A1469" s="3" t="s">
        <v>1480</v>
      </c>
      <c r="B1469" s="3" t="str">
        <f t="shared" si="132"/>
        <v>7</v>
      </c>
      <c r="C1469" s="7">
        <f t="shared" si="133"/>
        <v>6.4432989690721648E-4</v>
      </c>
      <c r="D1469" s="8">
        <f t="shared" si="136"/>
        <v>0.94587628865979068</v>
      </c>
      <c r="E1469" s="4">
        <v>1</v>
      </c>
      <c r="F1469" s="5">
        <v>85.09</v>
      </c>
      <c r="G1469" s="10">
        <f t="shared" si="134"/>
        <v>85.09</v>
      </c>
      <c r="H1469" s="7">
        <f t="shared" si="135"/>
        <v>1.0308665318322975E-5</v>
      </c>
      <c r="I1469" s="8">
        <f t="shared" si="137"/>
        <v>0.9994886725122909</v>
      </c>
      <c r="J1469" s="3" t="s">
        <v>525</v>
      </c>
    </row>
    <row r="1470" spans="1:10" x14ac:dyDescent="0.25">
      <c r="A1470" s="3" t="s">
        <v>1481</v>
      </c>
      <c r="B1470" s="3" t="str">
        <f t="shared" si="132"/>
        <v>8</v>
      </c>
      <c r="C1470" s="7">
        <f t="shared" si="133"/>
        <v>6.4432989690721648E-4</v>
      </c>
      <c r="D1470" s="8">
        <f t="shared" si="136"/>
        <v>0.94652061855669789</v>
      </c>
      <c r="E1470" s="4">
        <v>17</v>
      </c>
      <c r="F1470" s="5">
        <v>4.8600000000000003</v>
      </c>
      <c r="G1470" s="10">
        <f t="shared" si="134"/>
        <v>82.62</v>
      </c>
      <c r="H1470" s="7">
        <f t="shared" si="135"/>
        <v>1.0009424475259658E-5</v>
      </c>
      <c r="I1470" s="8">
        <f t="shared" si="137"/>
        <v>0.99949868193676616</v>
      </c>
      <c r="J1470" s="3" t="s">
        <v>525</v>
      </c>
    </row>
    <row r="1471" spans="1:10" x14ac:dyDescent="0.25">
      <c r="A1471" s="3" t="s">
        <v>1482</v>
      </c>
      <c r="B1471" s="3" t="str">
        <f t="shared" si="132"/>
        <v>8</v>
      </c>
      <c r="C1471" s="7">
        <f t="shared" si="133"/>
        <v>6.4432989690721648E-4</v>
      </c>
      <c r="D1471" s="8">
        <f t="shared" si="136"/>
        <v>0.9471649484536051</v>
      </c>
      <c r="E1471" s="4">
        <v>3</v>
      </c>
      <c r="F1471" s="5">
        <v>27.4</v>
      </c>
      <c r="G1471" s="10">
        <f t="shared" si="134"/>
        <v>82.199999999999989</v>
      </c>
      <c r="H1471" s="7">
        <f t="shared" si="135"/>
        <v>9.9585414169250022E-6</v>
      </c>
      <c r="I1471" s="8">
        <f t="shared" si="137"/>
        <v>0.99950864047818311</v>
      </c>
      <c r="J1471" s="3" t="s">
        <v>525</v>
      </c>
    </row>
    <row r="1472" spans="1:10" x14ac:dyDescent="0.25">
      <c r="A1472" s="3" t="s">
        <v>1483</v>
      </c>
      <c r="B1472" s="3" t="str">
        <f t="shared" si="132"/>
        <v>7</v>
      </c>
      <c r="C1472" s="7">
        <f t="shared" si="133"/>
        <v>6.4432989690721648E-4</v>
      </c>
      <c r="D1472" s="8">
        <f t="shared" si="136"/>
        <v>0.94780927835051232</v>
      </c>
      <c r="E1472" s="4">
        <v>1</v>
      </c>
      <c r="F1472" s="5">
        <v>80.53</v>
      </c>
      <c r="G1472" s="10">
        <f t="shared" si="134"/>
        <v>80.53</v>
      </c>
      <c r="H1472" s="7">
        <f t="shared" si="135"/>
        <v>9.7562206849753118E-6</v>
      </c>
      <c r="I1472" s="8">
        <f t="shared" si="137"/>
        <v>0.99951839669886811</v>
      </c>
      <c r="J1472" s="3" t="s">
        <v>525</v>
      </c>
    </row>
    <row r="1473" spans="1:10" x14ac:dyDescent="0.25">
      <c r="A1473" s="3" t="s">
        <v>1484</v>
      </c>
      <c r="B1473" s="3" t="str">
        <f t="shared" si="132"/>
        <v>7</v>
      </c>
      <c r="C1473" s="7">
        <f t="shared" si="133"/>
        <v>6.4432989690721648E-4</v>
      </c>
      <c r="D1473" s="8">
        <f t="shared" si="136"/>
        <v>0.94845360824741953</v>
      </c>
      <c r="E1473" s="4">
        <v>2</v>
      </c>
      <c r="F1473" s="5">
        <v>39.57</v>
      </c>
      <c r="G1473" s="10">
        <f t="shared" si="134"/>
        <v>79.14</v>
      </c>
      <c r="H1473" s="7">
        <f t="shared" si="135"/>
        <v>9.5878219919153874E-6</v>
      </c>
      <c r="I1473" s="8">
        <f t="shared" si="137"/>
        <v>0.99952798452086</v>
      </c>
      <c r="J1473" s="3" t="s">
        <v>525</v>
      </c>
    </row>
    <row r="1474" spans="1:10" x14ac:dyDescent="0.25">
      <c r="A1474" s="3" t="s">
        <v>1485</v>
      </c>
      <c r="B1474" s="3" t="str">
        <f t="shared" ref="B1474:B1537" si="138">RIGHT(A1474,1)</f>
        <v>9</v>
      </c>
      <c r="C1474" s="7">
        <f t="shared" ref="C1474:C1537" si="139">1/COUNTA(A$2:A$1553)</f>
        <v>6.4432989690721648E-4</v>
      </c>
      <c r="D1474" s="8">
        <f t="shared" si="136"/>
        <v>0.94909793814432675</v>
      </c>
      <c r="E1474" s="4">
        <v>1</v>
      </c>
      <c r="F1474" s="5">
        <v>78.88</v>
      </c>
      <c r="G1474" s="10">
        <f t="shared" ref="G1474:G1537" si="140">E1474*F1474</f>
        <v>78.88</v>
      </c>
      <c r="H1474" s="7">
        <f t="shared" ref="H1474:H1537" si="141">G1474/SUM(G$2:G$1553)</f>
        <v>9.5563229558034589E-6</v>
      </c>
      <c r="I1474" s="8">
        <f t="shared" si="137"/>
        <v>0.99953754084381585</v>
      </c>
      <c r="J1474" s="3" t="s">
        <v>525</v>
      </c>
    </row>
    <row r="1475" spans="1:10" x14ac:dyDescent="0.25">
      <c r="A1475" s="3" t="s">
        <v>1486</v>
      </c>
      <c r="B1475" s="3" t="str">
        <f t="shared" si="138"/>
        <v>2</v>
      </c>
      <c r="C1475" s="7">
        <f t="shared" si="139"/>
        <v>6.4432989690721648E-4</v>
      </c>
      <c r="D1475" s="8">
        <f t="shared" ref="D1475:D1538" si="142">D1474+C1475</f>
        <v>0.94974226804123396</v>
      </c>
      <c r="E1475" s="4">
        <v>1</v>
      </c>
      <c r="F1475" s="5">
        <v>77.75</v>
      </c>
      <c r="G1475" s="10">
        <f t="shared" si="140"/>
        <v>77.75</v>
      </c>
      <c r="H1475" s="7">
        <f t="shared" si="141"/>
        <v>9.419423298855463E-6</v>
      </c>
      <c r="I1475" s="8">
        <f t="shared" ref="I1475:I1538" si="143">I1474+H1475</f>
        <v>0.99954696026711476</v>
      </c>
      <c r="J1475" s="3" t="s">
        <v>525</v>
      </c>
    </row>
    <row r="1476" spans="1:10" x14ac:dyDescent="0.25">
      <c r="A1476" s="3" t="s">
        <v>1487</v>
      </c>
      <c r="B1476" s="3" t="str">
        <f t="shared" si="138"/>
        <v>7</v>
      </c>
      <c r="C1476" s="7">
        <f t="shared" si="139"/>
        <v>6.4432989690721648E-4</v>
      </c>
      <c r="D1476" s="8">
        <f t="shared" si="142"/>
        <v>0.95038659793814118</v>
      </c>
      <c r="E1476" s="4">
        <v>6</v>
      </c>
      <c r="F1476" s="5">
        <v>12.76</v>
      </c>
      <c r="G1476" s="10">
        <f t="shared" si="140"/>
        <v>76.56</v>
      </c>
      <c r="H1476" s="7">
        <f t="shared" si="141"/>
        <v>9.2752546335739462E-6</v>
      </c>
      <c r="I1476" s="8">
        <f t="shared" si="143"/>
        <v>0.99955623552174833</v>
      </c>
      <c r="J1476" s="3" t="s">
        <v>525</v>
      </c>
    </row>
    <row r="1477" spans="1:10" x14ac:dyDescent="0.25">
      <c r="A1477" s="3" t="s">
        <v>1488</v>
      </c>
      <c r="B1477" s="3" t="str">
        <f t="shared" si="138"/>
        <v>8</v>
      </c>
      <c r="C1477" s="7">
        <f t="shared" si="139"/>
        <v>6.4432989690721648E-4</v>
      </c>
      <c r="D1477" s="8">
        <f t="shared" si="142"/>
        <v>0.95103092783504839</v>
      </c>
      <c r="E1477" s="4">
        <v>3</v>
      </c>
      <c r="F1477" s="5">
        <v>24.57</v>
      </c>
      <c r="G1477" s="10">
        <f t="shared" si="140"/>
        <v>73.710000000000008</v>
      </c>
      <c r="H1477" s="7">
        <f t="shared" si="141"/>
        <v>8.9299767377316567E-6</v>
      </c>
      <c r="I1477" s="8">
        <f t="shared" si="143"/>
        <v>0.99956516549848606</v>
      </c>
      <c r="J1477" s="3" t="s">
        <v>525</v>
      </c>
    </row>
    <row r="1478" spans="1:10" x14ac:dyDescent="0.25">
      <c r="A1478" s="3" t="s">
        <v>1489</v>
      </c>
      <c r="B1478" s="3" t="str">
        <f t="shared" si="138"/>
        <v>6</v>
      </c>
      <c r="C1478" s="7">
        <f t="shared" si="139"/>
        <v>6.4432989690721648E-4</v>
      </c>
      <c r="D1478" s="8">
        <f t="shared" si="142"/>
        <v>0.9516752577319556</v>
      </c>
      <c r="E1478" s="4">
        <v>1</v>
      </c>
      <c r="F1478" s="5">
        <v>73.27</v>
      </c>
      <c r="G1478" s="10">
        <f t="shared" si="140"/>
        <v>73.27</v>
      </c>
      <c r="H1478" s="7">
        <f t="shared" si="141"/>
        <v>8.8766706766191599E-6</v>
      </c>
      <c r="I1478" s="8">
        <f t="shared" si="143"/>
        <v>0.99957404216916268</v>
      </c>
      <c r="J1478" s="3" t="s">
        <v>525</v>
      </c>
    </row>
    <row r="1479" spans="1:10" x14ac:dyDescent="0.25">
      <c r="A1479" s="3" t="s">
        <v>1490</v>
      </c>
      <c r="B1479" s="3" t="str">
        <f t="shared" si="138"/>
        <v>7</v>
      </c>
      <c r="C1479" s="7">
        <f t="shared" si="139"/>
        <v>6.4432989690721648E-4</v>
      </c>
      <c r="D1479" s="8">
        <f t="shared" si="142"/>
        <v>0.95231958762886282</v>
      </c>
      <c r="E1479" s="4">
        <v>3</v>
      </c>
      <c r="F1479" s="5">
        <v>23.91</v>
      </c>
      <c r="G1479" s="10">
        <f t="shared" si="140"/>
        <v>71.73</v>
      </c>
      <c r="H1479" s="7">
        <f t="shared" si="141"/>
        <v>8.6900994627254329E-6</v>
      </c>
      <c r="I1479" s="8">
        <f t="shared" si="143"/>
        <v>0.99958273226862537</v>
      </c>
      <c r="J1479" s="3" t="s">
        <v>525</v>
      </c>
    </row>
    <row r="1480" spans="1:10" x14ac:dyDescent="0.25">
      <c r="A1480" s="3" t="s">
        <v>1491</v>
      </c>
      <c r="B1480" s="3" t="str">
        <f t="shared" si="138"/>
        <v>4</v>
      </c>
      <c r="C1480" s="7">
        <f t="shared" si="139"/>
        <v>6.4432989690721648E-4</v>
      </c>
      <c r="D1480" s="8">
        <f t="shared" si="142"/>
        <v>0.95296391752577003</v>
      </c>
      <c r="E1480" s="4">
        <v>1</v>
      </c>
      <c r="F1480" s="5">
        <v>71.48</v>
      </c>
      <c r="G1480" s="10">
        <f t="shared" si="140"/>
        <v>71.48</v>
      </c>
      <c r="H1480" s="7">
        <f t="shared" si="141"/>
        <v>8.6598119280024256E-6</v>
      </c>
      <c r="I1480" s="8">
        <f t="shared" si="143"/>
        <v>0.99959139208055336</v>
      </c>
      <c r="J1480" s="3" t="s">
        <v>525</v>
      </c>
    </row>
    <row r="1481" spans="1:10" x14ac:dyDescent="0.25">
      <c r="A1481" s="3" t="s">
        <v>1492</v>
      </c>
      <c r="B1481" s="3" t="str">
        <f t="shared" si="138"/>
        <v>2</v>
      </c>
      <c r="C1481" s="7">
        <f t="shared" si="139"/>
        <v>6.4432989690721648E-4</v>
      </c>
      <c r="D1481" s="8">
        <f t="shared" si="142"/>
        <v>0.95360824742267725</v>
      </c>
      <c r="E1481" s="4">
        <v>1</v>
      </c>
      <c r="F1481" s="5">
        <v>71.260000000000005</v>
      </c>
      <c r="G1481" s="10">
        <f t="shared" si="140"/>
        <v>71.260000000000005</v>
      </c>
      <c r="H1481" s="7">
        <f t="shared" si="141"/>
        <v>8.6331588974461789E-6</v>
      </c>
      <c r="I1481" s="8">
        <f t="shared" si="143"/>
        <v>0.9996000252394508</v>
      </c>
      <c r="J1481" s="3" t="s">
        <v>525</v>
      </c>
    </row>
    <row r="1482" spans="1:10" x14ac:dyDescent="0.25">
      <c r="A1482" s="3" t="s">
        <v>1493</v>
      </c>
      <c r="B1482" s="3" t="str">
        <f t="shared" si="138"/>
        <v>9</v>
      </c>
      <c r="C1482" s="7">
        <f t="shared" si="139"/>
        <v>6.4432989690721648E-4</v>
      </c>
      <c r="D1482" s="8">
        <f t="shared" si="142"/>
        <v>0.95425257731958446</v>
      </c>
      <c r="E1482" s="4">
        <v>2</v>
      </c>
      <c r="F1482" s="5">
        <v>35.25</v>
      </c>
      <c r="G1482" s="10">
        <f t="shared" si="140"/>
        <v>70.5</v>
      </c>
      <c r="H1482" s="7">
        <f t="shared" si="141"/>
        <v>8.5410847918882342E-6</v>
      </c>
      <c r="I1482" s="8">
        <f t="shared" si="143"/>
        <v>0.99960856632424266</v>
      </c>
      <c r="J1482" s="3" t="s">
        <v>525</v>
      </c>
    </row>
    <row r="1483" spans="1:10" x14ac:dyDescent="0.25">
      <c r="A1483" s="3" t="s">
        <v>1494</v>
      </c>
      <c r="B1483" s="3" t="str">
        <f t="shared" si="138"/>
        <v>5</v>
      </c>
      <c r="C1483" s="7">
        <f t="shared" si="139"/>
        <v>6.4432989690721648E-4</v>
      </c>
      <c r="D1483" s="8">
        <f t="shared" si="142"/>
        <v>0.95489690721649167</v>
      </c>
      <c r="E1483" s="4">
        <v>3</v>
      </c>
      <c r="F1483" s="5">
        <v>23.06</v>
      </c>
      <c r="G1483" s="10">
        <f t="shared" si="140"/>
        <v>69.179999999999993</v>
      </c>
      <c r="H1483" s="7">
        <f t="shared" si="141"/>
        <v>8.3811666085507505E-6</v>
      </c>
      <c r="I1483" s="8">
        <f t="shared" si="143"/>
        <v>0.99961694749085117</v>
      </c>
      <c r="J1483" s="3" t="s">
        <v>525</v>
      </c>
    </row>
    <row r="1484" spans="1:10" x14ac:dyDescent="0.25">
      <c r="A1484" s="3" t="s">
        <v>1495</v>
      </c>
      <c r="B1484" s="3" t="str">
        <f t="shared" si="138"/>
        <v>8</v>
      </c>
      <c r="C1484" s="7">
        <f t="shared" si="139"/>
        <v>6.4432989690721648E-4</v>
      </c>
      <c r="D1484" s="8">
        <f t="shared" si="142"/>
        <v>0.95554123711339889</v>
      </c>
      <c r="E1484" s="4">
        <v>1</v>
      </c>
      <c r="F1484" s="5">
        <v>69.12</v>
      </c>
      <c r="G1484" s="10">
        <f t="shared" si="140"/>
        <v>69.12</v>
      </c>
      <c r="H1484" s="7">
        <f t="shared" si="141"/>
        <v>8.3738976002172294E-6</v>
      </c>
      <c r="I1484" s="8">
        <f t="shared" si="143"/>
        <v>0.99962532138845139</v>
      </c>
      <c r="J1484" s="3" t="s">
        <v>525</v>
      </c>
    </row>
    <row r="1485" spans="1:10" x14ac:dyDescent="0.25">
      <c r="A1485" s="3" t="s">
        <v>1496</v>
      </c>
      <c r="B1485" s="3" t="str">
        <f t="shared" si="138"/>
        <v>8</v>
      </c>
      <c r="C1485" s="7">
        <f t="shared" si="139"/>
        <v>6.4432989690721648E-4</v>
      </c>
      <c r="D1485" s="8">
        <f t="shared" si="142"/>
        <v>0.9561855670103061</v>
      </c>
      <c r="E1485" s="4">
        <v>3</v>
      </c>
      <c r="F1485" s="5">
        <v>22.88</v>
      </c>
      <c r="G1485" s="10">
        <f t="shared" si="140"/>
        <v>68.64</v>
      </c>
      <c r="H1485" s="7">
        <f t="shared" si="141"/>
        <v>8.3157455335490541E-6</v>
      </c>
      <c r="I1485" s="8">
        <f t="shared" si="143"/>
        <v>0.9996336371339849</v>
      </c>
      <c r="J1485" s="3" t="s">
        <v>525</v>
      </c>
    </row>
    <row r="1486" spans="1:10" x14ac:dyDescent="0.25">
      <c r="A1486" s="3" t="s">
        <v>1497</v>
      </c>
      <c r="B1486" s="3" t="str">
        <f t="shared" si="138"/>
        <v>8</v>
      </c>
      <c r="C1486" s="7">
        <f t="shared" si="139"/>
        <v>6.4432989690721648E-4</v>
      </c>
      <c r="D1486" s="8">
        <f t="shared" si="142"/>
        <v>0.95682989690721332</v>
      </c>
      <c r="E1486" s="4">
        <v>9</v>
      </c>
      <c r="F1486" s="5">
        <v>7.47</v>
      </c>
      <c r="G1486" s="10">
        <f t="shared" si="140"/>
        <v>67.23</v>
      </c>
      <c r="H1486" s="7">
        <f t="shared" si="141"/>
        <v>8.1449238377112905E-6</v>
      </c>
      <c r="I1486" s="8">
        <f t="shared" si="143"/>
        <v>0.99964178205782261</v>
      </c>
      <c r="J1486" s="3" t="s">
        <v>525</v>
      </c>
    </row>
    <row r="1487" spans="1:10" x14ac:dyDescent="0.25">
      <c r="A1487" s="3" t="s">
        <v>1498</v>
      </c>
      <c r="B1487" s="3" t="str">
        <f t="shared" si="138"/>
        <v>6</v>
      </c>
      <c r="C1487" s="7">
        <f t="shared" si="139"/>
        <v>6.4432989690721648E-4</v>
      </c>
      <c r="D1487" s="8">
        <f t="shared" si="142"/>
        <v>0.95747422680412053</v>
      </c>
      <c r="E1487" s="4">
        <v>1</v>
      </c>
      <c r="F1487" s="5">
        <v>67.14</v>
      </c>
      <c r="G1487" s="10">
        <f t="shared" si="140"/>
        <v>67.14</v>
      </c>
      <c r="H1487" s="7">
        <f t="shared" si="141"/>
        <v>8.1340203252110072E-6</v>
      </c>
      <c r="I1487" s="8">
        <f t="shared" si="143"/>
        <v>0.99964991607814779</v>
      </c>
      <c r="J1487" s="3" t="s">
        <v>525</v>
      </c>
    </row>
    <row r="1488" spans="1:10" x14ac:dyDescent="0.25">
      <c r="A1488" s="3" t="s">
        <v>1499</v>
      </c>
      <c r="B1488" s="3" t="str">
        <f t="shared" si="138"/>
        <v>5</v>
      </c>
      <c r="C1488" s="7">
        <f t="shared" si="139"/>
        <v>6.4432989690721648E-4</v>
      </c>
      <c r="D1488" s="8">
        <f t="shared" si="142"/>
        <v>0.95811855670102775</v>
      </c>
      <c r="E1488" s="4">
        <v>1</v>
      </c>
      <c r="F1488" s="5">
        <v>65.14</v>
      </c>
      <c r="G1488" s="10">
        <f t="shared" si="140"/>
        <v>65.14</v>
      </c>
      <c r="H1488" s="7">
        <f t="shared" si="141"/>
        <v>7.8917200474269442E-6</v>
      </c>
      <c r="I1488" s="8">
        <f t="shared" si="143"/>
        <v>0.99965780779819524</v>
      </c>
      <c r="J1488" s="3" t="s">
        <v>525</v>
      </c>
    </row>
    <row r="1489" spans="1:10" x14ac:dyDescent="0.25">
      <c r="A1489" s="3" t="s">
        <v>1500</v>
      </c>
      <c r="B1489" s="3" t="str">
        <f t="shared" si="138"/>
        <v>7</v>
      </c>
      <c r="C1489" s="7">
        <f t="shared" si="139"/>
        <v>6.4432989690721648E-4</v>
      </c>
      <c r="D1489" s="8">
        <f t="shared" si="142"/>
        <v>0.95876288659793496</v>
      </c>
      <c r="E1489" s="4">
        <v>7</v>
      </c>
      <c r="F1489" s="5">
        <v>9.0299999999999994</v>
      </c>
      <c r="G1489" s="10">
        <f t="shared" si="140"/>
        <v>63.209999999999994</v>
      </c>
      <c r="H1489" s="7">
        <f t="shared" si="141"/>
        <v>7.6579002793653218E-6</v>
      </c>
      <c r="I1489" s="8">
        <f t="shared" si="143"/>
        <v>0.99966546569847459</v>
      </c>
      <c r="J1489" s="3" t="s">
        <v>525</v>
      </c>
    </row>
    <row r="1490" spans="1:10" x14ac:dyDescent="0.25">
      <c r="A1490" s="3" t="s">
        <v>1501</v>
      </c>
      <c r="B1490" s="3" t="str">
        <f t="shared" si="138"/>
        <v>4</v>
      </c>
      <c r="C1490" s="7">
        <f t="shared" si="139"/>
        <v>6.4432989690721648E-4</v>
      </c>
      <c r="D1490" s="8">
        <f t="shared" si="142"/>
        <v>0.95940721649484217</v>
      </c>
      <c r="E1490" s="4">
        <v>1</v>
      </c>
      <c r="F1490" s="5">
        <v>62.78</v>
      </c>
      <c r="G1490" s="10">
        <f t="shared" si="140"/>
        <v>62.78</v>
      </c>
      <c r="H1490" s="7">
        <f t="shared" si="141"/>
        <v>7.6058057196417488E-6</v>
      </c>
      <c r="I1490" s="8">
        <f t="shared" si="143"/>
        <v>0.99967307150419427</v>
      </c>
      <c r="J1490" s="3" t="s">
        <v>525</v>
      </c>
    </row>
    <row r="1491" spans="1:10" x14ac:dyDescent="0.25">
      <c r="A1491" s="3" t="s">
        <v>1502</v>
      </c>
      <c r="B1491" s="3" t="str">
        <f t="shared" si="138"/>
        <v>3</v>
      </c>
      <c r="C1491" s="7">
        <f t="shared" si="139"/>
        <v>6.4432989690721648E-4</v>
      </c>
      <c r="D1491" s="8">
        <f t="shared" si="142"/>
        <v>0.96005154639174939</v>
      </c>
      <c r="E1491" s="4">
        <v>1</v>
      </c>
      <c r="F1491" s="5">
        <v>61.96</v>
      </c>
      <c r="G1491" s="10">
        <f t="shared" si="140"/>
        <v>61.96</v>
      </c>
      <c r="H1491" s="7">
        <f t="shared" si="141"/>
        <v>7.506462605750283E-6</v>
      </c>
      <c r="I1491" s="8">
        <f t="shared" si="143"/>
        <v>0.99968057796679999</v>
      </c>
      <c r="J1491" s="3" t="s">
        <v>525</v>
      </c>
    </row>
    <row r="1492" spans="1:10" x14ac:dyDescent="0.25">
      <c r="A1492" s="3" t="s">
        <v>1503</v>
      </c>
      <c r="B1492" s="3" t="str">
        <f t="shared" si="138"/>
        <v>4</v>
      </c>
      <c r="C1492" s="7">
        <f t="shared" si="139"/>
        <v>6.4432989690721648E-4</v>
      </c>
      <c r="D1492" s="8">
        <f t="shared" si="142"/>
        <v>0.9606958762886566</v>
      </c>
      <c r="E1492" s="4">
        <v>1</v>
      </c>
      <c r="F1492" s="5">
        <v>60.32</v>
      </c>
      <c r="G1492" s="10">
        <f t="shared" si="140"/>
        <v>60.32</v>
      </c>
      <c r="H1492" s="7">
        <f t="shared" si="141"/>
        <v>7.3077763779673513E-6</v>
      </c>
      <c r="I1492" s="8">
        <f t="shared" si="143"/>
        <v>0.99968788574317791</v>
      </c>
      <c r="J1492" s="3" t="s">
        <v>525</v>
      </c>
    </row>
    <row r="1493" spans="1:10" x14ac:dyDescent="0.25">
      <c r="A1493" s="3" t="s">
        <v>1504</v>
      </c>
      <c r="B1493" s="3" t="str">
        <f t="shared" si="138"/>
        <v>7</v>
      </c>
      <c r="C1493" s="7">
        <f t="shared" si="139"/>
        <v>6.4432989690721648E-4</v>
      </c>
      <c r="D1493" s="8">
        <f t="shared" si="142"/>
        <v>0.96134020618556382</v>
      </c>
      <c r="E1493" s="4">
        <v>2</v>
      </c>
      <c r="F1493" s="5">
        <v>30.12</v>
      </c>
      <c r="G1493" s="10">
        <f t="shared" si="140"/>
        <v>60.24</v>
      </c>
      <c r="H1493" s="7">
        <f t="shared" si="141"/>
        <v>7.2980843668559885E-6</v>
      </c>
      <c r="I1493" s="8">
        <f t="shared" si="143"/>
        <v>0.99969518382754474</v>
      </c>
      <c r="J1493" s="3" t="s">
        <v>525</v>
      </c>
    </row>
    <row r="1494" spans="1:10" x14ac:dyDescent="0.25">
      <c r="A1494" s="3" t="s">
        <v>1505</v>
      </c>
      <c r="B1494" s="3" t="str">
        <f t="shared" si="138"/>
        <v>8</v>
      </c>
      <c r="C1494" s="7">
        <f t="shared" si="139"/>
        <v>6.4432989690721648E-4</v>
      </c>
      <c r="D1494" s="8">
        <f t="shared" si="142"/>
        <v>0.96198453608247103</v>
      </c>
      <c r="E1494" s="4">
        <v>1</v>
      </c>
      <c r="F1494" s="5">
        <v>59.87</v>
      </c>
      <c r="G1494" s="10">
        <f t="shared" si="140"/>
        <v>59.87</v>
      </c>
      <c r="H1494" s="7">
        <f t="shared" si="141"/>
        <v>7.2532588154659366E-6</v>
      </c>
      <c r="I1494" s="8">
        <f t="shared" si="143"/>
        <v>0.9997024370863602</v>
      </c>
      <c r="J1494" s="3" t="s">
        <v>525</v>
      </c>
    </row>
    <row r="1495" spans="1:10" x14ac:dyDescent="0.25">
      <c r="A1495" s="3" t="s">
        <v>1506</v>
      </c>
      <c r="B1495" s="3" t="str">
        <f t="shared" si="138"/>
        <v>8</v>
      </c>
      <c r="C1495" s="7">
        <f t="shared" si="139"/>
        <v>6.4432989690721648E-4</v>
      </c>
      <c r="D1495" s="8">
        <f t="shared" si="142"/>
        <v>0.96262886597937825</v>
      </c>
      <c r="E1495" s="4">
        <v>1</v>
      </c>
      <c r="F1495" s="5">
        <v>59.44</v>
      </c>
      <c r="G1495" s="10">
        <f t="shared" si="140"/>
        <v>59.44</v>
      </c>
      <c r="H1495" s="7">
        <f t="shared" si="141"/>
        <v>7.2011642557423628E-6</v>
      </c>
      <c r="I1495" s="8">
        <f t="shared" si="143"/>
        <v>0.99970963825061598</v>
      </c>
      <c r="J1495" s="3" t="s">
        <v>525</v>
      </c>
    </row>
    <row r="1496" spans="1:10" x14ac:dyDescent="0.25">
      <c r="A1496" s="3" t="s">
        <v>1507</v>
      </c>
      <c r="B1496" s="3" t="str">
        <f t="shared" si="138"/>
        <v>9</v>
      </c>
      <c r="C1496" s="7">
        <f t="shared" si="139"/>
        <v>6.4432989690721648E-4</v>
      </c>
      <c r="D1496" s="8">
        <f t="shared" si="142"/>
        <v>0.96327319587628546</v>
      </c>
      <c r="E1496" s="4">
        <v>1</v>
      </c>
      <c r="F1496" s="5">
        <v>58.04</v>
      </c>
      <c r="G1496" s="10">
        <f t="shared" si="140"/>
        <v>58.04</v>
      </c>
      <c r="H1496" s="7">
        <f t="shared" si="141"/>
        <v>7.0315540612935188E-6</v>
      </c>
      <c r="I1496" s="8">
        <f t="shared" si="143"/>
        <v>0.99971666980467733</v>
      </c>
      <c r="J1496" s="3" t="s">
        <v>525</v>
      </c>
    </row>
    <row r="1497" spans="1:10" x14ac:dyDescent="0.25">
      <c r="A1497" s="3" t="s">
        <v>1508</v>
      </c>
      <c r="B1497" s="3" t="str">
        <f t="shared" si="138"/>
        <v>8</v>
      </c>
      <c r="C1497" s="7">
        <f t="shared" si="139"/>
        <v>6.4432989690721648E-4</v>
      </c>
      <c r="D1497" s="8">
        <f t="shared" si="142"/>
        <v>0.96391752577319267</v>
      </c>
      <c r="E1497" s="4">
        <v>3</v>
      </c>
      <c r="F1497" s="5">
        <v>19.28</v>
      </c>
      <c r="G1497" s="10">
        <f t="shared" si="140"/>
        <v>57.84</v>
      </c>
      <c r="H1497" s="7">
        <f t="shared" si="141"/>
        <v>7.007324033515113E-6</v>
      </c>
      <c r="I1497" s="8">
        <f t="shared" si="143"/>
        <v>0.9997236771287108</v>
      </c>
      <c r="J1497" s="3" t="s">
        <v>525</v>
      </c>
    </row>
    <row r="1498" spans="1:10" x14ac:dyDescent="0.25">
      <c r="A1498" s="3" t="s">
        <v>1509</v>
      </c>
      <c r="B1498" s="3" t="str">
        <f t="shared" si="138"/>
        <v>8</v>
      </c>
      <c r="C1498" s="7">
        <f t="shared" si="139"/>
        <v>6.4432989690721648E-4</v>
      </c>
      <c r="D1498" s="8">
        <f t="shared" si="142"/>
        <v>0.96456185567009989</v>
      </c>
      <c r="E1498" s="4">
        <v>1</v>
      </c>
      <c r="F1498" s="5">
        <v>57.2</v>
      </c>
      <c r="G1498" s="10">
        <f t="shared" si="140"/>
        <v>57.2</v>
      </c>
      <c r="H1498" s="7">
        <f t="shared" si="141"/>
        <v>6.9297879446242121E-6</v>
      </c>
      <c r="I1498" s="8">
        <f t="shared" si="143"/>
        <v>0.99973060691665538</v>
      </c>
      <c r="J1498" s="3" t="s">
        <v>525</v>
      </c>
    </row>
    <row r="1499" spans="1:10" x14ac:dyDescent="0.25">
      <c r="A1499" s="3" t="s">
        <v>1510</v>
      </c>
      <c r="B1499" s="3" t="str">
        <f t="shared" si="138"/>
        <v>7</v>
      </c>
      <c r="C1499" s="7">
        <f t="shared" si="139"/>
        <v>6.4432989690721648E-4</v>
      </c>
      <c r="D1499" s="8">
        <f t="shared" si="142"/>
        <v>0.9652061855670071</v>
      </c>
      <c r="E1499" s="4">
        <v>1</v>
      </c>
      <c r="F1499" s="5">
        <v>56.35</v>
      </c>
      <c r="G1499" s="10">
        <f t="shared" si="140"/>
        <v>56.35</v>
      </c>
      <c r="H1499" s="7">
        <f t="shared" si="141"/>
        <v>6.8268103265659857E-6</v>
      </c>
      <c r="I1499" s="8">
        <f t="shared" si="143"/>
        <v>0.99973743372698198</v>
      </c>
      <c r="J1499" s="3" t="s">
        <v>525</v>
      </c>
    </row>
    <row r="1500" spans="1:10" x14ac:dyDescent="0.25">
      <c r="A1500" s="3" t="s">
        <v>1511</v>
      </c>
      <c r="B1500" s="3" t="str">
        <f t="shared" si="138"/>
        <v>8</v>
      </c>
      <c r="C1500" s="7">
        <f t="shared" si="139"/>
        <v>6.4432989690721648E-4</v>
      </c>
      <c r="D1500" s="8">
        <f t="shared" si="142"/>
        <v>0.96585051546391432</v>
      </c>
      <c r="E1500" s="4">
        <v>4</v>
      </c>
      <c r="F1500" s="5">
        <v>14.08</v>
      </c>
      <c r="G1500" s="10">
        <f t="shared" si="140"/>
        <v>56.32</v>
      </c>
      <c r="H1500" s="7">
        <f t="shared" si="141"/>
        <v>6.8231758223992243E-6</v>
      </c>
      <c r="I1500" s="8">
        <f t="shared" si="143"/>
        <v>0.99974425690280433</v>
      </c>
      <c r="J1500" s="3" t="s">
        <v>525</v>
      </c>
    </row>
    <row r="1501" spans="1:10" x14ac:dyDescent="0.25">
      <c r="A1501" s="3" t="s">
        <v>1512</v>
      </c>
      <c r="B1501" s="3" t="str">
        <f t="shared" si="138"/>
        <v>8</v>
      </c>
      <c r="C1501" s="7">
        <f t="shared" si="139"/>
        <v>6.4432989690721648E-4</v>
      </c>
      <c r="D1501" s="8">
        <f t="shared" si="142"/>
        <v>0.96649484536082153</v>
      </c>
      <c r="E1501" s="4">
        <v>1</v>
      </c>
      <c r="F1501" s="5">
        <v>55.78</v>
      </c>
      <c r="G1501" s="10">
        <f t="shared" si="140"/>
        <v>55.78</v>
      </c>
      <c r="H1501" s="7">
        <f t="shared" si="141"/>
        <v>6.7577547473975271E-6</v>
      </c>
      <c r="I1501" s="8">
        <f t="shared" si="143"/>
        <v>0.99975101465755167</v>
      </c>
      <c r="J1501" s="3" t="s">
        <v>525</v>
      </c>
    </row>
    <row r="1502" spans="1:10" x14ac:dyDescent="0.25">
      <c r="A1502" s="3" t="s">
        <v>1513</v>
      </c>
      <c r="B1502" s="3" t="str">
        <f t="shared" si="138"/>
        <v>9</v>
      </c>
      <c r="C1502" s="7">
        <f t="shared" si="139"/>
        <v>6.4432989690721648E-4</v>
      </c>
      <c r="D1502" s="8">
        <f t="shared" si="142"/>
        <v>0.96713917525772874</v>
      </c>
      <c r="E1502" s="4">
        <v>1</v>
      </c>
      <c r="F1502" s="5">
        <v>55.73</v>
      </c>
      <c r="G1502" s="10">
        <f t="shared" si="140"/>
        <v>55.73</v>
      </c>
      <c r="H1502" s="7">
        <f t="shared" si="141"/>
        <v>6.7516972404529249E-6</v>
      </c>
      <c r="I1502" s="8">
        <f t="shared" si="143"/>
        <v>0.99975776635479208</v>
      </c>
      <c r="J1502" s="3" t="s">
        <v>525</v>
      </c>
    </row>
    <row r="1503" spans="1:10" x14ac:dyDescent="0.25">
      <c r="A1503" s="3" t="s">
        <v>1514</v>
      </c>
      <c r="B1503" s="3" t="str">
        <f t="shared" si="138"/>
        <v>7</v>
      </c>
      <c r="C1503" s="7">
        <f t="shared" si="139"/>
        <v>6.4432989690721648E-4</v>
      </c>
      <c r="D1503" s="8">
        <f t="shared" si="142"/>
        <v>0.96778350515463596</v>
      </c>
      <c r="E1503" s="4">
        <v>1</v>
      </c>
      <c r="F1503" s="5">
        <v>55.46</v>
      </c>
      <c r="G1503" s="10">
        <f t="shared" si="140"/>
        <v>55.46</v>
      </c>
      <c r="H1503" s="7">
        <f t="shared" si="141"/>
        <v>6.7189867029520767E-6</v>
      </c>
      <c r="I1503" s="8">
        <f t="shared" si="143"/>
        <v>0.99976448534149498</v>
      </c>
      <c r="J1503" s="3" t="s">
        <v>525</v>
      </c>
    </row>
    <row r="1504" spans="1:10" x14ac:dyDescent="0.25">
      <c r="A1504" s="3" t="s">
        <v>1515</v>
      </c>
      <c r="B1504" s="3" t="str">
        <f t="shared" si="138"/>
        <v>5</v>
      </c>
      <c r="C1504" s="7">
        <f t="shared" si="139"/>
        <v>6.4432989690721648E-4</v>
      </c>
      <c r="D1504" s="8">
        <f t="shared" si="142"/>
        <v>0.96842783505154317</v>
      </c>
      <c r="E1504" s="4">
        <v>2</v>
      </c>
      <c r="F1504" s="5">
        <v>27.65</v>
      </c>
      <c r="G1504" s="10">
        <f t="shared" si="140"/>
        <v>55.3</v>
      </c>
      <c r="H1504" s="7">
        <f t="shared" si="141"/>
        <v>6.6996026807293519E-6</v>
      </c>
      <c r="I1504" s="8">
        <f t="shared" si="143"/>
        <v>0.99977118494417572</v>
      </c>
      <c r="J1504" s="3" t="s">
        <v>525</v>
      </c>
    </row>
    <row r="1505" spans="1:10" x14ac:dyDescent="0.25">
      <c r="A1505" s="3" t="s">
        <v>1516</v>
      </c>
      <c r="B1505" s="3" t="str">
        <f t="shared" si="138"/>
        <v>8</v>
      </c>
      <c r="C1505" s="7">
        <f t="shared" si="139"/>
        <v>6.4432989690721648E-4</v>
      </c>
      <c r="D1505" s="8">
        <f t="shared" si="142"/>
        <v>0.96907216494845039</v>
      </c>
      <c r="E1505" s="4">
        <v>1</v>
      </c>
      <c r="F1505" s="5">
        <v>55.04</v>
      </c>
      <c r="G1505" s="10">
        <f t="shared" si="140"/>
        <v>55.04</v>
      </c>
      <c r="H1505" s="7">
        <f t="shared" si="141"/>
        <v>6.6681036446174233E-6</v>
      </c>
      <c r="I1505" s="8">
        <f t="shared" si="143"/>
        <v>0.9997778530478203</v>
      </c>
      <c r="J1505" s="3" t="s">
        <v>525</v>
      </c>
    </row>
    <row r="1506" spans="1:10" x14ac:dyDescent="0.25">
      <c r="A1506" s="3" t="s">
        <v>1517</v>
      </c>
      <c r="B1506" s="3" t="str">
        <f t="shared" si="138"/>
        <v>8</v>
      </c>
      <c r="C1506" s="7">
        <f t="shared" si="139"/>
        <v>6.4432989690721648E-4</v>
      </c>
      <c r="D1506" s="8">
        <f t="shared" si="142"/>
        <v>0.9697164948453576</v>
      </c>
      <c r="E1506" s="4">
        <v>11</v>
      </c>
      <c r="F1506" s="5">
        <v>4.99</v>
      </c>
      <c r="G1506" s="10">
        <f t="shared" si="140"/>
        <v>54.89</v>
      </c>
      <c r="H1506" s="7">
        <f t="shared" si="141"/>
        <v>6.649931123783619E-6</v>
      </c>
      <c r="I1506" s="8">
        <f t="shared" si="143"/>
        <v>0.99978450297894406</v>
      </c>
      <c r="J1506" s="3" t="s">
        <v>525</v>
      </c>
    </row>
    <row r="1507" spans="1:10" x14ac:dyDescent="0.25">
      <c r="A1507" s="3" t="s">
        <v>1518</v>
      </c>
      <c r="B1507" s="3" t="str">
        <f t="shared" si="138"/>
        <v>8</v>
      </c>
      <c r="C1507" s="7">
        <f t="shared" si="139"/>
        <v>6.4432989690721648E-4</v>
      </c>
      <c r="D1507" s="8">
        <f t="shared" si="142"/>
        <v>0.97036082474226482</v>
      </c>
      <c r="E1507" s="4">
        <v>1</v>
      </c>
      <c r="F1507" s="5">
        <v>54.88</v>
      </c>
      <c r="G1507" s="10">
        <f t="shared" si="140"/>
        <v>54.88</v>
      </c>
      <c r="H1507" s="7">
        <f t="shared" si="141"/>
        <v>6.6487196223946985E-6</v>
      </c>
      <c r="I1507" s="8">
        <f t="shared" si="143"/>
        <v>0.99979115169856647</v>
      </c>
      <c r="J1507" s="3" t="s">
        <v>525</v>
      </c>
    </row>
    <row r="1508" spans="1:10" x14ac:dyDescent="0.25">
      <c r="A1508" s="3" t="s">
        <v>1519</v>
      </c>
      <c r="B1508" s="3" t="str">
        <f t="shared" si="138"/>
        <v>9</v>
      </c>
      <c r="C1508" s="7">
        <f t="shared" si="139"/>
        <v>6.4432989690721648E-4</v>
      </c>
      <c r="D1508" s="8">
        <f t="shared" si="142"/>
        <v>0.97100515463917203</v>
      </c>
      <c r="E1508" s="4">
        <v>1</v>
      </c>
      <c r="F1508" s="5">
        <v>54.56</v>
      </c>
      <c r="G1508" s="10">
        <f t="shared" si="140"/>
        <v>54.56</v>
      </c>
      <c r="H1508" s="7">
        <f t="shared" si="141"/>
        <v>6.6099515779492489E-6</v>
      </c>
      <c r="I1508" s="8">
        <f t="shared" si="143"/>
        <v>0.99979776165014445</v>
      </c>
      <c r="J1508" s="3" t="s">
        <v>525</v>
      </c>
    </row>
    <row r="1509" spans="1:10" x14ac:dyDescent="0.25">
      <c r="A1509" s="3" t="s">
        <v>1520</v>
      </c>
      <c r="B1509" s="3" t="str">
        <f t="shared" si="138"/>
        <v>8</v>
      </c>
      <c r="C1509" s="7">
        <f t="shared" si="139"/>
        <v>6.4432989690721648E-4</v>
      </c>
      <c r="D1509" s="8">
        <f t="shared" si="142"/>
        <v>0.97164948453607924</v>
      </c>
      <c r="E1509" s="4">
        <v>7</v>
      </c>
      <c r="F1509" s="5">
        <v>7.63</v>
      </c>
      <c r="G1509" s="10">
        <f t="shared" si="140"/>
        <v>53.41</v>
      </c>
      <c r="H1509" s="7">
        <f t="shared" si="141"/>
        <v>6.4706289182234113E-6</v>
      </c>
      <c r="I1509" s="8">
        <f t="shared" si="143"/>
        <v>0.99980423227906268</v>
      </c>
      <c r="J1509" s="3" t="s">
        <v>525</v>
      </c>
    </row>
    <row r="1510" spans="1:10" x14ac:dyDescent="0.25">
      <c r="A1510" s="3" t="s">
        <v>1521</v>
      </c>
      <c r="B1510" s="3" t="str">
        <f t="shared" si="138"/>
        <v>9</v>
      </c>
      <c r="C1510" s="7">
        <f t="shared" si="139"/>
        <v>6.4432989690721648E-4</v>
      </c>
      <c r="D1510" s="8">
        <f t="shared" si="142"/>
        <v>0.97229381443298646</v>
      </c>
      <c r="E1510" s="4">
        <v>1</v>
      </c>
      <c r="F1510" s="5">
        <v>52.32</v>
      </c>
      <c r="G1510" s="10">
        <f t="shared" si="140"/>
        <v>52.32</v>
      </c>
      <c r="H1510" s="7">
        <f t="shared" si="141"/>
        <v>6.3385752668310973E-6</v>
      </c>
      <c r="I1510" s="8">
        <f t="shared" si="143"/>
        <v>0.99981057085432956</v>
      </c>
      <c r="J1510" s="3" t="s">
        <v>525</v>
      </c>
    </row>
    <row r="1511" spans="1:10" x14ac:dyDescent="0.25">
      <c r="A1511" s="3" t="s">
        <v>1522</v>
      </c>
      <c r="B1511" s="3" t="str">
        <f t="shared" si="138"/>
        <v>2</v>
      </c>
      <c r="C1511" s="7">
        <f t="shared" si="139"/>
        <v>6.4432989690721648E-4</v>
      </c>
      <c r="D1511" s="8">
        <f t="shared" si="142"/>
        <v>0.97293814432989367</v>
      </c>
      <c r="E1511" s="4">
        <v>4</v>
      </c>
      <c r="F1511" s="5">
        <v>13.04</v>
      </c>
      <c r="G1511" s="10">
        <f t="shared" si="140"/>
        <v>52.16</v>
      </c>
      <c r="H1511" s="7">
        <f t="shared" si="141"/>
        <v>6.3191912446083717E-6</v>
      </c>
      <c r="I1511" s="8">
        <f t="shared" si="143"/>
        <v>0.99981689004557417</v>
      </c>
      <c r="J1511" s="3" t="s">
        <v>525</v>
      </c>
    </row>
    <row r="1512" spans="1:10" x14ac:dyDescent="0.25">
      <c r="A1512" s="3" t="s">
        <v>1523</v>
      </c>
      <c r="B1512" s="3" t="str">
        <f t="shared" si="138"/>
        <v>8</v>
      </c>
      <c r="C1512" s="7">
        <f t="shared" si="139"/>
        <v>6.4432989690721648E-4</v>
      </c>
      <c r="D1512" s="8">
        <f t="shared" si="142"/>
        <v>0.97358247422680089</v>
      </c>
      <c r="E1512" s="4">
        <v>2</v>
      </c>
      <c r="F1512" s="5">
        <v>25.59</v>
      </c>
      <c r="G1512" s="10">
        <f t="shared" si="140"/>
        <v>51.18</v>
      </c>
      <c r="H1512" s="7">
        <f t="shared" si="141"/>
        <v>6.200464108494181E-6</v>
      </c>
      <c r="I1512" s="8">
        <f t="shared" si="143"/>
        <v>0.99982309050968265</v>
      </c>
      <c r="J1512" s="3" t="s">
        <v>525</v>
      </c>
    </row>
    <row r="1513" spans="1:10" x14ac:dyDescent="0.25">
      <c r="A1513" s="3" t="s">
        <v>1524</v>
      </c>
      <c r="B1513" s="3" t="str">
        <f t="shared" si="138"/>
        <v>8</v>
      </c>
      <c r="C1513" s="7">
        <f t="shared" si="139"/>
        <v>6.4432989690721648E-4</v>
      </c>
      <c r="D1513" s="8">
        <f t="shared" si="142"/>
        <v>0.9742268041237081</v>
      </c>
      <c r="E1513" s="4">
        <v>1</v>
      </c>
      <c r="F1513" s="5">
        <v>50.8</v>
      </c>
      <c r="G1513" s="10">
        <f t="shared" si="140"/>
        <v>50.8</v>
      </c>
      <c r="H1513" s="7">
        <f t="shared" si="141"/>
        <v>6.1544270557152087E-6</v>
      </c>
      <c r="I1513" s="8">
        <f t="shared" si="143"/>
        <v>0.99982924493673841</v>
      </c>
      <c r="J1513" s="3" t="s">
        <v>525</v>
      </c>
    </row>
    <row r="1514" spans="1:10" x14ac:dyDescent="0.25">
      <c r="A1514" s="3" t="s">
        <v>1525</v>
      </c>
      <c r="B1514" s="3" t="str">
        <f t="shared" si="138"/>
        <v>8</v>
      </c>
      <c r="C1514" s="7">
        <f t="shared" si="139"/>
        <v>6.4432989690721648E-4</v>
      </c>
      <c r="D1514" s="8">
        <f t="shared" si="142"/>
        <v>0.97487113402061532</v>
      </c>
      <c r="E1514" s="4">
        <v>2</v>
      </c>
      <c r="F1514" s="5">
        <v>24.89</v>
      </c>
      <c r="G1514" s="10">
        <f t="shared" si="140"/>
        <v>49.78</v>
      </c>
      <c r="H1514" s="7">
        <f t="shared" si="141"/>
        <v>6.0308539140453371E-6</v>
      </c>
      <c r="I1514" s="8">
        <f t="shared" si="143"/>
        <v>0.99983527579065246</v>
      </c>
      <c r="J1514" s="3" t="s">
        <v>525</v>
      </c>
    </row>
    <row r="1515" spans="1:10" x14ac:dyDescent="0.25">
      <c r="A1515" s="3" t="s">
        <v>1526</v>
      </c>
      <c r="B1515" s="3" t="str">
        <f t="shared" si="138"/>
        <v>6</v>
      </c>
      <c r="C1515" s="7">
        <f t="shared" si="139"/>
        <v>6.4432989690721648E-4</v>
      </c>
      <c r="D1515" s="8">
        <f t="shared" si="142"/>
        <v>0.97551546391752253</v>
      </c>
      <c r="E1515" s="4">
        <v>1</v>
      </c>
      <c r="F1515" s="5">
        <v>48.77</v>
      </c>
      <c r="G1515" s="10">
        <f t="shared" si="140"/>
        <v>48.77</v>
      </c>
      <c r="H1515" s="7">
        <f t="shared" si="141"/>
        <v>5.9084922737643851E-6</v>
      </c>
      <c r="I1515" s="8">
        <f t="shared" si="143"/>
        <v>0.99984118428292623</v>
      </c>
      <c r="J1515" s="3" t="s">
        <v>525</v>
      </c>
    </row>
    <row r="1516" spans="1:10" x14ac:dyDescent="0.25">
      <c r="A1516" s="3" t="s">
        <v>1527</v>
      </c>
      <c r="B1516" s="3" t="str">
        <f t="shared" si="138"/>
        <v>2</v>
      </c>
      <c r="C1516" s="7">
        <f t="shared" si="139"/>
        <v>6.4432989690721648E-4</v>
      </c>
      <c r="D1516" s="8">
        <f t="shared" si="142"/>
        <v>0.97615979381442974</v>
      </c>
      <c r="E1516" s="4">
        <v>1</v>
      </c>
      <c r="F1516" s="5">
        <v>48.13</v>
      </c>
      <c r="G1516" s="10">
        <f t="shared" si="140"/>
        <v>48.13</v>
      </c>
      <c r="H1516" s="7">
        <f t="shared" si="141"/>
        <v>5.830956184873485E-6</v>
      </c>
      <c r="I1516" s="8">
        <f t="shared" si="143"/>
        <v>0.99984701523911113</v>
      </c>
      <c r="J1516" s="3" t="s">
        <v>525</v>
      </c>
    </row>
    <row r="1517" spans="1:10" x14ac:dyDescent="0.25">
      <c r="A1517" s="3" t="s">
        <v>1528</v>
      </c>
      <c r="B1517" s="3" t="str">
        <f t="shared" si="138"/>
        <v>5</v>
      </c>
      <c r="C1517" s="7">
        <f t="shared" si="139"/>
        <v>6.4432989690721648E-4</v>
      </c>
      <c r="D1517" s="8">
        <f t="shared" si="142"/>
        <v>0.97680412371133696</v>
      </c>
      <c r="E1517" s="4">
        <v>1</v>
      </c>
      <c r="F1517" s="5">
        <v>47.75</v>
      </c>
      <c r="G1517" s="10">
        <f t="shared" si="140"/>
        <v>47.75</v>
      </c>
      <c r="H1517" s="7">
        <f t="shared" si="141"/>
        <v>5.7849191320945126E-6</v>
      </c>
      <c r="I1517" s="8">
        <f t="shared" si="143"/>
        <v>0.99985280015824318</v>
      </c>
      <c r="J1517" s="3" t="s">
        <v>525</v>
      </c>
    </row>
    <row r="1518" spans="1:10" x14ac:dyDescent="0.25">
      <c r="A1518" s="3" t="s">
        <v>1529</v>
      </c>
      <c r="B1518" s="3" t="str">
        <f t="shared" si="138"/>
        <v>2</v>
      </c>
      <c r="C1518" s="7">
        <f t="shared" si="139"/>
        <v>6.4432989690721648E-4</v>
      </c>
      <c r="D1518" s="8">
        <f t="shared" si="142"/>
        <v>0.97744845360824417</v>
      </c>
      <c r="E1518" s="4">
        <v>2</v>
      </c>
      <c r="F1518" s="5">
        <v>23.39</v>
      </c>
      <c r="G1518" s="10">
        <f t="shared" si="140"/>
        <v>46.78</v>
      </c>
      <c r="H1518" s="7">
        <f t="shared" si="141"/>
        <v>5.6674034973692424E-6</v>
      </c>
      <c r="I1518" s="8">
        <f t="shared" si="143"/>
        <v>0.99985846756174057</v>
      </c>
      <c r="J1518" s="3" t="s">
        <v>525</v>
      </c>
    </row>
    <row r="1519" spans="1:10" x14ac:dyDescent="0.25">
      <c r="A1519" s="3" t="s">
        <v>1530</v>
      </c>
      <c r="B1519" s="3" t="str">
        <f t="shared" si="138"/>
        <v>8</v>
      </c>
      <c r="C1519" s="7">
        <f t="shared" si="139"/>
        <v>6.4432989690721648E-4</v>
      </c>
      <c r="D1519" s="8">
        <f t="shared" si="142"/>
        <v>0.97809278350515139</v>
      </c>
      <c r="E1519" s="4">
        <v>2</v>
      </c>
      <c r="F1519" s="5">
        <v>23.26</v>
      </c>
      <c r="G1519" s="10">
        <f t="shared" si="140"/>
        <v>46.52</v>
      </c>
      <c r="H1519" s="7">
        <f t="shared" si="141"/>
        <v>5.6359044612573139E-6</v>
      </c>
      <c r="I1519" s="8">
        <f t="shared" si="143"/>
        <v>0.9998641034662018</v>
      </c>
      <c r="J1519" s="3" t="s">
        <v>525</v>
      </c>
    </row>
    <row r="1520" spans="1:10" x14ac:dyDescent="0.25">
      <c r="A1520" s="3" t="s">
        <v>1531</v>
      </c>
      <c r="B1520" s="3" t="str">
        <f t="shared" si="138"/>
        <v>6</v>
      </c>
      <c r="C1520" s="7">
        <f t="shared" si="139"/>
        <v>6.4432989690721648E-4</v>
      </c>
      <c r="D1520" s="8">
        <f t="shared" si="142"/>
        <v>0.9787371134020586</v>
      </c>
      <c r="E1520" s="4">
        <v>1</v>
      </c>
      <c r="F1520" s="5">
        <v>46.48</v>
      </c>
      <c r="G1520" s="10">
        <f t="shared" si="140"/>
        <v>46.48</v>
      </c>
      <c r="H1520" s="7">
        <f t="shared" si="141"/>
        <v>5.631058455701632E-6</v>
      </c>
      <c r="I1520" s="8">
        <f t="shared" si="143"/>
        <v>0.99986973452465755</v>
      </c>
      <c r="J1520" s="3" t="s">
        <v>525</v>
      </c>
    </row>
    <row r="1521" spans="1:10" x14ac:dyDescent="0.25">
      <c r="A1521" s="3" t="s">
        <v>1532</v>
      </c>
      <c r="B1521" s="3" t="str">
        <f t="shared" si="138"/>
        <v>8</v>
      </c>
      <c r="C1521" s="7">
        <f t="shared" si="139"/>
        <v>6.4432989690721648E-4</v>
      </c>
      <c r="D1521" s="8">
        <f t="shared" si="142"/>
        <v>0.97938144329896581</v>
      </c>
      <c r="E1521" s="4">
        <v>2</v>
      </c>
      <c r="F1521" s="5">
        <v>23.22</v>
      </c>
      <c r="G1521" s="10">
        <f t="shared" si="140"/>
        <v>46.44</v>
      </c>
      <c r="H1521" s="7">
        <f t="shared" si="141"/>
        <v>5.6262124501459511E-6</v>
      </c>
      <c r="I1521" s="8">
        <f t="shared" si="143"/>
        <v>0.9998753607371077</v>
      </c>
      <c r="J1521" s="3" t="s">
        <v>525</v>
      </c>
    </row>
    <row r="1522" spans="1:10" x14ac:dyDescent="0.25">
      <c r="A1522" s="3" t="s">
        <v>1533</v>
      </c>
      <c r="B1522" s="3" t="str">
        <f t="shared" si="138"/>
        <v>4</v>
      </c>
      <c r="C1522" s="7">
        <f t="shared" si="139"/>
        <v>6.4432989690721648E-4</v>
      </c>
      <c r="D1522" s="8">
        <f t="shared" si="142"/>
        <v>0.98002577319587303</v>
      </c>
      <c r="E1522" s="4">
        <v>1</v>
      </c>
      <c r="F1522" s="5">
        <v>45.49</v>
      </c>
      <c r="G1522" s="10">
        <f t="shared" si="140"/>
        <v>45.49</v>
      </c>
      <c r="H1522" s="7">
        <f t="shared" si="141"/>
        <v>5.511119818198521E-6</v>
      </c>
      <c r="I1522" s="8">
        <f t="shared" si="143"/>
        <v>0.99988087185692587</v>
      </c>
      <c r="J1522" s="3" t="s">
        <v>525</v>
      </c>
    </row>
    <row r="1523" spans="1:10" x14ac:dyDescent="0.25">
      <c r="A1523" s="3" t="s">
        <v>1534</v>
      </c>
      <c r="B1523" s="3" t="str">
        <f t="shared" si="138"/>
        <v>7</v>
      </c>
      <c r="C1523" s="7">
        <f t="shared" si="139"/>
        <v>6.4432989690721648E-4</v>
      </c>
      <c r="D1523" s="8">
        <f t="shared" si="142"/>
        <v>0.98067010309278024</v>
      </c>
      <c r="E1523" s="4">
        <v>1</v>
      </c>
      <c r="F1523" s="5">
        <v>43.03</v>
      </c>
      <c r="G1523" s="10">
        <f t="shared" si="140"/>
        <v>43.03</v>
      </c>
      <c r="H1523" s="7">
        <f t="shared" si="141"/>
        <v>5.2130904765241235E-6</v>
      </c>
      <c r="I1523" s="8">
        <f t="shared" si="143"/>
        <v>0.99988608494740239</v>
      </c>
      <c r="J1523" s="3" t="s">
        <v>525</v>
      </c>
    </row>
    <row r="1524" spans="1:10" x14ac:dyDescent="0.25">
      <c r="A1524" s="3" t="s">
        <v>1535</v>
      </c>
      <c r="B1524" s="3" t="str">
        <f t="shared" si="138"/>
        <v>8</v>
      </c>
      <c r="C1524" s="7">
        <f t="shared" si="139"/>
        <v>6.4432989690721648E-4</v>
      </c>
      <c r="D1524" s="8">
        <f t="shared" si="142"/>
        <v>0.98131443298968746</v>
      </c>
      <c r="E1524" s="4">
        <v>1</v>
      </c>
      <c r="F1524" s="5">
        <v>42.37</v>
      </c>
      <c r="G1524" s="10">
        <f t="shared" si="140"/>
        <v>42.37</v>
      </c>
      <c r="H1524" s="7">
        <f t="shared" si="141"/>
        <v>5.1331313848553817E-6</v>
      </c>
      <c r="I1524" s="8">
        <f t="shared" si="143"/>
        <v>0.99989121807878723</v>
      </c>
      <c r="J1524" s="3" t="s">
        <v>525</v>
      </c>
    </row>
    <row r="1525" spans="1:10" x14ac:dyDescent="0.25">
      <c r="A1525" s="3" t="s">
        <v>1536</v>
      </c>
      <c r="B1525" s="3" t="str">
        <f t="shared" si="138"/>
        <v>7</v>
      </c>
      <c r="C1525" s="7">
        <f t="shared" si="139"/>
        <v>6.4432989690721648E-4</v>
      </c>
      <c r="D1525" s="8">
        <f t="shared" si="142"/>
        <v>0.98195876288659467</v>
      </c>
      <c r="E1525" s="4">
        <v>1</v>
      </c>
      <c r="F1525" s="5">
        <v>42.37</v>
      </c>
      <c r="G1525" s="10">
        <f t="shared" si="140"/>
        <v>42.37</v>
      </c>
      <c r="H1525" s="7">
        <f t="shared" si="141"/>
        <v>5.1331313848553817E-6</v>
      </c>
      <c r="I1525" s="8">
        <f t="shared" si="143"/>
        <v>0.99989635121017206</v>
      </c>
      <c r="J1525" s="3" t="s">
        <v>525</v>
      </c>
    </row>
    <row r="1526" spans="1:10" x14ac:dyDescent="0.25">
      <c r="A1526" s="3" t="s">
        <v>1537</v>
      </c>
      <c r="B1526" s="3" t="str">
        <f t="shared" si="138"/>
        <v>8</v>
      </c>
      <c r="C1526" s="7">
        <f t="shared" si="139"/>
        <v>6.4432989690721648E-4</v>
      </c>
      <c r="D1526" s="8">
        <f t="shared" si="142"/>
        <v>0.98260309278350189</v>
      </c>
      <c r="E1526" s="4">
        <v>1</v>
      </c>
      <c r="F1526" s="5">
        <v>42.32</v>
      </c>
      <c r="G1526" s="10">
        <f t="shared" si="140"/>
        <v>42.32</v>
      </c>
      <c r="H1526" s="7">
        <f t="shared" si="141"/>
        <v>5.1270738779107811E-6</v>
      </c>
      <c r="I1526" s="8">
        <f t="shared" si="143"/>
        <v>0.99990147828404996</v>
      </c>
      <c r="J1526" s="3" t="s">
        <v>525</v>
      </c>
    </row>
    <row r="1527" spans="1:10" x14ac:dyDescent="0.25">
      <c r="A1527" s="3" t="s">
        <v>1538</v>
      </c>
      <c r="B1527" s="3" t="str">
        <f t="shared" si="138"/>
        <v>8</v>
      </c>
      <c r="C1527" s="7">
        <f t="shared" si="139"/>
        <v>6.4432989690721648E-4</v>
      </c>
      <c r="D1527" s="8">
        <f t="shared" si="142"/>
        <v>0.9832474226804091</v>
      </c>
      <c r="E1527" s="4">
        <v>1</v>
      </c>
      <c r="F1527" s="5">
        <v>42.29</v>
      </c>
      <c r="G1527" s="10">
        <f t="shared" si="140"/>
        <v>42.29</v>
      </c>
      <c r="H1527" s="7">
        <f t="shared" si="141"/>
        <v>5.1234393737440197E-6</v>
      </c>
      <c r="I1527" s="8">
        <f t="shared" si="143"/>
        <v>0.99990660172342372</v>
      </c>
      <c r="J1527" s="3" t="s">
        <v>525</v>
      </c>
    </row>
    <row r="1528" spans="1:10" x14ac:dyDescent="0.25">
      <c r="A1528" s="3" t="s">
        <v>1539</v>
      </c>
      <c r="B1528" s="3" t="str">
        <f t="shared" si="138"/>
        <v>8</v>
      </c>
      <c r="C1528" s="7">
        <f t="shared" si="139"/>
        <v>6.4432989690721648E-4</v>
      </c>
      <c r="D1528" s="8">
        <f t="shared" si="142"/>
        <v>0.98389175257731631</v>
      </c>
      <c r="E1528" s="4">
        <v>1</v>
      </c>
      <c r="F1528" s="5">
        <v>41.98</v>
      </c>
      <c r="G1528" s="10">
        <f t="shared" si="140"/>
        <v>41.98</v>
      </c>
      <c r="H1528" s="7">
        <f t="shared" si="141"/>
        <v>5.0858828306874897E-6</v>
      </c>
      <c r="I1528" s="8">
        <f t="shared" si="143"/>
        <v>0.99991168760625437</v>
      </c>
      <c r="J1528" s="3" t="s">
        <v>525</v>
      </c>
    </row>
    <row r="1529" spans="1:10" x14ac:dyDescent="0.25">
      <c r="A1529" s="3" t="s">
        <v>1540</v>
      </c>
      <c r="B1529" s="3" t="str">
        <f t="shared" si="138"/>
        <v>9</v>
      </c>
      <c r="C1529" s="7">
        <f t="shared" si="139"/>
        <v>6.4432989690721648E-4</v>
      </c>
      <c r="D1529" s="8">
        <f t="shared" si="142"/>
        <v>0.98453608247422353</v>
      </c>
      <c r="E1529" s="4">
        <v>1</v>
      </c>
      <c r="F1529" s="5">
        <v>41.71</v>
      </c>
      <c r="G1529" s="10">
        <f t="shared" si="140"/>
        <v>41.71</v>
      </c>
      <c r="H1529" s="7">
        <f t="shared" si="141"/>
        <v>5.0531722931866415E-6</v>
      </c>
      <c r="I1529" s="8">
        <f t="shared" si="143"/>
        <v>0.99991674077854753</v>
      </c>
      <c r="J1529" s="3" t="s">
        <v>525</v>
      </c>
    </row>
    <row r="1530" spans="1:10" x14ac:dyDescent="0.25">
      <c r="A1530" s="3" t="s">
        <v>1541</v>
      </c>
      <c r="B1530" s="3" t="str">
        <f t="shared" si="138"/>
        <v>8</v>
      </c>
      <c r="C1530" s="7">
        <f t="shared" si="139"/>
        <v>6.4432989690721648E-4</v>
      </c>
      <c r="D1530" s="8">
        <f t="shared" si="142"/>
        <v>0.98518041237113074</v>
      </c>
      <c r="E1530" s="4">
        <v>1</v>
      </c>
      <c r="F1530" s="5">
        <v>41.63</v>
      </c>
      <c r="G1530" s="10">
        <f t="shared" si="140"/>
        <v>41.63</v>
      </c>
      <c r="H1530" s="7">
        <f t="shared" si="141"/>
        <v>5.0434802820752787E-6</v>
      </c>
      <c r="I1530" s="8">
        <f t="shared" si="143"/>
        <v>0.9999217842588296</v>
      </c>
      <c r="J1530" s="3" t="s">
        <v>525</v>
      </c>
    </row>
    <row r="1531" spans="1:10" x14ac:dyDescent="0.25">
      <c r="A1531" s="3" t="s">
        <v>1542</v>
      </c>
      <c r="B1531" s="3" t="str">
        <f t="shared" si="138"/>
        <v>8</v>
      </c>
      <c r="C1531" s="7">
        <f t="shared" si="139"/>
        <v>6.4432989690721648E-4</v>
      </c>
      <c r="D1531" s="8">
        <f t="shared" si="142"/>
        <v>0.98582474226803796</v>
      </c>
      <c r="E1531" s="4">
        <v>8</v>
      </c>
      <c r="F1531" s="5">
        <v>5.15</v>
      </c>
      <c r="G1531" s="10">
        <f t="shared" si="140"/>
        <v>41.2</v>
      </c>
      <c r="H1531" s="7">
        <f t="shared" si="141"/>
        <v>4.9913857223517057E-6</v>
      </c>
      <c r="I1531" s="8">
        <f t="shared" si="143"/>
        <v>0.9999267756445519</v>
      </c>
      <c r="J1531" s="3" t="s">
        <v>525</v>
      </c>
    </row>
    <row r="1532" spans="1:10" x14ac:dyDescent="0.25">
      <c r="A1532" s="3" t="s">
        <v>1543</v>
      </c>
      <c r="B1532" s="3" t="str">
        <f t="shared" si="138"/>
        <v>8</v>
      </c>
      <c r="C1532" s="7">
        <f t="shared" si="139"/>
        <v>6.4432989690721648E-4</v>
      </c>
      <c r="D1532" s="8">
        <f t="shared" si="142"/>
        <v>0.98646907216494517</v>
      </c>
      <c r="E1532" s="4">
        <v>5</v>
      </c>
      <c r="F1532" s="5">
        <v>8.0500000000000007</v>
      </c>
      <c r="G1532" s="10">
        <f t="shared" si="140"/>
        <v>40.25</v>
      </c>
      <c r="H1532" s="7">
        <f t="shared" si="141"/>
        <v>4.8762930904042748E-6</v>
      </c>
      <c r="I1532" s="8">
        <f t="shared" si="143"/>
        <v>0.99993165193764233</v>
      </c>
      <c r="J1532" s="3" t="s">
        <v>525</v>
      </c>
    </row>
    <row r="1533" spans="1:10" x14ac:dyDescent="0.25">
      <c r="A1533" s="3" t="s">
        <v>1544</v>
      </c>
      <c r="B1533" s="3" t="str">
        <f t="shared" si="138"/>
        <v>7</v>
      </c>
      <c r="C1533" s="7">
        <f t="shared" si="139"/>
        <v>6.4432989690721648E-4</v>
      </c>
      <c r="D1533" s="8">
        <f t="shared" si="142"/>
        <v>0.98711340206185239</v>
      </c>
      <c r="E1533" s="4">
        <v>1</v>
      </c>
      <c r="F1533" s="5">
        <v>39.79</v>
      </c>
      <c r="G1533" s="10">
        <f t="shared" si="140"/>
        <v>39.79</v>
      </c>
      <c r="H1533" s="7">
        <f t="shared" si="141"/>
        <v>4.8205640265139404E-6</v>
      </c>
      <c r="I1533" s="8">
        <f t="shared" si="143"/>
        <v>0.99993647250166884</v>
      </c>
      <c r="J1533" s="3" t="s">
        <v>525</v>
      </c>
    </row>
    <row r="1534" spans="1:10" x14ac:dyDescent="0.25">
      <c r="A1534" s="3" t="s">
        <v>1545</v>
      </c>
      <c r="B1534" s="3" t="str">
        <f t="shared" si="138"/>
        <v>8</v>
      </c>
      <c r="C1534" s="7">
        <f t="shared" si="139"/>
        <v>6.4432989690721648E-4</v>
      </c>
      <c r="D1534" s="8">
        <f t="shared" si="142"/>
        <v>0.9877577319587596</v>
      </c>
      <c r="E1534" s="4">
        <v>1</v>
      </c>
      <c r="F1534" s="5">
        <v>39.78</v>
      </c>
      <c r="G1534" s="10">
        <f t="shared" si="140"/>
        <v>39.78</v>
      </c>
      <c r="H1534" s="7">
        <f t="shared" si="141"/>
        <v>4.81935252512502E-6</v>
      </c>
      <c r="I1534" s="8">
        <f t="shared" si="143"/>
        <v>0.999941291854194</v>
      </c>
      <c r="J1534" s="3" t="s">
        <v>525</v>
      </c>
    </row>
    <row r="1535" spans="1:10" x14ac:dyDescent="0.25">
      <c r="A1535" s="3" t="s">
        <v>1546</v>
      </c>
      <c r="B1535" s="3" t="str">
        <f t="shared" si="138"/>
        <v>6</v>
      </c>
      <c r="C1535" s="7">
        <f t="shared" si="139"/>
        <v>6.4432989690721648E-4</v>
      </c>
      <c r="D1535" s="8">
        <f t="shared" si="142"/>
        <v>0.98840206185566681</v>
      </c>
      <c r="E1535" s="4">
        <v>1</v>
      </c>
      <c r="F1535" s="5">
        <v>39.65</v>
      </c>
      <c r="G1535" s="10">
        <f t="shared" si="140"/>
        <v>39.65</v>
      </c>
      <c r="H1535" s="7">
        <f t="shared" si="141"/>
        <v>4.8036030070690557E-6</v>
      </c>
      <c r="I1535" s="8">
        <f t="shared" si="143"/>
        <v>0.99994609545720103</v>
      </c>
      <c r="J1535" s="3" t="s">
        <v>525</v>
      </c>
    </row>
    <row r="1536" spans="1:10" x14ac:dyDescent="0.25">
      <c r="A1536" s="3" t="s">
        <v>1547</v>
      </c>
      <c r="B1536" s="3" t="str">
        <f t="shared" si="138"/>
        <v>6</v>
      </c>
      <c r="C1536" s="7">
        <f t="shared" si="139"/>
        <v>6.4432989690721648E-4</v>
      </c>
      <c r="D1536" s="8">
        <f t="shared" si="142"/>
        <v>0.98904639175257403</v>
      </c>
      <c r="E1536" s="4">
        <v>2</v>
      </c>
      <c r="F1536" s="5">
        <v>17.940000000000001</v>
      </c>
      <c r="G1536" s="10">
        <f t="shared" si="140"/>
        <v>35.880000000000003</v>
      </c>
      <c r="H1536" s="7">
        <f t="shared" si="141"/>
        <v>4.3468669834460967E-6</v>
      </c>
      <c r="I1536" s="8">
        <f t="shared" si="143"/>
        <v>0.99995044232418451</v>
      </c>
      <c r="J1536" s="3" t="s">
        <v>525</v>
      </c>
    </row>
    <row r="1537" spans="1:10" x14ac:dyDescent="0.25">
      <c r="A1537" s="3" t="s">
        <v>1548</v>
      </c>
      <c r="B1537" s="3" t="str">
        <f t="shared" si="138"/>
        <v>8</v>
      </c>
      <c r="C1537" s="7">
        <f t="shared" si="139"/>
        <v>6.4432989690721648E-4</v>
      </c>
      <c r="D1537" s="8">
        <f t="shared" si="142"/>
        <v>0.98969072164948124</v>
      </c>
      <c r="E1537" s="4">
        <v>1</v>
      </c>
      <c r="F1537" s="5">
        <v>33</v>
      </c>
      <c r="G1537" s="10">
        <f t="shared" si="140"/>
        <v>33</v>
      </c>
      <c r="H1537" s="7">
        <f t="shared" si="141"/>
        <v>3.9979545834370451E-6</v>
      </c>
      <c r="I1537" s="8">
        <f t="shared" si="143"/>
        <v>0.9999544402787679</v>
      </c>
      <c r="J1537" s="3" t="s">
        <v>525</v>
      </c>
    </row>
    <row r="1538" spans="1:10" x14ac:dyDescent="0.25">
      <c r="A1538" s="3" t="s">
        <v>1549</v>
      </c>
      <c r="B1538" s="3" t="str">
        <f t="shared" ref="B1538:B1553" si="144">RIGHT(A1538,1)</f>
        <v>8</v>
      </c>
      <c r="C1538" s="7">
        <f t="shared" ref="C1538:C1553" si="145">1/COUNTA(A$2:A$1553)</f>
        <v>6.4432989690721648E-4</v>
      </c>
      <c r="D1538" s="8">
        <f t="shared" si="142"/>
        <v>0.99033505154638846</v>
      </c>
      <c r="E1538" s="4">
        <v>1</v>
      </c>
      <c r="F1538" s="5">
        <v>32.26</v>
      </c>
      <c r="G1538" s="10">
        <f t="shared" ref="G1538:G1553" si="146">E1538*F1538</f>
        <v>32.26</v>
      </c>
      <c r="H1538" s="7">
        <f t="shared" ref="H1538:H1553" si="147">G1538/SUM(G$2:G$1553)</f>
        <v>3.9083034806569421E-6</v>
      </c>
      <c r="I1538" s="8">
        <f t="shared" si="143"/>
        <v>0.99995834858224852</v>
      </c>
      <c r="J1538" s="3" t="s">
        <v>525</v>
      </c>
    </row>
    <row r="1539" spans="1:10" x14ac:dyDescent="0.25">
      <c r="A1539" s="3" t="s">
        <v>1550</v>
      </c>
      <c r="B1539" s="3" t="str">
        <f t="shared" si="144"/>
        <v>5</v>
      </c>
      <c r="C1539" s="7">
        <f t="shared" si="145"/>
        <v>6.4432989690721648E-4</v>
      </c>
      <c r="D1539" s="8">
        <f t="shared" ref="D1539:D1553" si="148">D1538+C1539</f>
        <v>0.99097938144329567</v>
      </c>
      <c r="E1539" s="4">
        <v>5</v>
      </c>
      <c r="F1539" s="5">
        <v>6.32</v>
      </c>
      <c r="G1539" s="10">
        <f t="shared" si="146"/>
        <v>31.6</v>
      </c>
      <c r="H1539" s="7">
        <f t="shared" si="147"/>
        <v>3.8283443889882011E-6</v>
      </c>
      <c r="I1539" s="8">
        <f t="shared" ref="I1539:I1553" si="149">I1538+H1539</f>
        <v>0.99996217692663747</v>
      </c>
      <c r="J1539" s="3" t="s">
        <v>525</v>
      </c>
    </row>
    <row r="1540" spans="1:10" x14ac:dyDescent="0.25">
      <c r="A1540" s="3" t="s">
        <v>1551</v>
      </c>
      <c r="B1540" s="3" t="str">
        <f t="shared" si="144"/>
        <v>8</v>
      </c>
      <c r="C1540" s="7">
        <f t="shared" si="145"/>
        <v>6.4432989690721648E-4</v>
      </c>
      <c r="D1540" s="8">
        <f t="shared" si="148"/>
        <v>0.99162371134020288</v>
      </c>
      <c r="E1540" s="4">
        <v>1</v>
      </c>
      <c r="F1540" s="5">
        <v>31.11</v>
      </c>
      <c r="G1540" s="10">
        <f t="shared" si="146"/>
        <v>31.11</v>
      </c>
      <c r="H1540" s="7">
        <f t="shared" si="147"/>
        <v>3.7689808209311053E-6</v>
      </c>
      <c r="I1540" s="8">
        <f t="shared" si="149"/>
        <v>0.99996594590745835</v>
      </c>
      <c r="J1540" s="3" t="s">
        <v>525</v>
      </c>
    </row>
    <row r="1541" spans="1:10" x14ac:dyDescent="0.25">
      <c r="A1541" s="3" t="s">
        <v>1552</v>
      </c>
      <c r="B1541" s="3" t="str">
        <f t="shared" si="144"/>
        <v>4</v>
      </c>
      <c r="C1541" s="7">
        <f t="shared" si="145"/>
        <v>6.4432989690721648E-4</v>
      </c>
      <c r="D1541" s="8">
        <f t="shared" si="148"/>
        <v>0.9922680412371101</v>
      </c>
      <c r="E1541" s="4">
        <v>1</v>
      </c>
      <c r="F1541" s="5">
        <v>29.65</v>
      </c>
      <c r="G1541" s="10">
        <f t="shared" si="146"/>
        <v>29.65</v>
      </c>
      <c r="H1541" s="7">
        <f t="shared" si="147"/>
        <v>3.592101618148739E-6</v>
      </c>
      <c r="I1541" s="8">
        <f t="shared" si="149"/>
        <v>0.99996953800907651</v>
      </c>
      <c r="J1541" s="3" t="s">
        <v>525</v>
      </c>
    </row>
    <row r="1542" spans="1:10" x14ac:dyDescent="0.25">
      <c r="A1542" s="3" t="s">
        <v>1553</v>
      </c>
      <c r="B1542" s="3" t="str">
        <f t="shared" si="144"/>
        <v>8</v>
      </c>
      <c r="C1542" s="7">
        <f t="shared" si="145"/>
        <v>6.4432989690721648E-4</v>
      </c>
      <c r="D1542" s="8">
        <f t="shared" si="148"/>
        <v>0.99291237113401731</v>
      </c>
      <c r="E1542" s="4">
        <v>1</v>
      </c>
      <c r="F1542" s="5">
        <v>29.52</v>
      </c>
      <c r="G1542" s="10">
        <f t="shared" si="146"/>
        <v>29.52</v>
      </c>
      <c r="H1542" s="7">
        <f t="shared" si="147"/>
        <v>3.5763521000927752E-6</v>
      </c>
      <c r="I1542" s="8">
        <f t="shared" si="149"/>
        <v>0.99997311436117664</v>
      </c>
      <c r="J1542" s="3" t="s">
        <v>525</v>
      </c>
    </row>
    <row r="1543" spans="1:10" x14ac:dyDescent="0.25">
      <c r="A1543" s="3" t="s">
        <v>1554</v>
      </c>
      <c r="B1543" s="3" t="str">
        <f t="shared" si="144"/>
        <v>8</v>
      </c>
      <c r="C1543" s="7">
        <f t="shared" si="145"/>
        <v>6.4432989690721648E-4</v>
      </c>
      <c r="D1543" s="8">
        <f t="shared" si="148"/>
        <v>0.99355670103092453</v>
      </c>
      <c r="E1543" s="4">
        <v>1</v>
      </c>
      <c r="F1543" s="5">
        <v>29.33</v>
      </c>
      <c r="G1543" s="10">
        <f t="shared" si="146"/>
        <v>29.33</v>
      </c>
      <c r="H1543" s="7">
        <f t="shared" si="147"/>
        <v>3.553333573703289E-6</v>
      </c>
      <c r="I1543" s="8">
        <f t="shared" si="149"/>
        <v>0.99997666769475035</v>
      </c>
      <c r="J1543" s="3" t="s">
        <v>525</v>
      </c>
    </row>
    <row r="1544" spans="1:10" x14ac:dyDescent="0.25">
      <c r="A1544" s="3" t="s">
        <v>1555</v>
      </c>
      <c r="B1544" s="3" t="str">
        <f t="shared" si="144"/>
        <v>8</v>
      </c>
      <c r="C1544" s="7">
        <f t="shared" si="145"/>
        <v>6.4432989690721648E-4</v>
      </c>
      <c r="D1544" s="8">
        <f t="shared" si="148"/>
        <v>0.99420103092783174</v>
      </c>
      <c r="E1544" s="4">
        <v>1</v>
      </c>
      <c r="F1544" s="5">
        <v>28.47</v>
      </c>
      <c r="G1544" s="10">
        <f t="shared" si="146"/>
        <v>28.47</v>
      </c>
      <c r="H1544" s="7">
        <f t="shared" si="147"/>
        <v>3.4491444542561417E-6</v>
      </c>
      <c r="I1544" s="8">
        <f t="shared" si="149"/>
        <v>0.99998011683920462</v>
      </c>
      <c r="J1544" s="3" t="s">
        <v>525</v>
      </c>
    </row>
    <row r="1545" spans="1:10" x14ac:dyDescent="0.25">
      <c r="A1545" s="3" t="s">
        <v>1556</v>
      </c>
      <c r="B1545" s="3" t="str">
        <f t="shared" si="144"/>
        <v>8</v>
      </c>
      <c r="C1545" s="7">
        <f t="shared" si="145"/>
        <v>6.4432989690721648E-4</v>
      </c>
      <c r="D1545" s="8">
        <f t="shared" si="148"/>
        <v>0.99484536082473896</v>
      </c>
      <c r="E1545" s="4">
        <v>1</v>
      </c>
      <c r="F1545" s="5">
        <v>23.11</v>
      </c>
      <c r="G1545" s="10">
        <f t="shared" si="146"/>
        <v>23.11</v>
      </c>
      <c r="H1545" s="7">
        <f t="shared" si="147"/>
        <v>2.7997797097948522E-6</v>
      </c>
      <c r="I1545" s="8">
        <f t="shared" si="149"/>
        <v>0.99998291661891447</v>
      </c>
      <c r="J1545" s="3" t="s">
        <v>525</v>
      </c>
    </row>
    <row r="1546" spans="1:10" x14ac:dyDescent="0.25">
      <c r="A1546" s="3" t="s">
        <v>1557</v>
      </c>
      <c r="B1546" s="3" t="str">
        <f t="shared" si="144"/>
        <v>8</v>
      </c>
      <c r="C1546" s="7">
        <f t="shared" si="145"/>
        <v>6.4432989690721648E-4</v>
      </c>
      <c r="D1546" s="8">
        <f t="shared" si="148"/>
        <v>0.99548969072164617</v>
      </c>
      <c r="E1546" s="4">
        <v>1</v>
      </c>
      <c r="F1546" s="5">
        <v>22.77</v>
      </c>
      <c r="G1546" s="10">
        <f t="shared" si="146"/>
        <v>22.77</v>
      </c>
      <c r="H1546" s="7">
        <f t="shared" si="147"/>
        <v>2.7585886625715612E-6</v>
      </c>
      <c r="I1546" s="8">
        <f t="shared" si="149"/>
        <v>0.99998567520757708</v>
      </c>
      <c r="J1546" s="3" t="s">
        <v>525</v>
      </c>
    </row>
    <row r="1547" spans="1:10" x14ac:dyDescent="0.25">
      <c r="A1547" s="3" t="s">
        <v>1558</v>
      </c>
      <c r="B1547" s="3" t="str">
        <f t="shared" si="144"/>
        <v>8</v>
      </c>
      <c r="C1547" s="7">
        <f t="shared" si="145"/>
        <v>6.4432989690721648E-4</v>
      </c>
      <c r="D1547" s="8">
        <f t="shared" si="148"/>
        <v>0.99613402061855338</v>
      </c>
      <c r="E1547" s="4">
        <v>1</v>
      </c>
      <c r="F1547" s="5">
        <v>22.32</v>
      </c>
      <c r="G1547" s="10">
        <f t="shared" si="146"/>
        <v>22.32</v>
      </c>
      <c r="H1547" s="7">
        <f t="shared" si="147"/>
        <v>2.7040711000701473E-6</v>
      </c>
      <c r="I1547" s="8">
        <f t="shared" si="149"/>
        <v>0.99998837927867712</v>
      </c>
      <c r="J1547" s="3" t="s">
        <v>525</v>
      </c>
    </row>
    <row r="1548" spans="1:10" x14ac:dyDescent="0.25">
      <c r="A1548" s="3" t="s">
        <v>1559</v>
      </c>
      <c r="B1548" s="3" t="str">
        <f t="shared" si="144"/>
        <v>8</v>
      </c>
      <c r="C1548" s="7">
        <f t="shared" si="145"/>
        <v>6.4432989690721648E-4</v>
      </c>
      <c r="D1548" s="8">
        <f t="shared" si="148"/>
        <v>0.9967783505154606</v>
      </c>
      <c r="E1548" s="4">
        <v>1</v>
      </c>
      <c r="F1548" s="5">
        <v>19.8</v>
      </c>
      <c r="G1548" s="10">
        <f t="shared" si="146"/>
        <v>19.8</v>
      </c>
      <c r="H1548" s="7">
        <f t="shared" si="147"/>
        <v>2.3987727500622275E-6</v>
      </c>
      <c r="I1548" s="8">
        <f t="shared" si="149"/>
        <v>0.99999077805142722</v>
      </c>
      <c r="J1548" s="3" t="s">
        <v>525</v>
      </c>
    </row>
    <row r="1549" spans="1:10" x14ac:dyDescent="0.25">
      <c r="A1549" s="3" t="s">
        <v>1560</v>
      </c>
      <c r="B1549" s="3" t="str">
        <f t="shared" si="144"/>
        <v>8</v>
      </c>
      <c r="C1549" s="7">
        <f t="shared" si="145"/>
        <v>6.4432989690721648E-4</v>
      </c>
      <c r="D1549" s="8">
        <f t="shared" si="148"/>
        <v>0.99742268041236781</v>
      </c>
      <c r="E1549" s="4">
        <v>1</v>
      </c>
      <c r="F1549" s="5">
        <v>19.350000000000001</v>
      </c>
      <c r="G1549" s="10">
        <f t="shared" si="146"/>
        <v>19.350000000000001</v>
      </c>
      <c r="H1549" s="7">
        <f t="shared" si="147"/>
        <v>2.3442551875608132E-6</v>
      </c>
      <c r="I1549" s="8">
        <f t="shared" si="149"/>
        <v>0.99999312230661475</v>
      </c>
      <c r="J1549" s="3" t="s">
        <v>525</v>
      </c>
    </row>
    <row r="1550" spans="1:10" x14ac:dyDescent="0.25">
      <c r="A1550" s="3" t="s">
        <v>1561</v>
      </c>
      <c r="B1550" s="3" t="str">
        <f t="shared" si="144"/>
        <v>6</v>
      </c>
      <c r="C1550" s="7">
        <f t="shared" si="145"/>
        <v>6.4432989690721648E-4</v>
      </c>
      <c r="D1550" s="8">
        <f t="shared" si="148"/>
        <v>0.99806701030927503</v>
      </c>
      <c r="E1550" s="4">
        <v>1</v>
      </c>
      <c r="F1550" s="5">
        <v>17.239999999999998</v>
      </c>
      <c r="G1550" s="10">
        <f t="shared" si="146"/>
        <v>17.239999999999998</v>
      </c>
      <c r="H1550" s="7">
        <f t="shared" si="147"/>
        <v>2.0886283944986259E-6</v>
      </c>
      <c r="I1550" s="8">
        <f t="shared" si="149"/>
        <v>0.9999952109350092</v>
      </c>
      <c r="J1550" s="3" t="s">
        <v>525</v>
      </c>
    </row>
    <row r="1551" spans="1:10" x14ac:dyDescent="0.25">
      <c r="A1551" s="3" t="s">
        <v>1562</v>
      </c>
      <c r="B1551" s="3" t="str">
        <f t="shared" si="144"/>
        <v>2</v>
      </c>
      <c r="C1551" s="7">
        <f t="shared" si="145"/>
        <v>6.4432989690721648E-4</v>
      </c>
      <c r="D1551" s="8">
        <f t="shared" si="148"/>
        <v>0.99871134020618224</v>
      </c>
      <c r="E1551" s="4">
        <v>2</v>
      </c>
      <c r="F1551" s="5">
        <v>7.89</v>
      </c>
      <c r="G1551" s="10">
        <f t="shared" si="146"/>
        <v>15.78</v>
      </c>
      <c r="H1551" s="7">
        <f t="shared" si="147"/>
        <v>1.9117491917162596E-6</v>
      </c>
      <c r="I1551" s="8">
        <f t="shared" si="149"/>
        <v>0.99999712268420093</v>
      </c>
      <c r="J1551" s="3" t="s">
        <v>525</v>
      </c>
    </row>
    <row r="1552" spans="1:10" x14ac:dyDescent="0.25">
      <c r="A1552" s="3" t="s">
        <v>1563</v>
      </c>
      <c r="B1552" s="3" t="str">
        <f t="shared" si="144"/>
        <v>8</v>
      </c>
      <c r="C1552" s="7">
        <f t="shared" si="145"/>
        <v>6.4432989690721648E-4</v>
      </c>
      <c r="D1552" s="8">
        <f t="shared" si="148"/>
        <v>0.99935567010308946</v>
      </c>
      <c r="E1552" s="4">
        <v>1</v>
      </c>
      <c r="F1552" s="5">
        <v>15.55</v>
      </c>
      <c r="G1552" s="10">
        <f t="shared" si="146"/>
        <v>15.55</v>
      </c>
      <c r="H1552" s="7">
        <f t="shared" si="147"/>
        <v>1.8838846597710926E-6</v>
      </c>
      <c r="I1552" s="8">
        <f t="shared" si="149"/>
        <v>0.99999900656886076</v>
      </c>
      <c r="J1552" s="3" t="s">
        <v>525</v>
      </c>
    </row>
    <row r="1553" spans="1:10" x14ac:dyDescent="0.25">
      <c r="A1553" s="3" t="s">
        <v>1564</v>
      </c>
      <c r="B1553" s="3" t="str">
        <f t="shared" si="144"/>
        <v>4</v>
      </c>
      <c r="C1553" s="7">
        <f t="shared" si="145"/>
        <v>6.4432989690721648E-4</v>
      </c>
      <c r="D1553" s="9">
        <f t="shared" si="148"/>
        <v>0.99999999999999667</v>
      </c>
      <c r="E1553" s="4">
        <v>2</v>
      </c>
      <c r="F1553" s="5">
        <v>4.0999999999999996</v>
      </c>
      <c r="G1553" s="10">
        <f t="shared" si="146"/>
        <v>8.1999999999999993</v>
      </c>
      <c r="H1553" s="7">
        <f t="shared" si="147"/>
        <v>9.934311389146596E-7</v>
      </c>
      <c r="I1553" s="9">
        <f t="shared" si="149"/>
        <v>0.99999999999999967</v>
      </c>
      <c r="J1553" s="3" t="s">
        <v>525</v>
      </c>
    </row>
  </sheetData>
  <sortState xmlns:xlrd2="http://schemas.microsoft.com/office/spreadsheetml/2017/richdata2" ref="A2:J1553">
    <sortCondition descending="1" ref="G1:G1553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87E0-A3C8-42E3-BC98-331442F1A308}">
  <dimension ref="A3:E36"/>
  <sheetViews>
    <sheetView workbookViewId="0">
      <selection activeCell="I13" sqref="I13"/>
    </sheetView>
  </sheetViews>
  <sheetFormatPr baseColWidth="10" defaultColWidth="11.42578125" defaultRowHeight="15" x14ac:dyDescent="0.25"/>
  <cols>
    <col min="1" max="1" width="30.140625" bestFit="1" customWidth="1"/>
    <col min="2" max="2" width="23.85546875" bestFit="1" customWidth="1"/>
    <col min="3" max="3" width="14" customWidth="1"/>
    <col min="4" max="4" width="21.140625" customWidth="1"/>
    <col min="5" max="5" width="12.5703125" bestFit="1" customWidth="1"/>
    <col min="6" max="96" width="8.5703125" bestFit="1" customWidth="1"/>
    <col min="97" max="743" width="9.5703125" bestFit="1" customWidth="1"/>
    <col min="744" max="1279" width="11" bestFit="1" customWidth="1"/>
    <col min="1280" max="1546" width="12" bestFit="1" customWidth="1"/>
    <col min="1547" max="1550" width="13" bestFit="1" customWidth="1"/>
    <col min="1551" max="1551" width="13.42578125" bestFit="1" customWidth="1"/>
  </cols>
  <sheetData>
    <row r="3" spans="1:5" x14ac:dyDescent="0.25">
      <c r="A3" s="20" t="s">
        <v>1565</v>
      </c>
      <c r="B3" s="20" t="s">
        <v>1566</v>
      </c>
    </row>
    <row r="4" spans="1:5" x14ac:dyDescent="0.25">
      <c r="A4" s="20" t="s">
        <v>1567</v>
      </c>
      <c r="B4" t="s">
        <v>11</v>
      </c>
      <c r="C4" t="s">
        <v>208</v>
      </c>
      <c r="D4" t="s">
        <v>525</v>
      </c>
      <c r="E4" t="s">
        <v>1568</v>
      </c>
    </row>
    <row r="5" spans="1:5" x14ac:dyDescent="0.25">
      <c r="A5" s="21" t="s">
        <v>1569</v>
      </c>
      <c r="B5">
        <v>39</v>
      </c>
      <c r="C5">
        <v>67</v>
      </c>
      <c r="D5">
        <v>157</v>
      </c>
      <c r="E5">
        <v>263</v>
      </c>
    </row>
    <row r="6" spans="1:5" x14ac:dyDescent="0.25">
      <c r="A6" s="21" t="s">
        <v>1570</v>
      </c>
      <c r="B6">
        <v>7</v>
      </c>
      <c r="C6">
        <v>17</v>
      </c>
      <c r="D6">
        <v>49</v>
      </c>
      <c r="E6">
        <v>73</v>
      </c>
    </row>
    <row r="7" spans="1:5" x14ac:dyDescent="0.25">
      <c r="A7" s="21" t="s">
        <v>1571</v>
      </c>
      <c r="B7">
        <v>20</v>
      </c>
      <c r="C7">
        <v>43</v>
      </c>
      <c r="D7">
        <v>102</v>
      </c>
      <c r="E7">
        <v>165</v>
      </c>
    </row>
    <row r="8" spans="1:5" x14ac:dyDescent="0.25">
      <c r="A8" s="21" t="s">
        <v>1572</v>
      </c>
      <c r="B8">
        <v>21</v>
      </c>
      <c r="C8">
        <v>34</v>
      </c>
      <c r="D8">
        <v>126</v>
      </c>
      <c r="E8">
        <v>181</v>
      </c>
    </row>
    <row r="9" spans="1:5" x14ac:dyDescent="0.25">
      <c r="A9" s="21" t="s">
        <v>1573</v>
      </c>
      <c r="B9">
        <v>7</v>
      </c>
      <c r="C9">
        <v>22</v>
      </c>
      <c r="D9">
        <v>70</v>
      </c>
      <c r="E9">
        <v>99</v>
      </c>
    </row>
    <row r="10" spans="1:5" x14ac:dyDescent="0.25">
      <c r="A10" s="21" t="s">
        <v>1574</v>
      </c>
      <c r="B10">
        <v>11</v>
      </c>
      <c r="C10">
        <v>15</v>
      </c>
      <c r="D10">
        <v>79</v>
      </c>
      <c r="E10">
        <v>105</v>
      </c>
    </row>
    <row r="11" spans="1:5" x14ac:dyDescent="0.25">
      <c r="A11" s="21" t="s">
        <v>1575</v>
      </c>
      <c r="B11">
        <v>14</v>
      </c>
      <c r="C11">
        <v>26</v>
      </c>
      <c r="D11">
        <v>89</v>
      </c>
      <c r="E11">
        <v>129</v>
      </c>
    </row>
    <row r="12" spans="1:5" x14ac:dyDescent="0.25">
      <c r="A12" s="21" t="s">
        <v>1576</v>
      </c>
      <c r="B12">
        <v>39</v>
      </c>
      <c r="C12">
        <v>51</v>
      </c>
      <c r="D12">
        <v>219</v>
      </c>
      <c r="E12">
        <v>309</v>
      </c>
    </row>
    <row r="13" spans="1:5" x14ac:dyDescent="0.25">
      <c r="A13" s="21" t="s">
        <v>1577</v>
      </c>
      <c r="B13">
        <v>38</v>
      </c>
      <c r="C13">
        <v>41</v>
      </c>
      <c r="D13">
        <v>149</v>
      </c>
      <c r="E13">
        <v>228</v>
      </c>
    </row>
    <row r="14" spans="1:5" x14ac:dyDescent="0.25">
      <c r="A14" s="21" t="s">
        <v>1568</v>
      </c>
      <c r="B14">
        <v>196</v>
      </c>
      <c r="C14">
        <v>316</v>
      </c>
      <c r="D14">
        <v>1040</v>
      </c>
      <c r="E14">
        <v>1552</v>
      </c>
    </row>
    <row r="15" spans="1:5" x14ac:dyDescent="0.25">
      <c r="B15" s="11">
        <f>GETPIVOTDATA("Ventes annuelles ($)",$A$3,"Classe","A")/GETPIVOTDATA("Ventes annuelles ($)",$A$3)</f>
        <v>0.12628865979381443</v>
      </c>
      <c r="C15" s="11">
        <f>GETPIVOTDATA("Ventes annuelles ($)",$A$3,"Classe","B")/GETPIVOTDATA("Ventes annuelles ($)",$A$3)</f>
        <v>0.20360824742268041</v>
      </c>
      <c r="D15" s="11">
        <f>GETPIVOTDATA("Ventes annuelles ($)",$A$3,"Classe","C")/GETPIVOTDATA("Ventes annuelles ($)",$A$3)</f>
        <v>0.67010309278350511</v>
      </c>
    </row>
    <row r="35" spans="1:1" ht="18.75" x14ac:dyDescent="0.3">
      <c r="A35" s="22" t="s">
        <v>1578</v>
      </c>
    </row>
    <row r="36" spans="1:1" ht="18.75" x14ac:dyDescent="0.3">
      <c r="A36" s="22" t="s">
        <v>1579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6398-6B3A-468E-97B2-8C3490B33D93}">
  <dimension ref="A3:E36"/>
  <sheetViews>
    <sheetView tabSelected="1" topLeftCell="A7" workbookViewId="0">
      <selection activeCell="D36" sqref="D36"/>
    </sheetView>
  </sheetViews>
  <sheetFormatPr baseColWidth="10" defaultColWidth="11.42578125" defaultRowHeight="15" x14ac:dyDescent="0.25"/>
  <cols>
    <col min="1" max="1" width="29.5703125" bestFit="1" customWidth="1"/>
    <col min="2" max="2" width="23.85546875" bestFit="1" customWidth="1"/>
    <col min="3" max="3" width="18" customWidth="1"/>
    <col min="4" max="4" width="17.28515625" customWidth="1"/>
    <col min="5" max="5" width="19.7109375" customWidth="1"/>
    <col min="6" max="96" width="8.5703125" bestFit="1" customWidth="1"/>
    <col min="97" max="743" width="9.5703125" bestFit="1" customWidth="1"/>
    <col min="744" max="1279" width="11" bestFit="1" customWidth="1"/>
    <col min="1280" max="1546" width="12" bestFit="1" customWidth="1"/>
    <col min="1547" max="1550" width="13" bestFit="1" customWidth="1"/>
    <col min="1551" max="1551" width="13.42578125" bestFit="1" customWidth="1"/>
  </cols>
  <sheetData>
    <row r="3" spans="1:5" x14ac:dyDescent="0.25">
      <c r="A3" s="20" t="s">
        <v>1580</v>
      </c>
      <c r="B3" s="20" t="s">
        <v>1566</v>
      </c>
    </row>
    <row r="4" spans="1:5" x14ac:dyDescent="0.25">
      <c r="A4" s="20" t="s">
        <v>1567</v>
      </c>
      <c r="B4" t="s">
        <v>11</v>
      </c>
      <c r="C4" t="s">
        <v>208</v>
      </c>
      <c r="D4" t="s">
        <v>525</v>
      </c>
      <c r="E4" t="s">
        <v>1568</v>
      </c>
    </row>
    <row r="5" spans="1:5" x14ac:dyDescent="0.25">
      <c r="A5" s="21" t="s">
        <v>1569</v>
      </c>
      <c r="B5" s="10">
        <v>1204907.8799999999</v>
      </c>
      <c r="C5" s="10">
        <v>499260.49</v>
      </c>
      <c r="D5" s="10">
        <v>173509.03000000003</v>
      </c>
      <c r="E5" s="10">
        <v>1877677.4</v>
      </c>
    </row>
    <row r="6" spans="1:5" x14ac:dyDescent="0.25">
      <c r="A6" s="21" t="s">
        <v>1570</v>
      </c>
      <c r="B6" s="10">
        <v>177995.09</v>
      </c>
      <c r="C6" s="10">
        <v>102855.68999999999</v>
      </c>
      <c r="D6" s="10">
        <v>36461.740000000005</v>
      </c>
      <c r="E6" s="10">
        <v>317312.51999999996</v>
      </c>
    </row>
    <row r="7" spans="1:5" x14ac:dyDescent="0.25">
      <c r="A7" s="21" t="s">
        <v>1571</v>
      </c>
      <c r="B7" s="10">
        <v>601744.78000000014</v>
      </c>
      <c r="C7" s="10">
        <v>291338.28999999986</v>
      </c>
      <c r="D7" s="10">
        <v>95509.629999999976</v>
      </c>
      <c r="E7" s="10">
        <v>988592.70000000007</v>
      </c>
    </row>
    <row r="8" spans="1:5" x14ac:dyDescent="0.25">
      <c r="A8" s="21" t="s">
        <v>1572</v>
      </c>
      <c r="B8" s="10">
        <v>599787.77</v>
      </c>
      <c r="C8" s="10">
        <v>219437.83</v>
      </c>
      <c r="D8" s="10">
        <v>108251.29000000007</v>
      </c>
      <c r="E8" s="10">
        <v>927476.89</v>
      </c>
    </row>
    <row r="9" spans="1:5" x14ac:dyDescent="0.25">
      <c r="A9" s="21" t="s">
        <v>1573</v>
      </c>
      <c r="B9" s="10">
        <v>165736.46000000002</v>
      </c>
      <c r="C9" s="10">
        <v>104010.10999999997</v>
      </c>
      <c r="D9" s="10">
        <v>41558.94</v>
      </c>
      <c r="E9" s="10">
        <v>311305.51</v>
      </c>
    </row>
    <row r="10" spans="1:5" x14ac:dyDescent="0.25">
      <c r="A10" s="21" t="s">
        <v>1574</v>
      </c>
      <c r="B10" s="10">
        <v>260545.72999999995</v>
      </c>
      <c r="C10" s="10">
        <v>85805.74000000002</v>
      </c>
      <c r="D10" s="10">
        <v>48190.899999999972</v>
      </c>
      <c r="E10" s="10">
        <v>394542.36999999994</v>
      </c>
    </row>
    <row r="11" spans="1:5" x14ac:dyDescent="0.25">
      <c r="A11" s="21" t="s">
        <v>1575</v>
      </c>
      <c r="B11" s="10">
        <v>430718.6</v>
      </c>
      <c r="C11" s="10">
        <v>139164.56000000003</v>
      </c>
      <c r="D11" s="10">
        <v>49580.179999999971</v>
      </c>
      <c r="E11" s="10">
        <v>619463.34</v>
      </c>
    </row>
    <row r="12" spans="1:5" x14ac:dyDescent="0.25">
      <c r="A12" s="21" t="s">
        <v>1576</v>
      </c>
      <c r="B12" s="10">
        <v>919080.88000000024</v>
      </c>
      <c r="C12" s="10">
        <v>343891.54999999993</v>
      </c>
      <c r="D12" s="10">
        <v>153525.45000000004</v>
      </c>
      <c r="E12" s="10">
        <v>1416497.8800000001</v>
      </c>
    </row>
    <row r="13" spans="1:5" x14ac:dyDescent="0.25">
      <c r="A13" s="21" t="s">
        <v>1577</v>
      </c>
      <c r="B13" s="10">
        <v>967705.18000000028</v>
      </c>
      <c r="C13" s="10">
        <v>313284.19999999995</v>
      </c>
      <c r="D13" s="10">
        <v>120362.8400000001</v>
      </c>
      <c r="E13" s="10">
        <v>1401352.2200000004</v>
      </c>
    </row>
    <row r="14" spans="1:5" x14ac:dyDescent="0.25">
      <c r="A14" s="21" t="s">
        <v>1568</v>
      </c>
      <c r="B14" s="10">
        <v>5328222.370000001</v>
      </c>
      <c r="C14" s="10">
        <v>2099048.46</v>
      </c>
      <c r="D14" s="10">
        <v>826950.00000000012</v>
      </c>
      <c r="E14" s="10">
        <v>8254220.830000001</v>
      </c>
    </row>
    <row r="15" spans="1:5" x14ac:dyDescent="0.25">
      <c r="B15" s="11">
        <f>GETPIVOTDATA("Ventes annuelles ($)",$A$3,"Classe","A")/GETPIVOTDATA("Ventes annuelles ($)",$A$3)</f>
        <v>0.64551488017312963</v>
      </c>
      <c r="C15" s="11">
        <f>GETPIVOTDATA("Ventes annuelles ($)",$A$3,"Classe","B")/GETPIVOTDATA("Ventes annuelles ($)",$A$3)</f>
        <v>0.25430001247010492</v>
      </c>
      <c r="D15" s="11">
        <f>GETPIVOTDATA("Ventes annuelles ($)",$A$3,"Classe","C")/GETPIVOTDATA("Ventes annuelles ($)",$A$3)</f>
        <v>0.1001851073567655</v>
      </c>
    </row>
    <row r="35" spans="1:1" ht="18.75" x14ac:dyDescent="0.3">
      <c r="A35" s="22" t="s">
        <v>1578</v>
      </c>
    </row>
    <row r="36" spans="1:1" ht="18.75" x14ac:dyDescent="0.3">
      <c r="A36" s="22" t="s">
        <v>1579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1406-E95F-464B-AF16-D6B7F05AAD6B}">
  <dimension ref="A1:C19"/>
  <sheetViews>
    <sheetView workbookViewId="0">
      <selection activeCell="E25" sqref="E25"/>
    </sheetView>
  </sheetViews>
  <sheetFormatPr baseColWidth="10" defaultColWidth="11.42578125" defaultRowHeight="15" x14ac:dyDescent="0.25"/>
  <sheetData>
    <row r="1" spans="1:2" x14ac:dyDescent="0.25">
      <c r="A1" t="s">
        <v>1581</v>
      </c>
    </row>
    <row r="3" spans="1:2" x14ac:dyDescent="0.25">
      <c r="A3">
        <f>SQRT(2*Ventes!E20*52/(10%*Ventes!F20))</f>
        <v>159.51703758278555</v>
      </c>
      <c r="B3" t="s">
        <v>1582</v>
      </c>
    </row>
    <row r="4" spans="1:2" x14ac:dyDescent="0.25">
      <c r="A4">
        <f>ROUND(A3,0)</f>
        <v>160</v>
      </c>
      <c r="B4" t="s">
        <v>1582</v>
      </c>
    </row>
    <row r="6" spans="1:2" x14ac:dyDescent="0.25">
      <c r="A6" t="s">
        <v>1583</v>
      </c>
    </row>
    <row r="8" spans="1:2" x14ac:dyDescent="0.25">
      <c r="A8">
        <f>A4/2+ROUND(Ventes!E20/260*6,0)</f>
        <v>102</v>
      </c>
      <c r="B8" t="s">
        <v>1582</v>
      </c>
    </row>
    <row r="11" spans="1:2" x14ac:dyDescent="0.25">
      <c r="A11" t="s">
        <v>1584</v>
      </c>
    </row>
    <row r="13" spans="1:2" x14ac:dyDescent="0.25">
      <c r="A13">
        <f>Ventes!E20/'Question 2'!A4</f>
        <v>6.0250000000000004</v>
      </c>
      <c r="B13" t="s">
        <v>1585</v>
      </c>
    </row>
    <row r="15" spans="1:2" x14ac:dyDescent="0.25">
      <c r="A15" t="s">
        <v>1586</v>
      </c>
    </row>
    <row r="17" spans="1:3" x14ac:dyDescent="0.25">
      <c r="A17" t="s">
        <v>1587</v>
      </c>
      <c r="B17" t="s">
        <v>1588</v>
      </c>
      <c r="C17" t="s">
        <v>1589</v>
      </c>
    </row>
    <row r="18" spans="1:3" x14ac:dyDescent="0.25">
      <c r="A18" t="s">
        <v>1587</v>
      </c>
      <c r="B18" s="10">
        <f>A8*10%*Ventes!F20</f>
        <v>401.88000000000005</v>
      </c>
      <c r="C18" s="10">
        <f>A13*52</f>
        <v>313.3</v>
      </c>
    </row>
    <row r="19" spans="1:3" x14ac:dyDescent="0.25">
      <c r="A19" t="s">
        <v>1587</v>
      </c>
      <c r="B19" s="10">
        <f>B18+C18</f>
        <v>715.18000000000006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1FFFB-0A2E-4AD6-9F32-A510C51C93AC}">
  <ds:schemaRefs>
    <ds:schemaRef ds:uri="http://schemas.microsoft.com/office/infopath/2007/PartnerControls"/>
    <ds:schemaRef ds:uri="abcda3d6-2d03-49e1-9293-8daf0cc773fd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126559-FAFC-4C2A-8186-67779FC1D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da3d6-2d03-49e1-9293-8daf0cc77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76A73C-2AB4-4642-9F5C-31FA3AA87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Nb. Articles</vt:lpstr>
      <vt:lpstr>Valeur</vt:lpstr>
      <vt:lpstr>Question 2</vt:lpstr>
    </vt:vector>
  </TitlesOfParts>
  <Manager/>
  <Company>HEC Montréal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</dc:creator>
  <cp:keywords/>
  <dc:description/>
  <cp:lastModifiedBy>Véronique Poirier</cp:lastModifiedBy>
  <cp:revision/>
  <dcterms:created xsi:type="dcterms:W3CDTF">2014-01-16T17:54:03Z</dcterms:created>
  <dcterms:modified xsi:type="dcterms:W3CDTF">2026-09-09T22:06:47Z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