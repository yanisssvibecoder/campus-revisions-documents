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C:\Users\00012161\Documents\2-500\Exercices IAG\06 - Plan directeur\Inspiration A2024 pour A2026\"/>
    </mc:Choice>
  </mc:AlternateContent>
  <xr:revisionPtr revIDLastSave="0" documentId="13_ncr:1_{662C7B6E-3E28-4D91-A290-742EEB89F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s préliminaires" sheetId="11" r:id="rId1"/>
    <sheet name="Plans finaux" sheetId="14" r:id="rId2"/>
    <sheet name="Questions 2 et 3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1" l="1"/>
  <c r="J51" i="11"/>
  <c r="I51" i="11"/>
  <c r="G51" i="11"/>
  <c r="F51" i="11"/>
  <c r="E51" i="11"/>
  <c r="D51" i="11"/>
  <c r="C51" i="11"/>
  <c r="B34" i="14" l="1"/>
  <c r="B43" i="14" l="1"/>
  <c r="B42" i="14"/>
  <c r="J44" i="14"/>
  <c r="B41" i="14"/>
  <c r="B33" i="14"/>
  <c r="B32" i="14"/>
  <c r="B21" i="14"/>
  <c r="B20" i="14"/>
  <c r="B9" i="14"/>
  <c r="B8" i="14"/>
  <c r="B22" i="14" l="1"/>
  <c r="B10" i="14"/>
  <c r="D44" i="14"/>
  <c r="E44" i="14"/>
  <c r="F44" i="14"/>
  <c r="G44" i="14"/>
  <c r="H44" i="14"/>
  <c r="I44" i="14"/>
  <c r="C44" i="14"/>
  <c r="B31" i="11"/>
  <c r="B30" i="11"/>
  <c r="B20" i="11"/>
  <c r="B19" i="11"/>
  <c r="B9" i="11"/>
  <c r="B8" i="11"/>
  <c r="B40" i="11"/>
  <c r="B50" i="11" s="1"/>
  <c r="B39" i="11"/>
  <c r="B49" i="11" s="1"/>
  <c r="B38" i="11"/>
  <c r="B48" i="11" s="1"/>
  <c r="J41" i="11" l="1"/>
  <c r="H41" i="11"/>
  <c r="G41" i="11"/>
  <c r="D41" i="11"/>
  <c r="I41" i="11"/>
  <c r="C41" i="11"/>
  <c r="F41" i="11"/>
  <c r="E41" i="11"/>
</calcChain>
</file>

<file path=xl/sharedStrings.xml><?xml version="1.0" encoding="utf-8"?>
<sst xmlns="http://schemas.openxmlformats.org/spreadsheetml/2006/main" count="112" uniqueCount="38">
  <si>
    <t xml:space="preserve">PLANS PRÉLIMINAIRES </t>
  </si>
  <si>
    <t>Nom du produit</t>
  </si>
  <si>
    <t>Stock au départ</t>
  </si>
  <si>
    <t>Taille de lot</t>
  </si>
  <si>
    <t>UÉ</t>
  </si>
  <si>
    <t>Délai</t>
  </si>
  <si>
    <t>Gourde de 16 oz</t>
  </si>
  <si>
    <t>X 150</t>
  </si>
  <si>
    <t>Semaine</t>
  </si>
  <si>
    <t>Prévisions</t>
  </si>
  <si>
    <t>Commandes acceptées</t>
  </si>
  <si>
    <t>Stock projeté</t>
  </si>
  <si>
    <t>Stock disponible à la vente</t>
  </si>
  <si>
    <t>Réception planifiée</t>
  </si>
  <si>
    <t>Lancement planifié</t>
  </si>
  <si>
    <t>Gourde de 32 oz</t>
  </si>
  <si>
    <t>X 100</t>
  </si>
  <si>
    <t>Groude de 64 oz</t>
  </si>
  <si>
    <t>X 300</t>
  </si>
  <si>
    <t>PLANIFICATION SOMMAIRE DES CAPACITÉS (UNITÉS ÉQUIVALENTES)</t>
  </si>
  <si>
    <t>Présentez ici la planification sommaire correspondant à vos plans préliminaires</t>
  </si>
  <si>
    <t>Capacité totale requise</t>
  </si>
  <si>
    <t>Capacité disponible</t>
  </si>
  <si>
    <t>Utilisez cette espace pour déterminer les changements à apporter (cet espace ne sera pas corrigé)</t>
  </si>
  <si>
    <t>PLANS FINAUX</t>
  </si>
  <si>
    <t>Stock disponible à la vente*</t>
  </si>
  <si>
    <t>Stock disponible à la vente**</t>
  </si>
  <si>
    <t>Gourde de 64 oz</t>
  </si>
  <si>
    <t>*Présentez ici le stock disponible à la vente sans ajustement</t>
  </si>
  <si>
    <t>**Présentez ici le stock disponible à la vente avec ajustements (au besoin)</t>
  </si>
  <si>
    <t>Question 2</t>
  </si>
  <si>
    <t xml:space="preserve">Un important client voudrait passer une commande de gourdes de 64 oz à la fin de la semaine 7. </t>
  </si>
  <si>
    <t xml:space="preserve">Combien de gourdes de 64 oz pourrait-on lui promettre à la fin de la semaine 7 sans modifier les lancements et réceptions planifiés? </t>
  </si>
  <si>
    <t>Justifiez brièvement votre réponse.</t>
  </si>
  <si>
    <t>Question 3</t>
  </si>
  <si>
    <r>
      <t xml:space="preserve">On voudrait utiliser toute la capacité disponible des </t>
    </r>
    <r>
      <rPr>
        <b/>
        <u/>
        <sz val="14"/>
        <color rgb="FFFF0000"/>
        <rFont val="Calibri"/>
        <family val="2"/>
        <scheme val="minor"/>
      </rPr>
      <t>semaines 1 à 7</t>
    </r>
    <r>
      <rPr>
        <b/>
        <sz val="14"/>
        <color rgb="FF0070C0"/>
        <rFont val="Calibri"/>
        <family val="2"/>
        <scheme val="minor"/>
      </rPr>
      <t xml:space="preserve"> pour produire des gourdes Hydra Flask supplémentaires.</t>
    </r>
    <r>
      <rPr>
        <sz val="11"/>
        <color theme="1"/>
        <rFont val="Calibri"/>
        <family val="2"/>
        <scheme val="minor"/>
      </rPr>
      <t xml:space="preserve"> </t>
    </r>
  </si>
  <si>
    <t xml:space="preserve">Combien de gourdes pourrait-on fabriquer, de quels types et à quelles semaines afin de maximiser </t>
  </si>
  <si>
    <t xml:space="preserve">l’utilisation de la capacité tout en respectant les contraintes opérationnelles?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</si>
</sst>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7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1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3" fontId="0" fillId="3" borderId="3" xfId="0" applyNumberFormat="1" applyFill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/>
    <xf numFmtId="1" fontId="0" fillId="0" borderId="1" xfId="0" applyNumberFormat="1" applyBorder="1" applyAlignment="1">
      <alignment horizontal="center" vertical="center" wrapText="1"/>
    </xf>
    <xf numFmtId="38" fontId="0" fillId="0" borderId="1" xfId="0" applyNumberForma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justify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DDF1"/>
      <color rgb="FF0097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E9AF-DEDD-4361-969A-281320669146}">
  <dimension ref="A1:L52"/>
  <sheetViews>
    <sheetView tabSelected="1" zoomScale="110" zoomScaleNormal="110" workbookViewId="0"/>
  </sheetViews>
  <sheetFormatPr defaultColWidth="11.42578125" defaultRowHeight="15"/>
  <cols>
    <col min="1" max="1" width="26.5703125" customWidth="1"/>
    <col min="2" max="2" width="10.7109375" customWidth="1"/>
    <col min="3" max="3" width="12.42578125" customWidth="1"/>
    <col min="4" max="4" width="11" customWidth="1"/>
  </cols>
  <sheetData>
    <row r="1" spans="1:10">
      <c r="A1" s="7" t="s">
        <v>0</v>
      </c>
      <c r="B1" s="7"/>
    </row>
    <row r="2" spans="1:10" ht="30">
      <c r="A2" s="33" t="s">
        <v>1</v>
      </c>
      <c r="B2" s="34"/>
      <c r="C2" s="4" t="s">
        <v>2</v>
      </c>
      <c r="D2" s="4" t="s">
        <v>3</v>
      </c>
      <c r="E2" s="4" t="s">
        <v>4</v>
      </c>
      <c r="F2" s="4" t="s">
        <v>5</v>
      </c>
    </row>
    <row r="3" spans="1:10">
      <c r="A3" s="13" t="s">
        <v>6</v>
      </c>
      <c r="B3" s="14"/>
      <c r="C3" s="9">
        <v>400</v>
      </c>
      <c r="D3" s="1" t="s">
        <v>7</v>
      </c>
      <c r="E3" s="1">
        <v>0.5</v>
      </c>
      <c r="F3" s="6">
        <v>0</v>
      </c>
    </row>
    <row r="4" spans="1:10" ht="8.25" customHeight="1">
      <c r="A4" s="2"/>
      <c r="B4" s="2"/>
    </row>
    <row r="5" spans="1:10">
      <c r="A5" s="35" t="s">
        <v>8</v>
      </c>
      <c r="B5" s="36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</row>
    <row r="6" spans="1:10">
      <c r="A6" s="31" t="s">
        <v>9</v>
      </c>
      <c r="B6" s="32"/>
      <c r="C6" s="15">
        <v>500</v>
      </c>
      <c r="D6" s="15">
        <v>500</v>
      </c>
      <c r="E6" s="15">
        <v>500</v>
      </c>
      <c r="F6" s="15">
        <v>400</v>
      </c>
      <c r="G6" s="15">
        <v>300</v>
      </c>
      <c r="H6" s="15">
        <v>400</v>
      </c>
      <c r="I6" s="15">
        <v>400</v>
      </c>
      <c r="J6" s="15">
        <v>400</v>
      </c>
    </row>
    <row r="7" spans="1:10">
      <c r="A7" s="31" t="s">
        <v>10</v>
      </c>
      <c r="B7" s="32"/>
      <c r="C7" s="15">
        <v>450</v>
      </c>
      <c r="D7" s="15">
        <v>450</v>
      </c>
      <c r="E7" s="15">
        <v>550</v>
      </c>
      <c r="F7" s="15">
        <v>500</v>
      </c>
      <c r="G7" s="15">
        <v>500</v>
      </c>
      <c r="H7" s="15">
        <v>300</v>
      </c>
      <c r="I7" s="17">
        <v>300</v>
      </c>
      <c r="J7" s="17">
        <v>300</v>
      </c>
    </row>
    <row r="8" spans="1:10">
      <c r="A8" s="12" t="s">
        <v>11</v>
      </c>
      <c r="B8" s="8">
        <f>C3</f>
        <v>400</v>
      </c>
      <c r="C8" s="15"/>
      <c r="D8" s="15"/>
      <c r="E8" s="15"/>
      <c r="F8" s="15"/>
      <c r="G8" s="15"/>
      <c r="H8" s="15"/>
      <c r="I8" s="15"/>
      <c r="J8" s="15"/>
    </row>
    <row r="9" spans="1:10">
      <c r="A9" s="12" t="s">
        <v>12</v>
      </c>
      <c r="B9" s="8">
        <f>C3</f>
        <v>400</v>
      </c>
      <c r="C9" s="16"/>
      <c r="D9" s="16"/>
      <c r="E9" s="16"/>
      <c r="F9" s="16"/>
      <c r="G9" s="16"/>
      <c r="H9" s="16"/>
      <c r="I9" s="16"/>
      <c r="J9" s="16"/>
    </row>
    <row r="10" spans="1:10">
      <c r="A10" s="31" t="s">
        <v>13</v>
      </c>
      <c r="B10" s="32"/>
      <c r="C10" s="15"/>
      <c r="D10" s="15"/>
      <c r="E10" s="15"/>
      <c r="F10" s="15"/>
      <c r="G10" s="15"/>
      <c r="H10" s="15"/>
      <c r="I10" s="17"/>
      <c r="J10" s="17"/>
    </row>
    <row r="11" spans="1:10">
      <c r="A11" s="31" t="s">
        <v>14</v>
      </c>
      <c r="B11" s="32"/>
      <c r="C11" s="15"/>
      <c r="D11" s="15"/>
      <c r="E11" s="15"/>
      <c r="F11" s="15"/>
      <c r="G11" s="15"/>
      <c r="H11" s="15"/>
      <c r="I11" s="15"/>
      <c r="J11" s="15"/>
    </row>
    <row r="12" spans="1:10">
      <c r="A12" s="2"/>
      <c r="B12" s="2"/>
    </row>
    <row r="13" spans="1:10" ht="30">
      <c r="A13" s="33" t="s">
        <v>1</v>
      </c>
      <c r="B13" s="34"/>
      <c r="C13" s="4" t="s">
        <v>2</v>
      </c>
      <c r="D13" s="4" t="s">
        <v>3</v>
      </c>
      <c r="E13" s="4" t="s">
        <v>4</v>
      </c>
      <c r="F13" s="4" t="s">
        <v>5</v>
      </c>
    </row>
    <row r="14" spans="1:10">
      <c r="A14" s="13" t="s">
        <v>15</v>
      </c>
      <c r="B14" s="14"/>
      <c r="C14" s="9">
        <v>500</v>
      </c>
      <c r="D14" s="1" t="s">
        <v>16</v>
      </c>
      <c r="E14" s="1">
        <v>1</v>
      </c>
      <c r="F14" s="6">
        <v>1</v>
      </c>
    </row>
    <row r="15" spans="1:10" ht="8.25" customHeight="1">
      <c r="A15" s="2"/>
      <c r="B15" s="2"/>
    </row>
    <row r="16" spans="1:10">
      <c r="A16" s="35" t="s">
        <v>8</v>
      </c>
      <c r="B16" s="36"/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3">
        <v>7</v>
      </c>
      <c r="J16" s="3">
        <v>8</v>
      </c>
    </row>
    <row r="17" spans="1:10">
      <c r="A17" s="31" t="s">
        <v>9</v>
      </c>
      <c r="B17" s="32"/>
      <c r="C17" s="15">
        <v>300</v>
      </c>
      <c r="D17" s="15">
        <v>500</v>
      </c>
      <c r="E17" s="15">
        <v>500</v>
      </c>
      <c r="F17" s="15">
        <v>550</v>
      </c>
      <c r="G17" s="15">
        <v>500</v>
      </c>
      <c r="H17" s="15">
        <v>550</v>
      </c>
      <c r="I17" s="15">
        <v>500</v>
      </c>
      <c r="J17" s="15">
        <v>550</v>
      </c>
    </row>
    <row r="18" spans="1:10">
      <c r="A18" s="31" t="s">
        <v>10</v>
      </c>
      <c r="B18" s="32"/>
      <c r="C18" s="15">
        <v>300</v>
      </c>
      <c r="D18" s="15">
        <v>500</v>
      </c>
      <c r="E18" s="15">
        <v>400</v>
      </c>
      <c r="F18" s="15">
        <v>500</v>
      </c>
      <c r="G18" s="15">
        <v>650</v>
      </c>
      <c r="H18" s="15">
        <v>620</v>
      </c>
      <c r="I18" s="15">
        <v>600</v>
      </c>
      <c r="J18" s="15">
        <v>650</v>
      </c>
    </row>
    <row r="19" spans="1:10">
      <c r="A19" s="12" t="s">
        <v>11</v>
      </c>
      <c r="B19" s="8">
        <f>C14</f>
        <v>500</v>
      </c>
      <c r="C19" s="15"/>
      <c r="D19" s="15"/>
      <c r="E19" s="15"/>
      <c r="F19" s="15"/>
      <c r="G19" s="15"/>
      <c r="H19" s="15"/>
      <c r="I19" s="15"/>
      <c r="J19" s="15"/>
    </row>
    <row r="20" spans="1:10">
      <c r="A20" s="12" t="s">
        <v>12</v>
      </c>
      <c r="B20" s="8">
        <f>C14</f>
        <v>500</v>
      </c>
      <c r="C20" s="16"/>
      <c r="D20" s="16"/>
      <c r="E20" s="16"/>
      <c r="F20" s="16"/>
      <c r="G20" s="16"/>
      <c r="H20" s="16"/>
      <c r="I20" s="16"/>
      <c r="J20" s="16"/>
    </row>
    <row r="21" spans="1:10">
      <c r="A21" s="31" t="s">
        <v>13</v>
      </c>
      <c r="B21" s="32"/>
      <c r="C21" s="15"/>
      <c r="D21" s="15"/>
      <c r="E21" s="15"/>
      <c r="F21" s="15"/>
      <c r="G21" s="15"/>
      <c r="H21" s="15"/>
      <c r="I21" s="15"/>
      <c r="J21" s="15"/>
    </row>
    <row r="22" spans="1:10">
      <c r="A22" s="31" t="s">
        <v>14</v>
      </c>
      <c r="B22" s="32"/>
      <c r="C22" s="15"/>
      <c r="D22" s="15"/>
      <c r="E22" s="15"/>
      <c r="F22" s="15"/>
      <c r="G22" s="15"/>
      <c r="H22" s="15"/>
      <c r="I22" s="15"/>
      <c r="J22" s="15"/>
    </row>
    <row r="24" spans="1:10" ht="30">
      <c r="A24" s="33" t="s">
        <v>1</v>
      </c>
      <c r="B24" s="34"/>
      <c r="C24" s="4" t="s">
        <v>2</v>
      </c>
      <c r="D24" s="4" t="s">
        <v>3</v>
      </c>
      <c r="E24" s="4" t="s">
        <v>4</v>
      </c>
      <c r="F24" s="4" t="s">
        <v>5</v>
      </c>
    </row>
    <row r="25" spans="1:10">
      <c r="A25" s="13" t="s">
        <v>17</v>
      </c>
      <c r="B25" s="14"/>
      <c r="C25" s="9">
        <v>200</v>
      </c>
      <c r="D25" s="1" t="s">
        <v>18</v>
      </c>
      <c r="E25" s="1">
        <v>2</v>
      </c>
      <c r="F25" s="6">
        <v>1</v>
      </c>
    </row>
    <row r="26" spans="1:10" ht="8.25" customHeight="1">
      <c r="A26" s="2"/>
      <c r="B26" s="2"/>
    </row>
    <row r="27" spans="1:10">
      <c r="A27" s="35" t="s">
        <v>8</v>
      </c>
      <c r="B27" s="36"/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</row>
    <row r="28" spans="1:10">
      <c r="A28" s="31" t="s">
        <v>9</v>
      </c>
      <c r="B28" s="32"/>
      <c r="C28" s="15">
        <v>150</v>
      </c>
      <c r="D28" s="15">
        <v>200</v>
      </c>
      <c r="E28" s="15">
        <v>240</v>
      </c>
      <c r="F28" s="15">
        <v>260</v>
      </c>
      <c r="G28" s="15">
        <v>190</v>
      </c>
      <c r="H28" s="15">
        <v>250</v>
      </c>
      <c r="I28" s="15">
        <v>250</v>
      </c>
      <c r="J28" s="15">
        <v>210</v>
      </c>
    </row>
    <row r="29" spans="1:10">
      <c r="A29" s="31" t="s">
        <v>10</v>
      </c>
      <c r="B29" s="32"/>
      <c r="C29" s="15">
        <v>150</v>
      </c>
      <c r="D29" s="15">
        <v>200</v>
      </c>
      <c r="E29" s="15">
        <v>300</v>
      </c>
      <c r="F29" s="15">
        <v>250</v>
      </c>
      <c r="G29" s="15">
        <v>150</v>
      </c>
      <c r="H29" s="15">
        <v>200</v>
      </c>
      <c r="I29" s="15">
        <v>190</v>
      </c>
      <c r="J29" s="15">
        <v>150</v>
      </c>
    </row>
    <row r="30" spans="1:10">
      <c r="A30" s="12" t="s">
        <v>11</v>
      </c>
      <c r="B30" s="8">
        <f>C25</f>
        <v>200</v>
      </c>
      <c r="C30" s="15"/>
      <c r="D30" s="15"/>
      <c r="E30" s="15"/>
      <c r="F30" s="15"/>
      <c r="G30" s="15"/>
      <c r="H30" s="15"/>
      <c r="I30" s="15"/>
      <c r="J30" s="15"/>
    </row>
    <row r="31" spans="1:10">
      <c r="A31" s="12" t="s">
        <v>12</v>
      </c>
      <c r="B31" s="8">
        <f>C25</f>
        <v>200</v>
      </c>
      <c r="C31" s="16"/>
      <c r="D31" s="16"/>
      <c r="E31" s="16"/>
      <c r="F31" s="16"/>
      <c r="G31" s="16"/>
      <c r="H31" s="16"/>
      <c r="I31" s="16"/>
      <c r="J31" s="16"/>
    </row>
    <row r="32" spans="1:10">
      <c r="A32" s="31" t="s">
        <v>13</v>
      </c>
      <c r="B32" s="32"/>
      <c r="C32" s="15"/>
      <c r="D32" s="15"/>
      <c r="E32" s="15"/>
      <c r="F32" s="15"/>
      <c r="G32" s="15"/>
      <c r="H32" s="15"/>
      <c r="I32" s="15"/>
      <c r="J32" s="15"/>
    </row>
    <row r="33" spans="1:12">
      <c r="A33" s="31" t="s">
        <v>14</v>
      </c>
      <c r="B33" s="32"/>
      <c r="C33" s="15"/>
      <c r="D33" s="15"/>
      <c r="E33" s="15"/>
      <c r="F33" s="15"/>
      <c r="G33" s="15"/>
      <c r="H33" s="15"/>
      <c r="I33" s="15"/>
      <c r="J33" s="15"/>
    </row>
    <row r="35" spans="1:12">
      <c r="A35" s="7" t="s">
        <v>19</v>
      </c>
      <c r="B35" s="7"/>
    </row>
    <row r="36" spans="1:12">
      <c r="A36" s="24" t="s">
        <v>20</v>
      </c>
    </row>
    <row r="37" spans="1:12">
      <c r="A37" s="29" t="s">
        <v>8</v>
      </c>
      <c r="B37" s="30"/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</row>
    <row r="38" spans="1:12">
      <c r="A38" s="10"/>
      <c r="B38" s="11" t="str">
        <f>A3</f>
        <v>Gourde de 16 oz</v>
      </c>
      <c r="C38" s="9"/>
      <c r="D38" s="9"/>
      <c r="E38" s="9"/>
      <c r="F38" s="9"/>
      <c r="G38" s="9"/>
      <c r="H38" s="9"/>
      <c r="I38" s="9"/>
      <c r="J38" s="9"/>
      <c r="K38" s="23"/>
      <c r="L38" s="22"/>
    </row>
    <row r="39" spans="1:12">
      <c r="A39" s="10"/>
      <c r="B39" s="11" t="str">
        <f>A14</f>
        <v>Gourde de 32 oz</v>
      </c>
      <c r="C39" s="9"/>
      <c r="D39" s="9"/>
      <c r="E39" s="9"/>
      <c r="F39" s="9"/>
      <c r="G39" s="9"/>
      <c r="H39" s="9"/>
      <c r="I39" s="9"/>
      <c r="J39" s="9"/>
      <c r="K39" s="23"/>
      <c r="L39" s="22"/>
    </row>
    <row r="40" spans="1:12">
      <c r="A40" s="10"/>
      <c r="B40" s="11" t="str">
        <f>A25</f>
        <v>Groude de 64 oz</v>
      </c>
      <c r="C40" s="9"/>
      <c r="D40" s="9"/>
      <c r="E40" s="9"/>
      <c r="F40" s="9"/>
      <c r="G40" s="9"/>
      <c r="H40" s="9"/>
      <c r="I40" s="9"/>
      <c r="J40" s="9"/>
      <c r="K40" s="23"/>
      <c r="L40" s="22"/>
    </row>
    <row r="41" spans="1:12">
      <c r="A41" s="31" t="s">
        <v>21</v>
      </c>
      <c r="B41" s="32"/>
      <c r="C41" s="5">
        <f t="shared" ref="C41:J41" si="0">SUM(C38:C40)</f>
        <v>0</v>
      </c>
      <c r="D41" s="5">
        <f t="shared" si="0"/>
        <v>0</v>
      </c>
      <c r="E41" s="5">
        <f t="shared" si="0"/>
        <v>0</v>
      </c>
      <c r="F41" s="5">
        <f t="shared" si="0"/>
        <v>0</v>
      </c>
      <c r="G41" s="5">
        <f t="shared" si="0"/>
        <v>0</v>
      </c>
      <c r="H41" s="5">
        <f t="shared" si="0"/>
        <v>0</v>
      </c>
      <c r="I41" s="5">
        <f t="shared" si="0"/>
        <v>0</v>
      </c>
      <c r="J41" s="5">
        <f t="shared" si="0"/>
        <v>0</v>
      </c>
      <c r="K41" s="20"/>
      <c r="L41" s="21"/>
    </row>
    <row r="42" spans="1:12">
      <c r="A42" s="18" t="s">
        <v>22</v>
      </c>
      <c r="B42" s="19"/>
      <c r="C42" s="26"/>
      <c r="D42" s="26"/>
      <c r="E42" s="26"/>
      <c r="F42" s="26"/>
      <c r="G42" s="26"/>
      <c r="H42" s="26"/>
      <c r="I42" s="26"/>
      <c r="J42" s="26"/>
    </row>
    <row r="46" spans="1:12">
      <c r="A46" s="24" t="s">
        <v>23</v>
      </c>
    </row>
    <row r="47" spans="1:12">
      <c r="A47" s="29" t="s">
        <v>8</v>
      </c>
      <c r="B47" s="30"/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I47" s="3">
        <v>7</v>
      </c>
      <c r="J47" s="3">
        <v>8</v>
      </c>
    </row>
    <row r="48" spans="1:12">
      <c r="A48" s="10"/>
      <c r="B48" s="11" t="str">
        <f>B38</f>
        <v>Gourde de 16 oz</v>
      </c>
      <c r="C48" s="9"/>
      <c r="D48" s="9"/>
      <c r="E48" s="9"/>
      <c r="F48" s="9"/>
      <c r="G48" s="9"/>
      <c r="H48" s="9"/>
      <c r="I48" s="9"/>
      <c r="J48" s="9"/>
    </row>
    <row r="49" spans="1:10">
      <c r="A49" s="10"/>
      <c r="B49" s="11" t="str">
        <f t="shared" ref="B49:B50" si="1">B39</f>
        <v>Gourde de 32 oz</v>
      </c>
      <c r="C49" s="9"/>
      <c r="D49" s="9"/>
      <c r="E49" s="9"/>
      <c r="F49" s="9"/>
      <c r="G49" s="9"/>
      <c r="H49" s="9"/>
      <c r="I49" s="9"/>
      <c r="J49" s="9"/>
    </row>
    <row r="50" spans="1:10">
      <c r="A50" s="10"/>
      <c r="B50" s="11" t="str">
        <f t="shared" si="1"/>
        <v>Groude de 64 oz</v>
      </c>
      <c r="C50" s="9"/>
      <c r="D50" s="9"/>
      <c r="E50" s="9"/>
      <c r="F50" s="9"/>
      <c r="G50" s="9"/>
      <c r="H50" s="9"/>
      <c r="I50" s="9"/>
      <c r="J50" s="9"/>
    </row>
    <row r="51" spans="1:10">
      <c r="A51" s="31" t="s">
        <v>21</v>
      </c>
      <c r="B51" s="32"/>
      <c r="C51" s="5">
        <f t="shared" ref="C51:J51" si="2">SUM(C48:C50)</f>
        <v>0</v>
      </c>
      <c r="D51" s="5">
        <f t="shared" si="2"/>
        <v>0</v>
      </c>
      <c r="E51" s="5">
        <f t="shared" si="2"/>
        <v>0</v>
      </c>
      <c r="F51" s="5">
        <f t="shared" si="2"/>
        <v>0</v>
      </c>
      <c r="G51" s="5">
        <f t="shared" si="2"/>
        <v>0</v>
      </c>
      <c r="H51" s="5">
        <f t="shared" si="2"/>
        <v>0</v>
      </c>
      <c r="I51" s="5">
        <f t="shared" si="2"/>
        <v>0</v>
      </c>
      <c r="J51" s="5">
        <f t="shared" si="2"/>
        <v>0</v>
      </c>
    </row>
    <row r="52" spans="1:10">
      <c r="A52" s="18" t="s">
        <v>22</v>
      </c>
      <c r="B52" s="19"/>
      <c r="C52" s="26"/>
      <c r="D52" s="26"/>
      <c r="E52" s="26"/>
      <c r="F52" s="26"/>
      <c r="G52" s="26"/>
      <c r="H52" s="26"/>
      <c r="I52" s="26"/>
      <c r="J52" s="26"/>
    </row>
  </sheetData>
  <mergeCells count="22">
    <mergeCell ref="A37:B37"/>
    <mergeCell ref="A18:B18"/>
    <mergeCell ref="A21:B21"/>
    <mergeCell ref="A27:B27"/>
    <mergeCell ref="A28:B28"/>
    <mergeCell ref="A29:B29"/>
    <mergeCell ref="A47:B47"/>
    <mergeCell ref="A51:B51"/>
    <mergeCell ref="A2:B2"/>
    <mergeCell ref="A5:B5"/>
    <mergeCell ref="A13:B13"/>
    <mergeCell ref="A16:B16"/>
    <mergeCell ref="A24:B24"/>
    <mergeCell ref="A22:B22"/>
    <mergeCell ref="A41:B41"/>
    <mergeCell ref="A6:B6"/>
    <mergeCell ref="A7:B7"/>
    <mergeCell ref="A10:B10"/>
    <mergeCell ref="A11:B11"/>
    <mergeCell ref="A17:B17"/>
    <mergeCell ref="A32:B32"/>
    <mergeCell ref="A33:B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1410-329A-4C4C-84FF-42B89D19A61B}">
  <dimension ref="A1:L49"/>
  <sheetViews>
    <sheetView zoomScale="110" zoomScaleNormal="110" workbookViewId="0"/>
  </sheetViews>
  <sheetFormatPr defaultColWidth="11.42578125" defaultRowHeight="15"/>
  <cols>
    <col min="1" max="1" width="26.5703125" customWidth="1"/>
    <col min="2" max="2" width="10.7109375" customWidth="1"/>
    <col min="3" max="3" width="12.42578125" customWidth="1"/>
    <col min="4" max="4" width="11" customWidth="1"/>
  </cols>
  <sheetData>
    <row r="1" spans="1:12">
      <c r="A1" s="7" t="s">
        <v>24</v>
      </c>
      <c r="B1" s="7"/>
    </row>
    <row r="2" spans="1:12" ht="30">
      <c r="A2" s="33" t="s">
        <v>1</v>
      </c>
      <c r="B2" s="34"/>
      <c r="C2" s="4" t="s">
        <v>2</v>
      </c>
      <c r="D2" s="4" t="s">
        <v>3</v>
      </c>
      <c r="E2" s="4" t="s">
        <v>4</v>
      </c>
      <c r="F2" s="4" t="s">
        <v>5</v>
      </c>
    </row>
    <row r="3" spans="1:12">
      <c r="A3" s="13" t="s">
        <v>6</v>
      </c>
      <c r="B3" s="14"/>
      <c r="C3" s="9">
        <v>400</v>
      </c>
      <c r="D3" s="1" t="s">
        <v>7</v>
      </c>
      <c r="E3" s="1">
        <v>0.5</v>
      </c>
      <c r="F3" s="6">
        <v>0</v>
      </c>
    </row>
    <row r="4" spans="1:12" ht="8.25" customHeight="1">
      <c r="A4" s="2"/>
      <c r="B4" s="2"/>
    </row>
    <row r="5" spans="1:12">
      <c r="A5" s="35" t="s">
        <v>8</v>
      </c>
      <c r="B5" s="36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</row>
    <row r="6" spans="1:12">
      <c r="A6" s="31" t="s">
        <v>9</v>
      </c>
      <c r="B6" s="32"/>
      <c r="C6" s="15">
        <v>500</v>
      </c>
      <c r="D6" s="15">
        <v>500</v>
      </c>
      <c r="E6" s="15">
        <v>500</v>
      </c>
      <c r="F6" s="15">
        <v>400</v>
      </c>
      <c r="G6" s="15">
        <v>300</v>
      </c>
      <c r="H6" s="15">
        <v>400</v>
      </c>
      <c r="I6" s="15">
        <v>400</v>
      </c>
      <c r="J6" s="15">
        <v>400</v>
      </c>
    </row>
    <row r="7" spans="1:12">
      <c r="A7" s="31" t="s">
        <v>10</v>
      </c>
      <c r="B7" s="32"/>
      <c r="C7" s="15">
        <v>450</v>
      </c>
      <c r="D7" s="15">
        <v>450</v>
      </c>
      <c r="E7" s="15">
        <v>550</v>
      </c>
      <c r="F7" s="15">
        <v>500</v>
      </c>
      <c r="G7" s="15">
        <v>500</v>
      </c>
      <c r="H7" s="15">
        <v>300</v>
      </c>
      <c r="I7" s="17">
        <v>300</v>
      </c>
      <c r="J7" s="17">
        <v>300</v>
      </c>
    </row>
    <row r="8" spans="1:12">
      <c r="A8" s="12" t="s">
        <v>11</v>
      </c>
      <c r="B8" s="8">
        <f>C3</f>
        <v>400</v>
      </c>
      <c r="C8" s="25"/>
      <c r="D8" s="25"/>
      <c r="E8" s="25"/>
      <c r="F8" s="25"/>
      <c r="G8" s="25"/>
      <c r="H8" s="25"/>
      <c r="I8" s="25"/>
      <c r="J8" s="25"/>
    </row>
    <row r="9" spans="1:12">
      <c r="A9" s="12" t="s">
        <v>25</v>
      </c>
      <c r="B9" s="8">
        <f>C3</f>
        <v>400</v>
      </c>
      <c r="C9" s="25"/>
      <c r="D9" s="25"/>
      <c r="E9" s="25"/>
      <c r="F9" s="25"/>
      <c r="G9" s="25"/>
      <c r="H9" s="25"/>
      <c r="I9" s="25"/>
      <c r="J9" s="25"/>
      <c r="L9" s="7"/>
    </row>
    <row r="10" spans="1:12">
      <c r="A10" s="12" t="s">
        <v>26</v>
      </c>
      <c r="B10" s="8">
        <f>B9</f>
        <v>400</v>
      </c>
      <c r="C10" s="25"/>
      <c r="D10" s="25"/>
      <c r="E10" s="25"/>
      <c r="F10" s="25"/>
      <c r="G10" s="25"/>
      <c r="H10" s="25"/>
      <c r="I10" s="25"/>
      <c r="J10" s="25"/>
    </row>
    <row r="11" spans="1:12">
      <c r="A11" s="31" t="s">
        <v>13</v>
      </c>
      <c r="B11" s="32"/>
      <c r="C11" s="15"/>
      <c r="D11" s="15"/>
      <c r="E11" s="15"/>
      <c r="F11" s="15"/>
      <c r="G11" s="15"/>
      <c r="H11" s="15"/>
      <c r="I11" s="15"/>
      <c r="J11" s="15"/>
    </row>
    <row r="12" spans="1:12">
      <c r="A12" s="31" t="s">
        <v>14</v>
      </c>
      <c r="B12" s="32"/>
      <c r="C12" s="15"/>
      <c r="D12" s="15"/>
      <c r="E12" s="15"/>
      <c r="F12" s="15"/>
      <c r="G12" s="15"/>
      <c r="H12" s="15"/>
      <c r="I12" s="15"/>
      <c r="J12" s="15"/>
    </row>
    <row r="13" spans="1:12">
      <c r="A13" s="2"/>
      <c r="B13" s="2"/>
    </row>
    <row r="14" spans="1:12" ht="30">
      <c r="A14" s="33" t="s">
        <v>1</v>
      </c>
      <c r="B14" s="34"/>
      <c r="C14" s="4" t="s">
        <v>2</v>
      </c>
      <c r="D14" s="4" t="s">
        <v>3</v>
      </c>
      <c r="E14" s="4" t="s">
        <v>4</v>
      </c>
      <c r="F14" s="4" t="s">
        <v>5</v>
      </c>
    </row>
    <row r="15" spans="1:12">
      <c r="A15" s="13" t="s">
        <v>15</v>
      </c>
      <c r="B15" s="14"/>
      <c r="C15" s="9">
        <v>500</v>
      </c>
      <c r="D15" s="1" t="s">
        <v>16</v>
      </c>
      <c r="E15" s="1">
        <v>1</v>
      </c>
      <c r="F15" s="6">
        <v>1</v>
      </c>
    </row>
    <row r="16" spans="1:12" ht="8.25" customHeight="1">
      <c r="A16" s="2"/>
      <c r="B16" s="2"/>
    </row>
    <row r="17" spans="1:10">
      <c r="A17" s="35" t="s">
        <v>8</v>
      </c>
      <c r="B17" s="36"/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</row>
    <row r="18" spans="1:10">
      <c r="A18" s="31" t="s">
        <v>9</v>
      </c>
      <c r="B18" s="32"/>
      <c r="C18" s="25">
        <v>300</v>
      </c>
      <c r="D18" s="25">
        <v>500</v>
      </c>
      <c r="E18" s="25">
        <v>500</v>
      </c>
      <c r="F18" s="25">
        <v>550</v>
      </c>
      <c r="G18" s="25">
        <v>500</v>
      </c>
      <c r="H18" s="25">
        <v>550</v>
      </c>
      <c r="I18" s="25">
        <v>500</v>
      </c>
      <c r="J18" s="25">
        <v>550</v>
      </c>
    </row>
    <row r="19" spans="1:10">
      <c r="A19" s="31" t="s">
        <v>10</v>
      </c>
      <c r="B19" s="32"/>
      <c r="C19" s="25">
        <v>300</v>
      </c>
      <c r="D19" s="25">
        <v>500</v>
      </c>
      <c r="E19" s="25">
        <v>400</v>
      </c>
      <c r="F19" s="25">
        <v>500</v>
      </c>
      <c r="G19" s="25">
        <v>650</v>
      </c>
      <c r="H19" s="25">
        <v>620</v>
      </c>
      <c r="I19" s="25">
        <v>600</v>
      </c>
      <c r="J19" s="25">
        <v>650</v>
      </c>
    </row>
    <row r="20" spans="1:10">
      <c r="A20" s="12" t="s">
        <v>11</v>
      </c>
      <c r="B20" s="8">
        <f>C15</f>
        <v>500</v>
      </c>
      <c r="C20" s="25"/>
      <c r="D20" s="25"/>
      <c r="E20" s="25"/>
      <c r="F20" s="25"/>
      <c r="G20" s="25"/>
      <c r="H20" s="25"/>
      <c r="I20" s="25"/>
      <c r="J20" s="25"/>
    </row>
    <row r="21" spans="1:10">
      <c r="A21" s="12" t="s">
        <v>25</v>
      </c>
      <c r="B21" s="8">
        <f>C15</f>
        <v>500</v>
      </c>
      <c r="C21" s="25"/>
      <c r="D21" s="25"/>
      <c r="E21" s="25"/>
      <c r="F21" s="25"/>
      <c r="G21" s="25"/>
      <c r="H21" s="25"/>
      <c r="I21" s="25"/>
      <c r="J21" s="25"/>
    </row>
    <row r="22" spans="1:10">
      <c r="A22" s="12" t="s">
        <v>26</v>
      </c>
      <c r="B22" s="8">
        <f>B21</f>
        <v>500</v>
      </c>
      <c r="C22" s="25"/>
      <c r="D22" s="25"/>
      <c r="E22" s="25"/>
      <c r="F22" s="25"/>
      <c r="G22" s="25"/>
      <c r="H22" s="25"/>
      <c r="I22" s="25"/>
      <c r="J22" s="25"/>
    </row>
    <row r="23" spans="1:10">
      <c r="A23" s="31" t="s">
        <v>13</v>
      </c>
      <c r="B23" s="32"/>
      <c r="C23" s="25"/>
      <c r="D23" s="25"/>
      <c r="E23" s="25"/>
      <c r="F23" s="25"/>
      <c r="G23" s="25"/>
      <c r="H23" s="25"/>
      <c r="I23" s="25"/>
      <c r="J23" s="25"/>
    </row>
    <row r="24" spans="1:10">
      <c r="A24" s="31" t="s">
        <v>14</v>
      </c>
      <c r="B24" s="32"/>
      <c r="C24" s="25"/>
      <c r="D24" s="25"/>
      <c r="E24" s="25"/>
      <c r="F24" s="25"/>
      <c r="G24" s="25"/>
      <c r="H24" s="25"/>
      <c r="I24" s="25"/>
      <c r="J24" s="25"/>
    </row>
    <row r="26" spans="1:10" ht="30">
      <c r="A26" s="33" t="s">
        <v>1</v>
      </c>
      <c r="B26" s="34"/>
      <c r="C26" s="4" t="s">
        <v>2</v>
      </c>
      <c r="D26" s="4" t="s">
        <v>3</v>
      </c>
      <c r="E26" s="4" t="s">
        <v>4</v>
      </c>
      <c r="F26" s="4" t="s">
        <v>5</v>
      </c>
    </row>
    <row r="27" spans="1:10">
      <c r="A27" s="13" t="s">
        <v>27</v>
      </c>
      <c r="B27" s="14"/>
      <c r="C27" s="9">
        <v>200</v>
      </c>
      <c r="D27" s="1" t="s">
        <v>18</v>
      </c>
      <c r="E27" s="1">
        <v>2</v>
      </c>
      <c r="F27" s="6">
        <v>1</v>
      </c>
    </row>
    <row r="28" spans="1:10" ht="8.25" customHeight="1">
      <c r="A28" s="2"/>
      <c r="B28" s="2"/>
    </row>
    <row r="29" spans="1:10">
      <c r="A29" s="35" t="s">
        <v>8</v>
      </c>
      <c r="B29" s="36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</row>
    <row r="30" spans="1:10">
      <c r="A30" s="31" t="s">
        <v>9</v>
      </c>
      <c r="B30" s="32"/>
      <c r="C30" s="25">
        <v>150</v>
      </c>
      <c r="D30" s="25">
        <v>200</v>
      </c>
      <c r="E30" s="25">
        <v>240</v>
      </c>
      <c r="F30" s="25">
        <v>260</v>
      </c>
      <c r="G30" s="25">
        <v>190</v>
      </c>
      <c r="H30" s="25">
        <v>250</v>
      </c>
      <c r="I30" s="25">
        <v>250</v>
      </c>
      <c r="J30" s="25">
        <v>210</v>
      </c>
    </row>
    <row r="31" spans="1:10">
      <c r="A31" s="31" t="s">
        <v>10</v>
      </c>
      <c r="B31" s="32"/>
      <c r="C31" s="25">
        <v>150</v>
      </c>
      <c r="D31" s="25">
        <v>200</v>
      </c>
      <c r="E31" s="25">
        <v>300</v>
      </c>
      <c r="F31" s="25">
        <v>250</v>
      </c>
      <c r="G31" s="25">
        <v>150</v>
      </c>
      <c r="H31" s="25">
        <v>200</v>
      </c>
      <c r="I31" s="25">
        <v>190</v>
      </c>
      <c r="J31" s="25">
        <v>150</v>
      </c>
    </row>
    <row r="32" spans="1:10">
      <c r="A32" s="12" t="s">
        <v>11</v>
      </c>
      <c r="B32" s="8">
        <f>C27</f>
        <v>200</v>
      </c>
      <c r="C32" s="25"/>
      <c r="D32" s="25"/>
      <c r="E32" s="25"/>
      <c r="F32" s="25"/>
      <c r="G32" s="25"/>
      <c r="H32" s="25"/>
      <c r="I32" s="25"/>
      <c r="J32" s="25"/>
    </row>
    <row r="33" spans="1:12">
      <c r="A33" s="12" t="s">
        <v>25</v>
      </c>
      <c r="B33" s="8">
        <f>C27</f>
        <v>200</v>
      </c>
      <c r="C33" s="25"/>
      <c r="D33" s="25"/>
      <c r="E33" s="25"/>
      <c r="F33" s="25"/>
      <c r="G33" s="25"/>
      <c r="H33" s="25"/>
      <c r="I33" s="25"/>
      <c r="J33" s="25"/>
    </row>
    <row r="34" spans="1:12">
      <c r="A34" s="12" t="s">
        <v>26</v>
      </c>
      <c r="B34" s="8">
        <f>B33</f>
        <v>200</v>
      </c>
      <c r="C34" s="25"/>
      <c r="D34" s="25"/>
      <c r="E34" s="25"/>
      <c r="F34" s="25"/>
      <c r="G34" s="25"/>
      <c r="H34" s="25"/>
      <c r="I34" s="25"/>
      <c r="J34" s="25"/>
    </row>
    <row r="35" spans="1:12">
      <c r="A35" s="31" t="s">
        <v>13</v>
      </c>
      <c r="B35" s="32"/>
      <c r="C35" s="25"/>
      <c r="D35" s="25"/>
      <c r="E35" s="25"/>
      <c r="F35" s="25"/>
      <c r="G35" s="25"/>
      <c r="H35" s="25"/>
      <c r="I35" s="25"/>
      <c r="J35" s="25"/>
    </row>
    <row r="36" spans="1:12">
      <c r="A36" s="31" t="s">
        <v>14</v>
      </c>
      <c r="B36" s="32"/>
      <c r="C36" s="25"/>
      <c r="D36" s="25"/>
      <c r="E36" s="25"/>
      <c r="F36" s="25"/>
      <c r="G36" s="25"/>
      <c r="H36" s="25"/>
      <c r="I36" s="25"/>
      <c r="J36" s="25"/>
    </row>
    <row r="38" spans="1:12">
      <c r="A38" s="7" t="s">
        <v>19</v>
      </c>
      <c r="B38" s="7"/>
    </row>
    <row r="40" spans="1:12">
      <c r="A40" s="29" t="s">
        <v>8</v>
      </c>
      <c r="B40" s="30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</row>
    <row r="41" spans="1:12">
      <c r="A41" s="10"/>
      <c r="B41" s="11" t="str">
        <f>A3</f>
        <v>Gourde de 16 oz</v>
      </c>
      <c r="C41" s="9"/>
      <c r="D41" s="9"/>
      <c r="E41" s="9"/>
      <c r="F41" s="9"/>
      <c r="G41" s="9"/>
      <c r="H41" s="9"/>
      <c r="I41" s="9"/>
      <c r="J41" s="9"/>
      <c r="L41" s="22"/>
    </row>
    <row r="42" spans="1:12">
      <c r="A42" s="10"/>
      <c r="B42" s="11" t="str">
        <f>A15</f>
        <v>Gourde de 32 oz</v>
      </c>
      <c r="C42" s="9"/>
      <c r="D42" s="9"/>
      <c r="E42" s="9"/>
      <c r="F42" s="9"/>
      <c r="G42" s="9"/>
      <c r="H42" s="9"/>
      <c r="I42" s="9"/>
      <c r="J42" s="9"/>
      <c r="L42" s="22"/>
    </row>
    <row r="43" spans="1:12">
      <c r="A43" s="10"/>
      <c r="B43" s="11" t="str">
        <f>A27</f>
        <v>Gourde de 64 oz</v>
      </c>
      <c r="C43" s="9"/>
      <c r="D43" s="9"/>
      <c r="E43" s="9"/>
      <c r="F43" s="9"/>
      <c r="G43" s="9"/>
      <c r="H43" s="9"/>
      <c r="I43" s="9"/>
      <c r="J43" s="9"/>
      <c r="L43" s="22"/>
    </row>
    <row r="44" spans="1:12">
      <c r="A44" s="31" t="s">
        <v>21</v>
      </c>
      <c r="B44" s="32"/>
      <c r="C44" s="5">
        <f t="shared" ref="C44:J44" si="0">SUM(C41:C43)</f>
        <v>0</v>
      </c>
      <c r="D44" s="5">
        <f t="shared" si="0"/>
        <v>0</v>
      </c>
      <c r="E44" s="5">
        <f t="shared" si="0"/>
        <v>0</v>
      </c>
      <c r="F44" s="5">
        <f t="shared" si="0"/>
        <v>0</v>
      </c>
      <c r="G44" s="5">
        <f t="shared" si="0"/>
        <v>0</v>
      </c>
      <c r="H44" s="5">
        <f t="shared" si="0"/>
        <v>0</v>
      </c>
      <c r="I44" s="5">
        <f t="shared" si="0"/>
        <v>0</v>
      </c>
      <c r="J44" s="5">
        <f t="shared" si="0"/>
        <v>0</v>
      </c>
      <c r="K44" s="20"/>
      <c r="L44" s="21"/>
    </row>
    <row r="45" spans="1:12">
      <c r="A45" s="18" t="s">
        <v>22</v>
      </c>
      <c r="B45" s="19"/>
      <c r="C45" s="26"/>
      <c r="D45" s="26"/>
      <c r="E45" s="26"/>
      <c r="F45" s="26"/>
      <c r="G45" s="26"/>
      <c r="H45" s="26"/>
      <c r="I45" s="26"/>
      <c r="J45" s="26"/>
    </row>
    <row r="48" spans="1:12">
      <c r="A48" s="24" t="s">
        <v>28</v>
      </c>
    </row>
    <row r="49" spans="1:1">
      <c r="A49" s="24" t="s">
        <v>29</v>
      </c>
    </row>
  </sheetData>
  <mergeCells count="20">
    <mergeCell ref="A24:B24"/>
    <mergeCell ref="A2:B2"/>
    <mergeCell ref="A5:B5"/>
    <mergeCell ref="A6:B6"/>
    <mergeCell ref="A7:B7"/>
    <mergeCell ref="A11:B11"/>
    <mergeCell ref="A12:B12"/>
    <mergeCell ref="A14:B14"/>
    <mergeCell ref="A17:B17"/>
    <mergeCell ref="A18:B18"/>
    <mergeCell ref="A19:B19"/>
    <mergeCell ref="A23:B23"/>
    <mergeCell ref="A40:B40"/>
    <mergeCell ref="A44:B44"/>
    <mergeCell ref="A26:B26"/>
    <mergeCell ref="A29:B29"/>
    <mergeCell ref="A30:B30"/>
    <mergeCell ref="A31:B31"/>
    <mergeCell ref="A35:B35"/>
    <mergeCell ref="A36:B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3EED-4EA7-40FA-AB54-4192D7B35D2C}">
  <dimension ref="A1:A17"/>
  <sheetViews>
    <sheetView zoomScaleNormal="100" workbookViewId="0">
      <selection activeCell="H27" sqref="H27"/>
    </sheetView>
  </sheetViews>
  <sheetFormatPr defaultColWidth="11.42578125" defaultRowHeight="15"/>
  <sheetData>
    <row r="1" spans="1:1" ht="18.75">
      <c r="A1" s="27" t="s">
        <v>30</v>
      </c>
    </row>
    <row r="2" spans="1:1" ht="18.75">
      <c r="A2" s="27" t="s">
        <v>31</v>
      </c>
    </row>
    <row r="3" spans="1:1" ht="18.75">
      <c r="A3" s="27" t="s">
        <v>32</v>
      </c>
    </row>
    <row r="4" spans="1:1" ht="18.75">
      <c r="A4" s="27" t="s">
        <v>33</v>
      </c>
    </row>
    <row r="13" spans="1:1" ht="18.75">
      <c r="A13" s="27" t="s">
        <v>34</v>
      </c>
    </row>
    <row r="14" spans="1:1" ht="18.75">
      <c r="A14" s="27" t="s">
        <v>35</v>
      </c>
    </row>
    <row r="15" spans="1:1" ht="18.75">
      <c r="A15" s="27" t="s">
        <v>36</v>
      </c>
    </row>
    <row r="16" spans="1:1" ht="18.75">
      <c r="A16" s="27" t="s">
        <v>37</v>
      </c>
    </row>
    <row r="17" spans="1:1">
      <c r="A17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E621A6-BBF7-448B-9D51-D091578CDB26}"/>
</file>

<file path=customXml/itemProps2.xml><?xml version="1.0" encoding="utf-8"?>
<ds:datastoreItem xmlns:ds="http://schemas.openxmlformats.org/officeDocument/2006/customXml" ds:itemID="{A9DB4C09-6A0F-4C21-B722-70E7509ACBF9}"/>
</file>

<file path=customXml/itemProps3.xml><?xml version="1.0" encoding="utf-8"?>
<ds:datastoreItem xmlns:ds="http://schemas.openxmlformats.org/officeDocument/2006/customXml" ds:itemID="{0D08555C-FC6A-49CD-8C31-5DDBD5FB0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HEC Montréal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veronique poirier</dc:creator>
  <cp:keywords/>
  <dc:description/>
  <cp:lastModifiedBy>Claire Poitras</cp:lastModifiedBy>
  <cp:revision/>
  <dcterms:created xsi:type="dcterms:W3CDTF">2018-03-21T19:47:30Z</dcterms:created>
  <dcterms:modified xsi:type="dcterms:W3CDTF">2026-08-20T14:41:05Z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