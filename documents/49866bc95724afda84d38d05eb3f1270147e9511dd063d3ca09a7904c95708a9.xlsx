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12161\Documents\2-500\PowerPoint\Hiver 2021\"/>
    </mc:Choice>
  </mc:AlternateContent>
  <xr:revisionPtr revIDLastSave="0" documentId="13_ncr:1_{9774F3D8-E50F-4ADF-A408-5441FFCB03F5}" xr6:coauthVersionLast="45" xr6:coauthVersionMax="45" xr10:uidLastSave="{00000000-0000-0000-0000-000000000000}"/>
  <bookViews>
    <workbookView xWindow="-110" yWindow="-110" windowWidth="19420" windowHeight="10420" xr2:uid="{F2C97817-D75C-4116-8E61-664A0192A96A}"/>
  </bookViews>
  <sheets>
    <sheet name="Donné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3" i="1"/>
  <c r="I23" i="1"/>
  <c r="H23" i="1"/>
  <c r="H4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I3" i="1"/>
  <c r="H3" i="1"/>
</calcChain>
</file>

<file path=xl/sharedStrings.xml><?xml version="1.0" encoding="utf-8"?>
<sst xmlns="http://schemas.openxmlformats.org/spreadsheetml/2006/main" count="18" uniqueCount="14">
  <si>
    <t>Date</t>
  </si>
  <si>
    <t>Obs.1</t>
  </si>
  <si>
    <t>Obs. 2</t>
  </si>
  <si>
    <t>Obs. 3</t>
  </si>
  <si>
    <t>Obs. 4</t>
  </si>
  <si>
    <t>Obs. 5</t>
  </si>
  <si>
    <t>Moyenne</t>
  </si>
  <si>
    <t>Étendue</t>
  </si>
  <si>
    <t>Carte des moyennes</t>
  </si>
  <si>
    <t>Carte des étendues</t>
  </si>
  <si>
    <t>LIC</t>
  </si>
  <si>
    <t>AXE</t>
  </si>
  <si>
    <t>LSC</t>
  </si>
  <si>
    <t>Échantillon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</si>
</sst>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2" fontId="2" fillId="0" borderId="1" xfId="0" applyNumberFormat="1" applyFont="1" applyBorder="1" applyAlignment="1">
      <alignment horizontal="center" vertical="center" wrapText="1" readingOrder="1"/>
    </xf>
    <xf numFmtId="164" fontId="2" fillId="0" borderId="1" xfId="0" applyNumberFormat="1" applyFont="1" applyBorder="1" applyAlignment="1">
      <alignment horizontal="center" vertical="center" wrapText="1" readingOrder="1"/>
    </xf>
    <xf numFmtId="2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1" fontId="2" fillId="0" borderId="1" xfId="0" applyNumberFormat="1" applyFont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16" fontId="1" fillId="0" borderId="1" xfId="0" applyNumberFormat="1" applyFont="1" applyBorder="1" applyAlignment="1">
      <alignment horizontal="left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D62BB-DBCD-4DE7-A762-D079889CEDFB}">
  <dimension ref="A1:Q23"/>
  <sheetViews>
    <sheetView tabSelected="1" workbookViewId="0"/>
  </sheetViews>
  <sheetFormatPr baseColWidth="10" defaultRowHeight="14.5" x14ac:dyDescent="0.35"/>
  <cols>
    <col min="2" max="2" width="15" customWidth="1"/>
    <col min="8" max="9" width="11.453125" style="2"/>
  </cols>
  <sheetData>
    <row r="1" spans="1:17" x14ac:dyDescent="0.35">
      <c r="K1" s="12" t="s">
        <v>8</v>
      </c>
      <c r="L1" s="12"/>
      <c r="M1" s="12"/>
      <c r="O1" s="12" t="s">
        <v>9</v>
      </c>
      <c r="P1" s="12"/>
      <c r="Q1" s="12"/>
    </row>
    <row r="2" spans="1:17" x14ac:dyDescent="0.35">
      <c r="A2" s="9" t="s">
        <v>0</v>
      </c>
      <c r="B2" s="10" t="s">
        <v>13</v>
      </c>
      <c r="C2" s="9" t="s">
        <v>1</v>
      </c>
      <c r="D2" s="9" t="s">
        <v>2</v>
      </c>
      <c r="E2" s="9" t="s">
        <v>3</v>
      </c>
      <c r="F2" s="9" t="s">
        <v>4</v>
      </c>
      <c r="G2" s="9" t="s">
        <v>5</v>
      </c>
      <c r="H2" s="9" t="s">
        <v>6</v>
      </c>
      <c r="I2" s="9" t="s">
        <v>7</v>
      </c>
      <c r="K2" s="9" t="s">
        <v>10</v>
      </c>
      <c r="L2" s="9" t="s">
        <v>11</v>
      </c>
      <c r="M2" s="9" t="s">
        <v>12</v>
      </c>
      <c r="O2" s="9" t="s">
        <v>10</v>
      </c>
      <c r="P2" s="9" t="s">
        <v>11</v>
      </c>
      <c r="Q2" s="9" t="s">
        <v>12</v>
      </c>
    </row>
    <row r="3" spans="1:17" x14ac:dyDescent="0.35">
      <c r="A3" s="11">
        <v>44409</v>
      </c>
      <c r="B3" s="13">
        <v>1</v>
      </c>
      <c r="C3" s="1">
        <v>5</v>
      </c>
      <c r="D3" s="1">
        <v>6</v>
      </c>
      <c r="E3" s="1">
        <v>8</v>
      </c>
      <c r="F3" s="1">
        <v>5</v>
      </c>
      <c r="G3" s="1">
        <v>6</v>
      </c>
      <c r="H3" s="4">
        <f>AVERAGE(C3:G3)</f>
        <v>6</v>
      </c>
      <c r="I3" s="1">
        <f>MAX(C3:G3)-MIN(C3:G3)</f>
        <v>3</v>
      </c>
      <c r="K3" s="3">
        <f>L$3-(0.577*I$23)</f>
        <v>2.9265999999999996</v>
      </c>
      <c r="L3" s="3">
        <f>H$23</f>
        <v>5.35</v>
      </c>
      <c r="M3" s="3">
        <f>L3+(0.577*I$23)</f>
        <v>7.7733999999999996</v>
      </c>
      <c r="O3" s="8">
        <f>0*I$23</f>
        <v>0</v>
      </c>
      <c r="P3" s="4">
        <f>I$23</f>
        <v>4.2</v>
      </c>
      <c r="Q3" s="3">
        <f>2.115*I$23</f>
        <v>8.8830000000000009</v>
      </c>
    </row>
    <row r="4" spans="1:17" x14ac:dyDescent="0.35">
      <c r="A4" s="11"/>
      <c r="B4" s="13">
        <v>2</v>
      </c>
      <c r="C4" s="1">
        <v>6</v>
      </c>
      <c r="D4" s="1">
        <v>5</v>
      </c>
      <c r="E4" s="1">
        <v>6</v>
      </c>
      <c r="F4" s="1">
        <v>8</v>
      </c>
      <c r="G4" s="1">
        <v>4</v>
      </c>
      <c r="H4" s="4">
        <f t="shared" ref="H4:H22" si="0">AVERAGE(C4:G4)</f>
        <v>5.8</v>
      </c>
      <c r="I4" s="1">
        <f t="shared" ref="I4:I22" si="1">MAX(C4:G4)-MIN(C4:G4)</f>
        <v>4</v>
      </c>
      <c r="K4" s="3">
        <f t="shared" ref="K4:K22" si="2">L$3-(0.577*I$23)</f>
        <v>2.9265999999999996</v>
      </c>
      <c r="L4" s="3">
        <f t="shared" ref="L4:L22" si="3">H$23</f>
        <v>5.35</v>
      </c>
      <c r="M4" s="3">
        <f t="shared" ref="M4:M22" si="4">L4+(0.577*I$23)</f>
        <v>7.7733999999999996</v>
      </c>
      <c r="O4" s="8">
        <f t="shared" ref="O4:O22" si="5">0*I$23</f>
        <v>0</v>
      </c>
      <c r="P4" s="4">
        <f t="shared" ref="P4:P22" si="6">I$23</f>
        <v>4.2</v>
      </c>
      <c r="Q4" s="3">
        <f t="shared" ref="Q4:Q22" si="7">2.115*I$23</f>
        <v>8.8830000000000009</v>
      </c>
    </row>
    <row r="5" spans="1:17" x14ac:dyDescent="0.35">
      <c r="A5" s="11"/>
      <c r="B5" s="13">
        <v>3</v>
      </c>
      <c r="C5" s="1">
        <v>7</v>
      </c>
      <c r="D5" s="1">
        <v>5</v>
      </c>
      <c r="E5" s="1">
        <v>5</v>
      </c>
      <c r="F5" s="1">
        <v>6</v>
      </c>
      <c r="G5" s="1">
        <v>3</v>
      </c>
      <c r="H5" s="4">
        <f t="shared" si="0"/>
        <v>5.2</v>
      </c>
      <c r="I5" s="1">
        <f t="shared" si="1"/>
        <v>4</v>
      </c>
      <c r="K5" s="3">
        <f t="shared" si="2"/>
        <v>2.9265999999999996</v>
      </c>
      <c r="L5" s="3">
        <f t="shared" si="3"/>
        <v>5.35</v>
      </c>
      <c r="M5" s="3">
        <f t="shared" si="4"/>
        <v>7.7733999999999996</v>
      </c>
      <c r="O5" s="8">
        <f t="shared" si="5"/>
        <v>0</v>
      </c>
      <c r="P5" s="4">
        <f t="shared" si="6"/>
        <v>4.2</v>
      </c>
      <c r="Q5" s="3">
        <f t="shared" si="7"/>
        <v>8.8830000000000009</v>
      </c>
    </row>
    <row r="6" spans="1:17" x14ac:dyDescent="0.35">
      <c r="A6" s="11">
        <v>44410</v>
      </c>
      <c r="B6" s="13">
        <v>4</v>
      </c>
      <c r="C6" s="1">
        <v>3</v>
      </c>
      <c r="D6" s="1">
        <v>7</v>
      </c>
      <c r="E6" s="1">
        <v>2</v>
      </c>
      <c r="F6" s="1">
        <v>5</v>
      </c>
      <c r="G6" s="1">
        <v>6</v>
      </c>
      <c r="H6" s="4">
        <f t="shared" si="0"/>
        <v>4.5999999999999996</v>
      </c>
      <c r="I6" s="1">
        <f t="shared" si="1"/>
        <v>5</v>
      </c>
      <c r="K6" s="3">
        <f t="shared" si="2"/>
        <v>2.9265999999999996</v>
      </c>
      <c r="L6" s="3">
        <f t="shared" si="3"/>
        <v>5.35</v>
      </c>
      <c r="M6" s="3">
        <f t="shared" si="4"/>
        <v>7.7733999999999996</v>
      </c>
      <c r="O6" s="8">
        <f t="shared" si="5"/>
        <v>0</v>
      </c>
      <c r="P6" s="4">
        <f t="shared" si="6"/>
        <v>4.2</v>
      </c>
      <c r="Q6" s="3">
        <f t="shared" si="7"/>
        <v>8.8830000000000009</v>
      </c>
    </row>
    <row r="7" spans="1:17" x14ac:dyDescent="0.35">
      <c r="A7" s="11"/>
      <c r="B7" s="13">
        <v>5</v>
      </c>
      <c r="C7" s="1">
        <v>3</v>
      </c>
      <c r="D7" s="1">
        <v>5</v>
      </c>
      <c r="E7" s="1">
        <v>9</v>
      </c>
      <c r="F7" s="1">
        <v>8</v>
      </c>
      <c r="G7" s="1">
        <v>4</v>
      </c>
      <c r="H7" s="4">
        <f t="shared" si="0"/>
        <v>5.8</v>
      </c>
      <c r="I7" s="1">
        <f t="shared" si="1"/>
        <v>6</v>
      </c>
      <c r="K7" s="3">
        <f t="shared" si="2"/>
        <v>2.9265999999999996</v>
      </c>
      <c r="L7" s="3">
        <f t="shared" si="3"/>
        <v>5.35</v>
      </c>
      <c r="M7" s="3">
        <f t="shared" si="4"/>
        <v>7.7733999999999996</v>
      </c>
      <c r="O7" s="8">
        <f t="shared" si="5"/>
        <v>0</v>
      </c>
      <c r="P7" s="4">
        <f t="shared" si="6"/>
        <v>4.2</v>
      </c>
      <c r="Q7" s="3">
        <f t="shared" si="7"/>
        <v>8.8830000000000009</v>
      </c>
    </row>
    <row r="8" spans="1:17" x14ac:dyDescent="0.35">
      <c r="A8" s="11"/>
      <c r="B8" s="13">
        <v>6</v>
      </c>
      <c r="C8" s="1">
        <v>6</v>
      </c>
      <c r="D8" s="1">
        <v>5</v>
      </c>
      <c r="E8" s="1">
        <v>6</v>
      </c>
      <c r="F8" s="1">
        <v>4</v>
      </c>
      <c r="G8" s="1">
        <v>5</v>
      </c>
      <c r="H8" s="4">
        <f t="shared" si="0"/>
        <v>5.2</v>
      </c>
      <c r="I8" s="1">
        <f t="shared" si="1"/>
        <v>2</v>
      </c>
      <c r="K8" s="3">
        <f t="shared" si="2"/>
        <v>2.9265999999999996</v>
      </c>
      <c r="L8" s="3">
        <f t="shared" si="3"/>
        <v>5.35</v>
      </c>
      <c r="M8" s="3">
        <f t="shared" si="4"/>
        <v>7.7733999999999996</v>
      </c>
      <c r="O8" s="8">
        <f t="shared" si="5"/>
        <v>0</v>
      </c>
      <c r="P8" s="4">
        <f t="shared" si="6"/>
        <v>4.2</v>
      </c>
      <c r="Q8" s="3">
        <f t="shared" si="7"/>
        <v>8.8830000000000009</v>
      </c>
    </row>
    <row r="9" spans="1:17" x14ac:dyDescent="0.35">
      <c r="A9" s="11">
        <v>44411</v>
      </c>
      <c r="B9" s="13">
        <v>7</v>
      </c>
      <c r="C9" s="1">
        <v>2</v>
      </c>
      <c r="D9" s="1">
        <v>6</v>
      </c>
      <c r="E9" s="1">
        <v>7</v>
      </c>
      <c r="F9" s="1">
        <v>3</v>
      </c>
      <c r="G9" s="1">
        <v>6</v>
      </c>
      <c r="H9" s="4">
        <f t="shared" si="0"/>
        <v>4.8</v>
      </c>
      <c r="I9" s="1">
        <f t="shared" si="1"/>
        <v>5</v>
      </c>
      <c r="K9" s="3">
        <f t="shared" si="2"/>
        <v>2.9265999999999996</v>
      </c>
      <c r="L9" s="3">
        <f t="shared" si="3"/>
        <v>5.35</v>
      </c>
      <c r="M9" s="3">
        <f t="shared" si="4"/>
        <v>7.7733999999999996</v>
      </c>
      <c r="O9" s="8">
        <f t="shared" si="5"/>
        <v>0</v>
      </c>
      <c r="P9" s="4">
        <f t="shared" si="6"/>
        <v>4.2</v>
      </c>
      <c r="Q9" s="3">
        <f t="shared" si="7"/>
        <v>8.8830000000000009</v>
      </c>
    </row>
    <row r="10" spans="1:17" x14ac:dyDescent="0.35">
      <c r="A10" s="11"/>
      <c r="B10" s="13">
        <v>8</v>
      </c>
      <c r="C10" s="1">
        <v>5</v>
      </c>
      <c r="D10" s="1">
        <v>6</v>
      </c>
      <c r="E10" s="1">
        <v>7</v>
      </c>
      <c r="F10" s="1">
        <v>5</v>
      </c>
      <c r="G10" s="1">
        <v>4</v>
      </c>
      <c r="H10" s="4">
        <f t="shared" si="0"/>
        <v>5.4</v>
      </c>
      <c r="I10" s="1">
        <f t="shared" si="1"/>
        <v>3</v>
      </c>
      <c r="K10" s="3">
        <f t="shared" si="2"/>
        <v>2.9265999999999996</v>
      </c>
      <c r="L10" s="3">
        <f t="shared" si="3"/>
        <v>5.35</v>
      </c>
      <c r="M10" s="3">
        <f t="shared" si="4"/>
        <v>7.7733999999999996</v>
      </c>
      <c r="O10" s="8">
        <f t="shared" si="5"/>
        <v>0</v>
      </c>
      <c r="P10" s="4">
        <f t="shared" si="6"/>
        <v>4.2</v>
      </c>
      <c r="Q10" s="3">
        <f t="shared" si="7"/>
        <v>8.8830000000000009</v>
      </c>
    </row>
    <row r="11" spans="1:17" x14ac:dyDescent="0.35">
      <c r="A11" s="11"/>
      <c r="B11" s="13">
        <v>9</v>
      </c>
      <c r="C11" s="1">
        <v>3</v>
      </c>
      <c r="D11" s="1">
        <v>3</v>
      </c>
      <c r="E11" s="1">
        <v>5</v>
      </c>
      <c r="F11" s="1">
        <v>7</v>
      </c>
      <c r="G11" s="1">
        <v>4</v>
      </c>
      <c r="H11" s="4">
        <f t="shared" si="0"/>
        <v>4.4000000000000004</v>
      </c>
      <c r="I11" s="1">
        <f t="shared" si="1"/>
        <v>4</v>
      </c>
      <c r="K11" s="3">
        <f t="shared" si="2"/>
        <v>2.9265999999999996</v>
      </c>
      <c r="L11" s="3">
        <f t="shared" si="3"/>
        <v>5.35</v>
      </c>
      <c r="M11" s="3">
        <f t="shared" si="4"/>
        <v>7.7733999999999996</v>
      </c>
      <c r="O11" s="8">
        <f t="shared" si="5"/>
        <v>0</v>
      </c>
      <c r="P11" s="4">
        <f t="shared" si="6"/>
        <v>4.2</v>
      </c>
      <c r="Q11" s="3">
        <f t="shared" si="7"/>
        <v>8.8830000000000009</v>
      </c>
    </row>
    <row r="12" spans="1:17" x14ac:dyDescent="0.35">
      <c r="A12" s="11">
        <v>44412</v>
      </c>
      <c r="B12" s="13">
        <v>10</v>
      </c>
      <c r="C12" s="1">
        <v>9</v>
      </c>
      <c r="D12" s="1">
        <v>3</v>
      </c>
      <c r="E12" s="1">
        <v>5</v>
      </c>
      <c r="F12" s="1">
        <v>6</v>
      </c>
      <c r="G12" s="1">
        <v>5</v>
      </c>
      <c r="H12" s="4">
        <f t="shared" si="0"/>
        <v>5.6</v>
      </c>
      <c r="I12" s="1">
        <f t="shared" si="1"/>
        <v>6</v>
      </c>
      <c r="K12" s="3">
        <f t="shared" si="2"/>
        <v>2.9265999999999996</v>
      </c>
      <c r="L12" s="3">
        <f t="shared" si="3"/>
        <v>5.35</v>
      </c>
      <c r="M12" s="3">
        <f t="shared" si="4"/>
        <v>7.7733999999999996</v>
      </c>
      <c r="O12" s="8">
        <f t="shared" si="5"/>
        <v>0</v>
      </c>
      <c r="P12" s="4">
        <f t="shared" si="6"/>
        <v>4.2</v>
      </c>
      <c r="Q12" s="3">
        <f t="shared" si="7"/>
        <v>8.8830000000000009</v>
      </c>
    </row>
    <row r="13" spans="1:17" x14ac:dyDescent="0.35">
      <c r="A13" s="11"/>
      <c r="B13" s="13">
        <v>11</v>
      </c>
      <c r="C13" s="1">
        <v>7</v>
      </c>
      <c r="D13" s="1">
        <v>5</v>
      </c>
      <c r="E13" s="1">
        <v>7</v>
      </c>
      <c r="F13" s="1">
        <v>2</v>
      </c>
      <c r="G13" s="1">
        <v>6</v>
      </c>
      <c r="H13" s="4">
        <f t="shared" si="0"/>
        <v>5.4</v>
      </c>
      <c r="I13" s="1">
        <f t="shared" si="1"/>
        <v>5</v>
      </c>
      <c r="K13" s="3">
        <f t="shared" si="2"/>
        <v>2.9265999999999996</v>
      </c>
      <c r="L13" s="3">
        <f t="shared" si="3"/>
        <v>5.35</v>
      </c>
      <c r="M13" s="3">
        <f t="shared" si="4"/>
        <v>7.7733999999999996</v>
      </c>
      <c r="O13" s="8">
        <f t="shared" si="5"/>
        <v>0</v>
      </c>
      <c r="P13" s="4">
        <f t="shared" si="6"/>
        <v>4.2</v>
      </c>
      <c r="Q13" s="3">
        <f t="shared" si="7"/>
        <v>8.8830000000000009</v>
      </c>
    </row>
    <row r="14" spans="1:17" x14ac:dyDescent="0.35">
      <c r="A14" s="11"/>
      <c r="B14" s="13">
        <v>12</v>
      </c>
      <c r="C14" s="1">
        <v>4</v>
      </c>
      <c r="D14" s="1">
        <v>6</v>
      </c>
      <c r="E14" s="1">
        <v>4</v>
      </c>
      <c r="F14" s="1">
        <v>6</v>
      </c>
      <c r="G14" s="1">
        <v>7</v>
      </c>
      <c r="H14" s="4">
        <f t="shared" si="0"/>
        <v>5.4</v>
      </c>
      <c r="I14" s="1">
        <f t="shared" si="1"/>
        <v>3</v>
      </c>
      <c r="K14" s="3">
        <f t="shared" si="2"/>
        <v>2.9265999999999996</v>
      </c>
      <c r="L14" s="3">
        <f t="shared" si="3"/>
        <v>5.35</v>
      </c>
      <c r="M14" s="3">
        <f t="shared" si="4"/>
        <v>7.7733999999999996</v>
      </c>
      <c r="O14" s="8">
        <f t="shared" si="5"/>
        <v>0</v>
      </c>
      <c r="P14" s="4">
        <f t="shared" si="6"/>
        <v>4.2</v>
      </c>
      <c r="Q14" s="3">
        <f t="shared" si="7"/>
        <v>8.8830000000000009</v>
      </c>
    </row>
    <row r="15" spans="1:17" x14ac:dyDescent="0.35">
      <c r="A15" s="11">
        <v>44413</v>
      </c>
      <c r="B15" s="13">
        <v>13</v>
      </c>
      <c r="C15" s="1">
        <v>3</v>
      </c>
      <c r="D15" s="1">
        <v>6</v>
      </c>
      <c r="E15" s="1">
        <v>6</v>
      </c>
      <c r="F15" s="1">
        <v>8</v>
      </c>
      <c r="G15" s="1">
        <v>6</v>
      </c>
      <c r="H15" s="4">
        <f t="shared" si="0"/>
        <v>5.8</v>
      </c>
      <c r="I15" s="1">
        <f t="shared" si="1"/>
        <v>5</v>
      </c>
      <c r="K15" s="3">
        <f t="shared" si="2"/>
        <v>2.9265999999999996</v>
      </c>
      <c r="L15" s="3">
        <f t="shared" si="3"/>
        <v>5.35</v>
      </c>
      <c r="M15" s="3">
        <f t="shared" si="4"/>
        <v>7.7733999999999996</v>
      </c>
      <c r="O15" s="8">
        <f t="shared" si="5"/>
        <v>0</v>
      </c>
      <c r="P15" s="4">
        <f t="shared" si="6"/>
        <v>4.2</v>
      </c>
      <c r="Q15" s="3">
        <f t="shared" si="7"/>
        <v>8.8830000000000009</v>
      </c>
    </row>
    <row r="16" spans="1:17" x14ac:dyDescent="0.35">
      <c r="A16" s="11"/>
      <c r="B16" s="13">
        <v>14</v>
      </c>
      <c r="C16" s="1">
        <v>8</v>
      </c>
      <c r="D16" s="1">
        <v>9</v>
      </c>
      <c r="E16" s="1">
        <v>8</v>
      </c>
      <c r="F16" s="1">
        <v>6</v>
      </c>
      <c r="G16" s="1">
        <v>4</v>
      </c>
      <c r="H16" s="4">
        <f t="shared" si="0"/>
        <v>7</v>
      </c>
      <c r="I16" s="1">
        <f t="shared" si="1"/>
        <v>5</v>
      </c>
      <c r="K16" s="3">
        <f t="shared" si="2"/>
        <v>2.9265999999999996</v>
      </c>
      <c r="L16" s="3">
        <f t="shared" si="3"/>
        <v>5.35</v>
      </c>
      <c r="M16" s="3">
        <f t="shared" si="4"/>
        <v>7.7733999999999996</v>
      </c>
      <c r="O16" s="8">
        <f t="shared" si="5"/>
        <v>0</v>
      </c>
      <c r="P16" s="4">
        <f t="shared" si="6"/>
        <v>4.2</v>
      </c>
      <c r="Q16" s="3">
        <f t="shared" si="7"/>
        <v>8.8830000000000009</v>
      </c>
    </row>
    <row r="17" spans="1:17" x14ac:dyDescent="0.35">
      <c r="A17" s="11"/>
      <c r="B17" s="13">
        <v>15</v>
      </c>
      <c r="C17" s="1">
        <v>6</v>
      </c>
      <c r="D17" s="1">
        <v>5</v>
      </c>
      <c r="E17" s="1">
        <v>7</v>
      </c>
      <c r="F17" s="1">
        <v>7</v>
      </c>
      <c r="G17" s="1">
        <v>3</v>
      </c>
      <c r="H17" s="4">
        <f t="shared" si="0"/>
        <v>5.6</v>
      </c>
      <c r="I17" s="1">
        <f t="shared" si="1"/>
        <v>4</v>
      </c>
      <c r="K17" s="3">
        <f t="shared" si="2"/>
        <v>2.9265999999999996</v>
      </c>
      <c r="L17" s="3">
        <f t="shared" si="3"/>
        <v>5.35</v>
      </c>
      <c r="M17" s="3">
        <f t="shared" si="4"/>
        <v>7.7733999999999996</v>
      </c>
      <c r="O17" s="8">
        <f t="shared" si="5"/>
        <v>0</v>
      </c>
      <c r="P17" s="4">
        <f t="shared" si="6"/>
        <v>4.2</v>
      </c>
      <c r="Q17" s="3">
        <f t="shared" si="7"/>
        <v>8.8830000000000009</v>
      </c>
    </row>
    <row r="18" spans="1:17" x14ac:dyDescent="0.35">
      <c r="A18" s="11">
        <v>44416</v>
      </c>
      <c r="B18" s="13">
        <v>16</v>
      </c>
      <c r="C18" s="1">
        <v>2</v>
      </c>
      <c r="D18" s="1">
        <v>4</v>
      </c>
      <c r="E18" s="1">
        <v>4</v>
      </c>
      <c r="F18" s="1">
        <v>7</v>
      </c>
      <c r="G18" s="1">
        <v>5</v>
      </c>
      <c r="H18" s="4">
        <f t="shared" si="0"/>
        <v>4.4000000000000004</v>
      </c>
      <c r="I18" s="1">
        <f t="shared" si="1"/>
        <v>5</v>
      </c>
      <c r="K18" s="3">
        <f t="shared" si="2"/>
        <v>2.9265999999999996</v>
      </c>
      <c r="L18" s="3">
        <f t="shared" si="3"/>
        <v>5.35</v>
      </c>
      <c r="M18" s="3">
        <f t="shared" si="4"/>
        <v>7.7733999999999996</v>
      </c>
      <c r="O18" s="8">
        <f t="shared" si="5"/>
        <v>0</v>
      </c>
      <c r="P18" s="4">
        <f t="shared" si="6"/>
        <v>4.2</v>
      </c>
      <c r="Q18" s="3">
        <f t="shared" si="7"/>
        <v>8.8830000000000009</v>
      </c>
    </row>
    <row r="19" spans="1:17" x14ac:dyDescent="0.35">
      <c r="A19" s="11"/>
      <c r="B19" s="13">
        <v>17</v>
      </c>
      <c r="C19" s="1">
        <v>6</v>
      </c>
      <c r="D19" s="1">
        <v>7</v>
      </c>
      <c r="E19" s="1">
        <v>6</v>
      </c>
      <c r="F19" s="1">
        <v>4</v>
      </c>
      <c r="G19" s="1">
        <v>4</v>
      </c>
      <c r="H19" s="4">
        <f t="shared" si="0"/>
        <v>5.4</v>
      </c>
      <c r="I19" s="1">
        <f t="shared" si="1"/>
        <v>3</v>
      </c>
      <c r="K19" s="3">
        <f t="shared" si="2"/>
        <v>2.9265999999999996</v>
      </c>
      <c r="L19" s="3">
        <f t="shared" si="3"/>
        <v>5.35</v>
      </c>
      <c r="M19" s="3">
        <f t="shared" si="4"/>
        <v>7.7733999999999996</v>
      </c>
      <c r="O19" s="8">
        <f t="shared" si="5"/>
        <v>0</v>
      </c>
      <c r="P19" s="4">
        <f t="shared" si="6"/>
        <v>4.2</v>
      </c>
      <c r="Q19" s="3">
        <f t="shared" si="7"/>
        <v>8.8830000000000009</v>
      </c>
    </row>
    <row r="20" spans="1:17" x14ac:dyDescent="0.35">
      <c r="A20" s="11"/>
      <c r="B20" s="13">
        <v>18</v>
      </c>
      <c r="C20" s="1">
        <v>8</v>
      </c>
      <c r="D20" s="1">
        <v>4</v>
      </c>
      <c r="E20" s="1">
        <v>6</v>
      </c>
      <c r="F20" s="1">
        <v>5</v>
      </c>
      <c r="G20" s="1">
        <v>7</v>
      </c>
      <c r="H20" s="4">
        <f t="shared" si="0"/>
        <v>6</v>
      </c>
      <c r="I20" s="1">
        <f t="shared" si="1"/>
        <v>4</v>
      </c>
      <c r="K20" s="3">
        <f t="shared" si="2"/>
        <v>2.9265999999999996</v>
      </c>
      <c r="L20" s="3">
        <f t="shared" si="3"/>
        <v>5.35</v>
      </c>
      <c r="M20" s="3">
        <f t="shared" si="4"/>
        <v>7.7733999999999996</v>
      </c>
      <c r="O20" s="8">
        <f t="shared" si="5"/>
        <v>0</v>
      </c>
      <c r="P20" s="4">
        <f t="shared" si="6"/>
        <v>4.2</v>
      </c>
      <c r="Q20" s="3">
        <f t="shared" si="7"/>
        <v>8.8830000000000009</v>
      </c>
    </row>
    <row r="21" spans="1:17" x14ac:dyDescent="0.35">
      <c r="A21" s="11">
        <v>44417</v>
      </c>
      <c r="B21" s="13">
        <v>19</v>
      </c>
      <c r="C21" s="1">
        <v>2</v>
      </c>
      <c r="D21" s="1">
        <v>5</v>
      </c>
      <c r="E21" s="1">
        <v>6</v>
      </c>
      <c r="F21" s="1">
        <v>6</v>
      </c>
      <c r="G21" s="1">
        <v>3</v>
      </c>
      <c r="H21" s="4">
        <f t="shared" si="0"/>
        <v>4.4000000000000004</v>
      </c>
      <c r="I21" s="1">
        <f t="shared" si="1"/>
        <v>4</v>
      </c>
      <c r="K21" s="3">
        <f t="shared" si="2"/>
        <v>2.9265999999999996</v>
      </c>
      <c r="L21" s="3">
        <f t="shared" si="3"/>
        <v>5.35</v>
      </c>
      <c r="M21" s="3">
        <f t="shared" si="4"/>
        <v>7.7733999999999996</v>
      </c>
      <c r="O21" s="8">
        <f t="shared" si="5"/>
        <v>0</v>
      </c>
      <c r="P21" s="4">
        <f t="shared" si="6"/>
        <v>4.2</v>
      </c>
      <c r="Q21" s="3">
        <f t="shared" si="7"/>
        <v>8.8830000000000009</v>
      </c>
    </row>
    <row r="22" spans="1:17" x14ac:dyDescent="0.35">
      <c r="A22" s="11"/>
      <c r="B22" s="13">
        <v>20</v>
      </c>
      <c r="C22" s="1">
        <v>2</v>
      </c>
      <c r="D22" s="1">
        <v>5</v>
      </c>
      <c r="E22" s="1">
        <v>6</v>
      </c>
      <c r="F22" s="1">
        <v>6</v>
      </c>
      <c r="G22" s="1">
        <v>5</v>
      </c>
      <c r="H22" s="4">
        <f t="shared" si="0"/>
        <v>4.8</v>
      </c>
      <c r="I22" s="1">
        <f t="shared" si="1"/>
        <v>4</v>
      </c>
      <c r="K22" s="3">
        <f t="shared" si="2"/>
        <v>2.9265999999999996</v>
      </c>
      <c r="L22" s="3">
        <f t="shared" si="3"/>
        <v>5.35</v>
      </c>
      <c r="M22" s="3">
        <f t="shared" si="4"/>
        <v>7.7733999999999996</v>
      </c>
      <c r="O22" s="8">
        <f t="shared" si="5"/>
        <v>0</v>
      </c>
      <c r="P22" s="4">
        <f t="shared" si="6"/>
        <v>4.2</v>
      </c>
      <c r="Q22" s="3">
        <f t="shared" si="7"/>
        <v>8.8830000000000009</v>
      </c>
    </row>
    <row r="23" spans="1:17" x14ac:dyDescent="0.35">
      <c r="G23" s="7" t="s">
        <v>6</v>
      </c>
      <c r="H23" s="5">
        <f>AVERAGE(H3:H22)</f>
        <v>5.35</v>
      </c>
      <c r="I23" s="6">
        <f>AVERAGE(I3:I22)</f>
        <v>4.2</v>
      </c>
    </row>
  </sheetData>
  <mergeCells count="9">
    <mergeCell ref="O1:Q1"/>
    <mergeCell ref="A21:A22"/>
    <mergeCell ref="K1:M1"/>
    <mergeCell ref="A3:A5"/>
    <mergeCell ref="A6:A8"/>
    <mergeCell ref="A9:A11"/>
    <mergeCell ref="A12:A14"/>
    <mergeCell ref="A15:A17"/>
    <mergeCell ref="A18:A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Données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veronique poirier</dc:creator>
  <cp:lastModifiedBy>veronique poirier</cp:lastModifiedBy>
  <dcterms:created xsi:type="dcterms:W3CDTF">2021-06-30T14:26:22Z</dcterms:created>
  <dcterms:modified xsi:type="dcterms:W3CDTF">2021-06-30T15:15:37Z</dcterms:modified>
</cp:coreProperties>
</file>