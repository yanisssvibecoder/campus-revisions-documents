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cmtl.sharepoint.com/sites/O365-Gestiondesoprations-H2026/Shared Documents/General/Exercices de fin de séance - français/02 - Prévisions/"/>
    </mc:Choice>
  </mc:AlternateContent>
  <xr:revisionPtr revIDLastSave="27" documentId="13_ncr:1_{EBB6E39E-DCDD-454F-914B-140FFBE2BBA9}" xr6:coauthVersionLast="47" xr6:coauthVersionMax="47" xr10:uidLastSave="{409A678F-B14F-475E-9D71-DFE991206BDE}"/>
  <bookViews>
    <workbookView xWindow="-108" yWindow="-108" windowWidth="23256" windowHeight="13896" firstSheet="1" activeTab="4" xr2:uid="{00000000-000D-0000-FFFF-FFFF00000000}"/>
  </bookViews>
  <sheets>
    <sheet name="Données" sheetId="1" r:id="rId1"/>
    <sheet name="Q1 - Graphique 1" sheetId="4" r:id="rId2"/>
    <sheet name="Q1 - Graphique 2" sheetId="5" r:id="rId3"/>
    <sheet name="Q3 - Prévisions non arrondies" sheetId="2" r:id="rId4"/>
    <sheet name="Q3 - Q4 - Prévisions arrondie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E40" i="3"/>
  <c r="F40" i="3"/>
  <c r="G40" i="3"/>
  <c r="G51" i="3" s="1"/>
  <c r="D41" i="3"/>
  <c r="E41" i="3"/>
  <c r="F41" i="3"/>
  <c r="G41" i="3"/>
  <c r="D42" i="3"/>
  <c r="E42" i="3"/>
  <c r="F42" i="3"/>
  <c r="G42" i="3"/>
  <c r="D43" i="3"/>
  <c r="E43" i="3"/>
  <c r="F43" i="3"/>
  <c r="G43" i="3"/>
  <c r="D44" i="3"/>
  <c r="E44" i="3"/>
  <c r="F44" i="3"/>
  <c r="G44" i="3"/>
  <c r="D45" i="3"/>
  <c r="E45" i="3"/>
  <c r="F45" i="3"/>
  <c r="G45" i="3"/>
  <c r="D46" i="3"/>
  <c r="E46" i="3"/>
  <c r="E51" i="3" s="1"/>
  <c r="F46" i="3"/>
  <c r="G46" i="3"/>
  <c r="D47" i="3"/>
  <c r="E47" i="3"/>
  <c r="F47" i="3"/>
  <c r="G47" i="3"/>
  <c r="D48" i="3"/>
  <c r="E48" i="3"/>
  <c r="F48" i="3"/>
  <c r="G48" i="3"/>
  <c r="D49" i="3"/>
  <c r="E49" i="3"/>
  <c r="F49" i="3"/>
  <c r="G49" i="3"/>
  <c r="D50" i="3"/>
  <c r="E50" i="3"/>
  <c r="F50" i="3"/>
  <c r="G50" i="3"/>
  <c r="E39" i="3"/>
  <c r="F39" i="3"/>
  <c r="G39" i="3"/>
  <c r="D39" i="3"/>
  <c r="D5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D27" i="3"/>
  <c r="E27" i="3"/>
  <c r="F27" i="3"/>
  <c r="G27" i="3"/>
  <c r="D28" i="3"/>
  <c r="E28" i="3"/>
  <c r="F28" i="3"/>
  <c r="G28" i="3"/>
  <c r="D29" i="3"/>
  <c r="E29" i="3"/>
  <c r="F29" i="3"/>
  <c r="G29" i="3"/>
  <c r="D30" i="3"/>
  <c r="E30" i="3"/>
  <c r="F30" i="3"/>
  <c r="G30" i="3"/>
  <c r="D31" i="3"/>
  <c r="E31" i="3"/>
  <c r="F31" i="3"/>
  <c r="G31" i="3"/>
  <c r="D32" i="3"/>
  <c r="E32" i="3"/>
  <c r="F32" i="3"/>
  <c r="G32" i="3"/>
  <c r="E21" i="3"/>
  <c r="F21" i="3"/>
  <c r="G21" i="3"/>
  <c r="D2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E4" i="3"/>
  <c r="F4" i="3"/>
  <c r="G4" i="3"/>
  <c r="G33" i="3" s="1"/>
  <c r="D4" i="3"/>
  <c r="G110" i="2"/>
  <c r="F110" i="2"/>
  <c r="E110" i="2"/>
  <c r="D110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F5" i="2"/>
  <c r="G5" i="2"/>
  <c r="F6" i="2"/>
  <c r="G6" i="2"/>
  <c r="G4" i="2"/>
  <c r="F4" i="2"/>
  <c r="G3" i="2"/>
  <c r="F3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8" i="2"/>
  <c r="E7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9" i="2"/>
  <c r="F51" i="3" l="1"/>
  <c r="F33" i="3"/>
  <c r="E33" i="3"/>
  <c r="D33" i="3"/>
  <c r="C14" i="1"/>
  <c r="D14" i="1"/>
  <c r="E14" i="1"/>
  <c r="F14" i="1"/>
  <c r="G14" i="1"/>
  <c r="H14" i="1"/>
  <c r="I14" i="1"/>
  <c r="J14" i="1"/>
  <c r="B14" i="1"/>
</calcChain>
</file>

<file path=xl/sharedStrings.xml><?xml version="1.0" encoding="utf-8"?>
<sst xmlns="http://schemas.openxmlformats.org/spreadsheetml/2006/main" count="318" uniqueCount="143">
  <si>
    <t>Mois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</si>
  <si>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</si>
  <si>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</si>
  <si>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</si>
  <si>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</si>
  <si>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</si>
  <si>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</si>
  <si>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</si>
  <si>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</si>
  <si>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</si>
  <si>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</si>
  <si>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</si>
  <si>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</si>
  <si>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</si>
  <si>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</si>
  <si>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</si>
  <si>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</si>
  <si>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</si>
  <si>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</si>
  <si>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</si>
  <si>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</si>
  <si>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</si>
  <si>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Demande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</si>
  <si>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</si>
  <si>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</si>
  <si>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</si>
  <si>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</si>
  <si>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</si>
  <si>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</si>
  <si>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</si>
  <si>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</si>
  <si>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</si>
  <si>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</si>
  <si>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</si>
  <si>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</si>
  <si>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</si>
  <si>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</si>
  <si>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</si>
  <si>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</si>
  <si>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</si>
  <si>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</si>
  <si>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</si>
  <si>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</si>
  <si>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</si>
  <si>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</si>
  <si>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</si>
  <si>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</si>
  <si>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</si>
  <si>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</si>
  <si>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</si>
  <si>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</si>
  <si>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</si>
  <si>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</si>
  <si>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</si>
  <si>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</si>
  <si>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</si>
  <si>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</si>
  <si>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</si>
  <si>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</si>
  <si>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</si>
  <si>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</si>
  <si>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</si>
  <si>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</si>
  <si>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</si>
  <si>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</si>
  <si>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</si>
  <si>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</si>
  <si>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</si>
  <si>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</si>
  <si>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</si>
  <si>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</si>
  <si>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</si>
  <si>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</si>
  <si>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</si>
  <si>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</si>
  <si>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</si>
  <si>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</si>
  <si>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</si>
  <si>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</si>
  <si>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</si>
  <si>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</si>
  <si>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</si>
  <si>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</si>
  <si>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</si>
  <si>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</si>
  <si>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</si>
  <si>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</si>
  <si>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</si>
  <si>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</si>
  <si>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</si>
  <si>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</si>
  <si>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</si>
  <si>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</si>
  <si>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</si>
  <si>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</si>
  <si>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</si>
  <si>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</si>
  <si>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</si>
  <si>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</si>
  <si>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</si>
  <si>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</si>
  <si>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</si>
  <si>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</si>
  <si>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</si>
  <si>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</si>
  <si>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</si>
  <si>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</si>
  <si>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</si>
  <si>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</si>
  <si>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</si>
  <si>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</si>
  <si>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</si>
  <si>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</si>
  <si>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</si>
  <si>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</si>
  <si>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</si>
  <si>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</si>
  <si>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</si>
  <si>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</si>
  <si>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</si>
  <si>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</si>
  <si>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</si>
  <si>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</si>
  <si>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</si>
  <si>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</si>
  <si>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</si>
  <si>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</si>
  <si>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</si>
  <si>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</si>
  <si>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</si>
  <si>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</si>
  <si>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Année</t>
  </si>
  <si>
    <t>Moyenne (EQM)</t>
  </si>
  <si>
    <t>K = 6</t>
  </si>
  <si>
    <t>K = 4, 10 % - 20 %, 30 %, 40 %</t>
  </si>
  <si>
    <t>Moyenne mobile pondérée</t>
  </si>
  <si>
    <t>Lissage exponentiel</t>
  </si>
  <si>
    <t>Total</t>
  </si>
  <si>
    <t>Prévisions arrondies 2025</t>
  </si>
  <si>
    <t>Écarts moyens 2025</t>
  </si>
  <si>
    <t>Écarts quadratiques moyens 2025</t>
  </si>
  <si>
    <t>Moyenne (EM)</t>
  </si>
  <si>
    <t>Moyenne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</si>
</sst>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[$-F800]dddd\,\ mmmm\ dd\,\ yyyy"/>
    <numFmt numFmtId="165" formatCode="_ * #,##0_)_ ;_ * \(#,##0\)_ ;_ * &quot;-&quot;??_)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 applyAlignment="1">
      <alignment horizontal="center" vertical="top"/>
    </xf>
    <xf numFmtId="43" fontId="0" fillId="0" borderId="1" xfId="1" applyFont="1" applyBorder="1"/>
    <xf numFmtId="0" fontId="0" fillId="0" borderId="2" xfId="0" applyBorder="1"/>
    <xf numFmtId="43" fontId="0" fillId="0" borderId="2" xfId="1" applyFont="1" applyBorder="1"/>
    <xf numFmtId="165" fontId="0" fillId="0" borderId="1" xfId="0" applyNumberFormat="1" applyBorder="1"/>
    <xf numFmtId="0" fontId="3" fillId="0" borderId="1" xfId="0" applyFont="1" applyBorder="1" applyAlignment="1">
      <alignment horizontal="right"/>
    </xf>
    <xf numFmtId="165" fontId="0" fillId="0" borderId="1" xfId="1" applyNumberFormat="1" applyFont="1" applyBorder="1"/>
    <xf numFmtId="165" fontId="3" fillId="0" borderId="1" xfId="1" applyNumberFormat="1" applyFont="1" applyBorder="1"/>
    <xf numFmtId="0" fontId="3" fillId="0" borderId="0" xfId="0" applyFont="1"/>
    <xf numFmtId="3" fontId="0" fillId="0" borderId="1" xfId="0" applyNumberFormat="1" applyBorder="1"/>
    <xf numFmtId="3" fontId="3" fillId="0" borderId="1" xfId="0" applyNumberFormat="1" applyFont="1" applyBorder="1"/>
    <xf numFmtId="3" fontId="3" fillId="3" borderId="1" xfId="0" applyNumberFormat="1" applyFont="1" applyFill="1" applyBorder="1"/>
    <xf numFmtId="3" fontId="3" fillId="2" borderId="1" xfId="0" applyNumberFormat="1" applyFont="1" applyFill="1" applyBorder="1"/>
    <xf numFmtId="3" fontId="3" fillId="4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Demande annuelle des 9 dernières années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Données!$B$14:$J$14</c:f>
              <c:numCache>
                <c:formatCode>_ * #,##0_)_ ;_ * \(#,##0\)_ ;_ * "-"??_)_ ;_ @_ </c:formatCode>
                <c:ptCount val="9"/>
                <c:pt idx="0">
                  <c:v>73509</c:v>
                </c:pt>
                <c:pt idx="1">
                  <c:v>72387</c:v>
                </c:pt>
                <c:pt idx="2">
                  <c:v>71508</c:v>
                </c:pt>
                <c:pt idx="3">
                  <c:v>70695</c:v>
                </c:pt>
                <c:pt idx="4">
                  <c:v>69581</c:v>
                </c:pt>
                <c:pt idx="5">
                  <c:v>68528</c:v>
                </c:pt>
                <c:pt idx="6">
                  <c:v>67816</c:v>
                </c:pt>
                <c:pt idx="7">
                  <c:v>67165</c:v>
                </c:pt>
                <c:pt idx="8">
                  <c:v>66649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8-4BFC-B94E-DAA4CD447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376224"/>
        <c:axId val="432368544"/>
      </c:lineChart>
      <c:catAx>
        <c:axId val="432376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368544"/>
        <c:crosses val="autoZero"/>
        <c:auto val="1"/>
        <c:lblAlgn val="ctr"/>
        <c:lblOffset val="100"/>
        <c:noMultiLvlLbl val="0"/>
      </c:catAx>
      <c:valAx>
        <c:axId val="4323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)_ ;_ * \(#,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37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Demande mensuelle</a:t>
            </a:r>
            <a:r>
              <a:rPr lang="fr-CA" baseline="0"/>
              <a:t> des 9 dernières années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Données!$B$1</c:f>
              <c:strCache>
                <c:ptCount val="1"/>
                <c:pt idx="0">
                  <c:v>A2017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Données!$A$2:$A$13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Données!$B$2:$B$13</c:f>
              <c:numCache>
                <c:formatCode>_ * #,##0_)_ ;_ * \(#,##0\)_ ;_ * "-"??_)_ ;_ @_ </c:formatCode>
                <c:ptCount val="12"/>
                <c:pt idx="0">
                  <c:v>6036</c:v>
                </c:pt>
                <c:pt idx="1">
                  <c:v>6049</c:v>
                </c:pt>
                <c:pt idx="2">
                  <c:v>5810</c:v>
                </c:pt>
                <c:pt idx="3">
                  <c:v>6100</c:v>
                </c:pt>
                <c:pt idx="4">
                  <c:v>6013</c:v>
                </c:pt>
                <c:pt idx="5">
                  <c:v>6204</c:v>
                </c:pt>
                <c:pt idx="6">
                  <c:v>6068</c:v>
                </c:pt>
                <c:pt idx="7">
                  <c:v>6254</c:v>
                </c:pt>
                <c:pt idx="8">
                  <c:v>6629</c:v>
                </c:pt>
                <c:pt idx="9">
                  <c:v>6137</c:v>
                </c:pt>
                <c:pt idx="10">
                  <c:v>6050</c:v>
                </c:pt>
                <c:pt idx="11">
                  <c:v>6159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A-4EFD-AE3A-37AE9566C6CA}"/>
            </c:ext>
          </c:extLst>
        </c:ser>
        <c:ser>
          <c:idx val="1"/>
          <c:order val="1"/>
          <c:tx>
            <c:strRef>
              <c:f>Données!$C$1</c:f>
              <c:strCache>
                <c:ptCount val="1"/>
                <c:pt idx="0">
                  <c:v>A2018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Données!$A$2:$A$13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Données!$C$2:$C$13</c:f>
              <c:numCache>
                <c:formatCode>_ * #,##0_)_ ;_ * \(#,##0\)_ ;_ * "-"??_)_ ;_ @_ </c:formatCode>
                <c:ptCount val="12"/>
                <c:pt idx="0">
                  <c:v>5873</c:v>
                </c:pt>
                <c:pt idx="1">
                  <c:v>5991</c:v>
                </c:pt>
                <c:pt idx="2">
                  <c:v>5807</c:v>
                </c:pt>
                <c:pt idx="3">
                  <c:v>6076</c:v>
                </c:pt>
                <c:pt idx="4">
                  <c:v>5905</c:v>
                </c:pt>
                <c:pt idx="5">
                  <c:v>5976</c:v>
                </c:pt>
                <c:pt idx="6">
                  <c:v>5997</c:v>
                </c:pt>
                <c:pt idx="7">
                  <c:v>6182</c:v>
                </c:pt>
                <c:pt idx="8">
                  <c:v>6418</c:v>
                </c:pt>
                <c:pt idx="9">
                  <c:v>6177</c:v>
                </c:pt>
                <c:pt idx="10">
                  <c:v>6037</c:v>
                </c:pt>
                <c:pt idx="11">
                  <c:v>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A-4EFD-AE3A-37AE9566C6CA}"/>
            </c:ext>
          </c:extLst>
        </c:ser>
        <c:ser>
          <c:idx val="2"/>
          <c:order val="2"/>
          <c:tx>
            <c:strRef>
              <c:f>Données!$D$1</c:f>
              <c:strCache>
                <c:ptCount val="1"/>
                <c:pt idx="0">
                  <c:v>A2019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Données!$A$2:$A$13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Données!$D$2:$D$13</c:f>
              <c:numCache>
                <c:formatCode>_ * #,##0_)_ ;_ * \(#,##0\)_ ;_ * "-"??_)_ ;_ @_ </c:formatCode>
                <c:ptCount val="12"/>
                <c:pt idx="0">
                  <c:v>5895</c:v>
                </c:pt>
                <c:pt idx="1">
                  <c:v>5976</c:v>
                </c:pt>
                <c:pt idx="2">
                  <c:v>5639</c:v>
                </c:pt>
                <c:pt idx="3">
                  <c:v>5905</c:v>
                </c:pt>
                <c:pt idx="4">
                  <c:v>5895</c:v>
                </c:pt>
                <c:pt idx="5">
                  <c:v>5931</c:v>
                </c:pt>
                <c:pt idx="6">
                  <c:v>5861</c:v>
                </c:pt>
                <c:pt idx="7">
                  <c:v>6181</c:v>
                </c:pt>
                <c:pt idx="8">
                  <c:v>6355</c:v>
                </c:pt>
                <c:pt idx="9">
                  <c:v>6028</c:v>
                </c:pt>
                <c:pt idx="10">
                  <c:v>5888</c:v>
                </c:pt>
                <c:pt idx="11">
                  <c:v>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0A-4EFD-AE3A-37AE9566C6CA}"/>
            </c:ext>
          </c:extLst>
        </c:ser>
        <c:ser>
          <c:idx val="3"/>
          <c:order val="3"/>
          <c:tx>
            <c:strRef>
              <c:f>Données!$E$1</c:f>
              <c:strCache>
                <c:ptCount val="1"/>
                <c:pt idx="0">
                  <c:v>A2020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Données!$A$2:$A$13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Données!$E$2:$E$13</c:f>
              <c:numCache>
                <c:formatCode>_ * #,##0_)_ ;_ * \(#,##0\)_ ;_ * "-"??_)_ ;_ @_ </c:formatCode>
                <c:ptCount val="12"/>
                <c:pt idx="0">
                  <c:v>5761</c:v>
                </c:pt>
                <c:pt idx="1">
                  <c:v>5825</c:v>
                </c:pt>
                <c:pt idx="2">
                  <c:v>5669</c:v>
                </c:pt>
                <c:pt idx="3">
                  <c:v>5890</c:v>
                </c:pt>
                <c:pt idx="4">
                  <c:v>5737</c:v>
                </c:pt>
                <c:pt idx="5">
                  <c:v>5848</c:v>
                </c:pt>
                <c:pt idx="6">
                  <c:v>5896</c:v>
                </c:pt>
                <c:pt idx="7">
                  <c:v>6055</c:v>
                </c:pt>
                <c:pt idx="8">
                  <c:v>6378</c:v>
                </c:pt>
                <c:pt idx="9">
                  <c:v>5998</c:v>
                </c:pt>
                <c:pt idx="10">
                  <c:v>5842</c:v>
                </c:pt>
                <c:pt idx="11">
                  <c:v>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0A-4EFD-AE3A-37AE9566C6CA}"/>
            </c:ext>
          </c:extLst>
        </c:ser>
        <c:ser>
          <c:idx val="4"/>
          <c:order val="4"/>
          <c:tx>
            <c:strRef>
              <c:f>Données!$F$1</c:f>
              <c:strCache>
                <c:ptCount val="1"/>
                <c:pt idx="0">
                  <c:v>A2021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Données!$A$2:$A$13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Données!$F$2:$F$13</c:f>
              <c:numCache>
                <c:formatCode>_ * #,##0_)_ ;_ * \(#,##0\)_ ;_ * "-"??_)_ ;_ @_ </c:formatCode>
                <c:ptCount val="12"/>
                <c:pt idx="0">
                  <c:v>5704</c:v>
                </c:pt>
                <c:pt idx="1">
                  <c:v>5831</c:v>
                </c:pt>
                <c:pt idx="2">
                  <c:v>5585</c:v>
                </c:pt>
                <c:pt idx="3">
                  <c:v>5677</c:v>
                </c:pt>
                <c:pt idx="4">
                  <c:v>5697</c:v>
                </c:pt>
                <c:pt idx="5">
                  <c:v>5836</c:v>
                </c:pt>
                <c:pt idx="6">
                  <c:v>5732</c:v>
                </c:pt>
                <c:pt idx="7">
                  <c:v>5948</c:v>
                </c:pt>
                <c:pt idx="8">
                  <c:v>6208</c:v>
                </c:pt>
                <c:pt idx="9">
                  <c:v>5845</c:v>
                </c:pt>
                <c:pt idx="10">
                  <c:v>5724</c:v>
                </c:pt>
                <c:pt idx="11">
                  <c:v>5794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0A-4EFD-AE3A-37AE9566C6CA}"/>
            </c:ext>
          </c:extLst>
        </c:ser>
        <c:ser>
          <c:idx val="5"/>
          <c:order val="5"/>
          <c:tx>
            <c:strRef>
              <c:f>Données!$G$1</c:f>
              <c:strCache>
                <c:ptCount val="1"/>
                <c:pt idx="0">
                  <c:v>A2022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Données!$A$2:$A$13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Données!$G$2:$G$13</c:f>
              <c:numCache>
                <c:formatCode>_ * #,##0_)_ ;_ * \(#,##0\)_ ;_ * "-"??_)_ ;_ @_ </c:formatCode>
                <c:ptCount val="12"/>
                <c:pt idx="0">
                  <c:v>5534</c:v>
                </c:pt>
                <c:pt idx="1">
                  <c:v>5672</c:v>
                </c:pt>
                <c:pt idx="2">
                  <c:v>5419</c:v>
                </c:pt>
                <c:pt idx="3">
                  <c:v>5733</c:v>
                </c:pt>
                <c:pt idx="4">
                  <c:v>5591</c:v>
                </c:pt>
                <c:pt idx="5">
                  <c:v>5709</c:v>
                </c:pt>
                <c:pt idx="6">
                  <c:v>5622</c:v>
                </c:pt>
                <c:pt idx="7">
                  <c:v>5917</c:v>
                </c:pt>
                <c:pt idx="8">
                  <c:v>6131</c:v>
                </c:pt>
                <c:pt idx="9">
                  <c:v>5869</c:v>
                </c:pt>
                <c:pt idx="10">
                  <c:v>5704</c:v>
                </c:pt>
                <c:pt idx="11">
                  <c:v>5627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0A-4EFD-AE3A-37AE9566C6CA}"/>
            </c:ext>
          </c:extLst>
        </c:ser>
        <c:ser>
          <c:idx val="6"/>
          <c:order val="6"/>
          <c:tx>
            <c:strRef>
              <c:f>Données!$H$1</c:f>
              <c:strCache>
                <c:ptCount val="1"/>
                <c:pt idx="0">
                  <c:v>A2023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Données!$A$2:$A$13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Données!$H$2:$H$13</c:f>
              <c:numCache>
                <c:formatCode>_ * #,##0_)_ ;_ * \(#,##0\)_ ;_ * "-"??_)_ ;_ @_ </c:formatCode>
                <c:ptCount val="12"/>
                <c:pt idx="0">
                  <c:v>5607</c:v>
                </c:pt>
                <c:pt idx="1">
                  <c:v>5584</c:v>
                </c:pt>
                <c:pt idx="2">
                  <c:v>5358</c:v>
                </c:pt>
                <c:pt idx="3">
                  <c:v>5628</c:v>
                </c:pt>
                <c:pt idx="4">
                  <c:v>5563</c:v>
                </c:pt>
                <c:pt idx="5">
                  <c:v>5616</c:v>
                </c:pt>
                <c:pt idx="6">
                  <c:v>5490</c:v>
                </c:pt>
                <c:pt idx="7">
                  <c:v>5894</c:v>
                </c:pt>
                <c:pt idx="8">
                  <c:v>6165</c:v>
                </c:pt>
                <c:pt idx="9">
                  <c:v>5677</c:v>
                </c:pt>
                <c:pt idx="10">
                  <c:v>5548</c:v>
                </c:pt>
                <c:pt idx="11">
                  <c:v>5686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0A-4EFD-AE3A-37AE9566C6CA}"/>
            </c:ext>
          </c:extLst>
        </c:ser>
        <c:ser>
          <c:idx val="7"/>
          <c:order val="7"/>
          <c:tx>
            <c:strRef>
              <c:f>Données!$I$1</c:f>
              <c:strCache>
                <c:ptCount val="1"/>
                <c:pt idx="0">
                  <c:v>A2024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Données!$A$2:$A$13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Données!$I$2:$I$13</c:f>
              <c:numCache>
                <c:formatCode>_ * #,##0_)_ ;_ * \(#,##0\)_ ;_ * "-"??_)_ ;_ @_ </c:formatCode>
                <c:ptCount val="12"/>
                <c:pt idx="0">
                  <c:v>5446</c:v>
                </c:pt>
                <c:pt idx="1">
                  <c:v>5591</c:v>
                </c:pt>
                <c:pt idx="2">
                  <c:v>5377</c:v>
                </c:pt>
                <c:pt idx="3">
                  <c:v>5505</c:v>
                </c:pt>
                <c:pt idx="4">
                  <c:v>5525</c:v>
                </c:pt>
                <c:pt idx="5">
                  <c:v>5502</c:v>
                </c:pt>
                <c:pt idx="6">
                  <c:v>5591</c:v>
                </c:pt>
                <c:pt idx="7">
                  <c:v>5781</c:v>
                </c:pt>
                <c:pt idx="8">
                  <c:v>6072</c:v>
                </c:pt>
                <c:pt idx="9">
                  <c:v>5700</c:v>
                </c:pt>
                <c:pt idx="10">
                  <c:v>5465</c:v>
                </c:pt>
                <c:pt idx="11">
                  <c:v>5610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0A-4EFD-AE3A-37AE9566C6CA}"/>
            </c:ext>
          </c:extLst>
        </c:ser>
        <c:ser>
          <c:idx val="8"/>
          <c:order val="8"/>
          <c:tx>
            <c:strRef>
              <c:f>Données!$J$1</c:f>
              <c:strCache>
                <c:ptCount val="1"/>
                <c:pt idx="0">
                  <c:v>A2025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Données!$A$2:$A$13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Données!$J$2:$J$13</c:f>
              <c:numCache>
                <c:formatCode>_ * #,##0_)_ ;_ * \(#,##0\)_ ;_ * "-"??_)_ ;_ @_ </c:formatCode>
                <c:ptCount val="12"/>
                <c:pt idx="0">
                  <c:v>5503</c:v>
                </c:pt>
                <c:pt idx="1">
                  <c:v>5569</c:v>
                </c:pt>
                <c:pt idx="2">
                  <c:v>5297</c:v>
                </c:pt>
                <c:pt idx="3">
                  <c:v>5530</c:v>
                </c:pt>
                <c:pt idx="4">
                  <c:v>5401</c:v>
                </c:pt>
                <c:pt idx="5">
                  <c:v>5532</c:v>
                </c:pt>
                <c:pt idx="6">
                  <c:v>5495</c:v>
                </c:pt>
                <c:pt idx="7">
                  <c:v>5805</c:v>
                </c:pt>
                <c:pt idx="8">
                  <c:v>5999</c:v>
                </c:pt>
                <c:pt idx="9">
                  <c:v>5538</c:v>
                </c:pt>
                <c:pt idx="10">
                  <c:v>5445</c:v>
                </c:pt>
                <c:pt idx="11">
                  <c:v>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0A-4EFD-AE3A-37AE9566C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072144"/>
        <c:axId val="2056073104"/>
      </c:lineChart>
      <c:catAx>
        <c:axId val="20560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6073104"/>
        <c:crosses val="autoZero"/>
        <c:auto val="1"/>
        <c:lblAlgn val="ctr"/>
        <c:lblOffset val="100"/>
        <c:noMultiLvlLbl val="0"/>
      </c:catAx>
      <c:valAx>
        <c:axId val="2056073104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)_ ;_ * \(#,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60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Demande mensuelle des 9 dernières</a:t>
            </a:r>
            <a:r>
              <a:rPr lang="fr-CA" baseline="0"/>
              <a:t> années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Données!$B$17:$B$124</c:f>
              <c:numCache>
                <c:formatCode>General</c:formatCode>
                <c:ptCount val="108"/>
                <c:pt idx="0">
                  <c:v>6036</c:v>
                </c:pt>
                <c:pt idx="1">
                  <c:v>6049</c:v>
                </c:pt>
                <c:pt idx="2">
                  <c:v>5810</c:v>
                </c:pt>
                <c:pt idx="3">
                  <c:v>6100</c:v>
                </c:pt>
                <c:pt idx="4">
                  <c:v>6013</c:v>
                </c:pt>
                <c:pt idx="5">
                  <c:v>6204</c:v>
                </c:pt>
                <c:pt idx="6">
                  <c:v>6068</c:v>
                </c:pt>
                <c:pt idx="7">
                  <c:v>6254</c:v>
                </c:pt>
                <c:pt idx="8">
                  <c:v>6629</c:v>
                </c:pt>
                <c:pt idx="9">
                  <c:v>6137</c:v>
                </c:pt>
                <c:pt idx="10">
                  <c:v>6050</c:v>
                </c:pt>
                <c:pt idx="11">
                  <c:v>6159</c:v>
                </c:pt>
                <c:pt idx="12">
                  <c:v>5873</c:v>
                </c:pt>
                <c:pt idx="13">
                  <c:v>5991</c:v>
                </c:pt>
                <c:pt idx="14">
                  <c:v>5807</c:v>
                </c:pt>
                <c:pt idx="15">
                  <c:v>6076</c:v>
                </c:pt>
                <c:pt idx="16">
                  <c:v>5905</c:v>
                </c:pt>
                <c:pt idx="17">
                  <c:v>5976</c:v>
                </c:pt>
                <c:pt idx="18">
                  <c:v>5997</c:v>
                </c:pt>
                <c:pt idx="19">
                  <c:v>6182</c:v>
                </c:pt>
                <c:pt idx="20">
                  <c:v>6418</c:v>
                </c:pt>
                <c:pt idx="21">
                  <c:v>6177</c:v>
                </c:pt>
                <c:pt idx="22">
                  <c:v>6037</c:v>
                </c:pt>
                <c:pt idx="23">
                  <c:v>5948</c:v>
                </c:pt>
                <c:pt idx="24">
                  <c:v>5895</c:v>
                </c:pt>
                <c:pt idx="25">
                  <c:v>5976</c:v>
                </c:pt>
                <c:pt idx="26">
                  <c:v>5639</c:v>
                </c:pt>
                <c:pt idx="27">
                  <c:v>5905</c:v>
                </c:pt>
                <c:pt idx="28">
                  <c:v>5895</c:v>
                </c:pt>
                <c:pt idx="29">
                  <c:v>5931</c:v>
                </c:pt>
                <c:pt idx="30">
                  <c:v>5861</c:v>
                </c:pt>
                <c:pt idx="31">
                  <c:v>6181</c:v>
                </c:pt>
                <c:pt idx="32">
                  <c:v>6355</c:v>
                </c:pt>
                <c:pt idx="33">
                  <c:v>6028</c:v>
                </c:pt>
                <c:pt idx="34">
                  <c:v>5888</c:v>
                </c:pt>
                <c:pt idx="35">
                  <c:v>5954</c:v>
                </c:pt>
                <c:pt idx="36">
                  <c:v>5761</c:v>
                </c:pt>
                <c:pt idx="37">
                  <c:v>5825</c:v>
                </c:pt>
                <c:pt idx="38">
                  <c:v>5669</c:v>
                </c:pt>
                <c:pt idx="39">
                  <c:v>5890</c:v>
                </c:pt>
                <c:pt idx="40">
                  <c:v>5737</c:v>
                </c:pt>
                <c:pt idx="41">
                  <c:v>5848</c:v>
                </c:pt>
                <c:pt idx="42">
                  <c:v>5896</c:v>
                </c:pt>
                <c:pt idx="43">
                  <c:v>6055</c:v>
                </c:pt>
                <c:pt idx="44">
                  <c:v>6378</c:v>
                </c:pt>
                <c:pt idx="45">
                  <c:v>5998</c:v>
                </c:pt>
                <c:pt idx="46">
                  <c:v>5842</c:v>
                </c:pt>
                <c:pt idx="47">
                  <c:v>5796</c:v>
                </c:pt>
                <c:pt idx="48">
                  <c:v>5704</c:v>
                </c:pt>
                <c:pt idx="49">
                  <c:v>5831</c:v>
                </c:pt>
                <c:pt idx="50">
                  <c:v>5585</c:v>
                </c:pt>
                <c:pt idx="51">
                  <c:v>5677</c:v>
                </c:pt>
                <c:pt idx="52">
                  <c:v>5697</c:v>
                </c:pt>
                <c:pt idx="53">
                  <c:v>5836</c:v>
                </c:pt>
                <c:pt idx="54">
                  <c:v>5732</c:v>
                </c:pt>
                <c:pt idx="55">
                  <c:v>5948</c:v>
                </c:pt>
                <c:pt idx="56">
                  <c:v>6208</c:v>
                </c:pt>
                <c:pt idx="57">
                  <c:v>5845</c:v>
                </c:pt>
                <c:pt idx="58">
                  <c:v>5724</c:v>
                </c:pt>
                <c:pt idx="59">
                  <c:v>5794</c:v>
                </c:pt>
                <c:pt idx="60">
                  <c:v>5534</c:v>
                </c:pt>
                <c:pt idx="61">
                  <c:v>5672</c:v>
                </c:pt>
                <c:pt idx="62">
                  <c:v>5419</c:v>
                </c:pt>
                <c:pt idx="63">
                  <c:v>5733</c:v>
                </c:pt>
                <c:pt idx="64">
                  <c:v>5591</c:v>
                </c:pt>
                <c:pt idx="65">
                  <c:v>5709</c:v>
                </c:pt>
                <c:pt idx="66">
                  <c:v>5622</c:v>
                </c:pt>
                <c:pt idx="67">
                  <c:v>5917</c:v>
                </c:pt>
                <c:pt idx="68">
                  <c:v>6131</c:v>
                </c:pt>
                <c:pt idx="69">
                  <c:v>5869</c:v>
                </c:pt>
                <c:pt idx="70">
                  <c:v>5704</c:v>
                </c:pt>
                <c:pt idx="71">
                  <c:v>5627</c:v>
                </c:pt>
                <c:pt idx="72">
                  <c:v>5607</c:v>
                </c:pt>
                <c:pt idx="73">
                  <c:v>5584</c:v>
                </c:pt>
                <c:pt idx="74">
                  <c:v>5358</c:v>
                </c:pt>
                <c:pt idx="75">
                  <c:v>5628</c:v>
                </c:pt>
                <c:pt idx="76">
                  <c:v>5563</c:v>
                </c:pt>
                <c:pt idx="77">
                  <c:v>5616</c:v>
                </c:pt>
                <c:pt idx="78">
                  <c:v>5490</c:v>
                </c:pt>
                <c:pt idx="79">
                  <c:v>5894</c:v>
                </c:pt>
                <c:pt idx="80">
                  <c:v>6165</c:v>
                </c:pt>
                <c:pt idx="81">
                  <c:v>5677</c:v>
                </c:pt>
                <c:pt idx="82">
                  <c:v>5548</c:v>
                </c:pt>
                <c:pt idx="83">
                  <c:v>5686</c:v>
                </c:pt>
                <c:pt idx="84">
                  <c:v>5446</c:v>
                </c:pt>
                <c:pt idx="85">
                  <c:v>5591</c:v>
                </c:pt>
                <c:pt idx="86">
                  <c:v>5377</c:v>
                </c:pt>
                <c:pt idx="87">
                  <c:v>5505</c:v>
                </c:pt>
                <c:pt idx="88">
                  <c:v>5525</c:v>
                </c:pt>
                <c:pt idx="89">
                  <c:v>5502</c:v>
                </c:pt>
                <c:pt idx="90">
                  <c:v>5591</c:v>
                </c:pt>
                <c:pt idx="91">
                  <c:v>5781</c:v>
                </c:pt>
                <c:pt idx="92">
                  <c:v>6072</c:v>
                </c:pt>
                <c:pt idx="93">
                  <c:v>5700</c:v>
                </c:pt>
                <c:pt idx="94">
                  <c:v>5465</c:v>
                </c:pt>
                <c:pt idx="95">
                  <c:v>5610</c:v>
                </c:pt>
                <c:pt idx="96">
                  <c:v>5503</c:v>
                </c:pt>
                <c:pt idx="97">
                  <c:v>5569</c:v>
                </c:pt>
                <c:pt idx="98">
                  <c:v>5297</c:v>
                </c:pt>
                <c:pt idx="99">
                  <c:v>5530</c:v>
                </c:pt>
                <c:pt idx="100">
                  <c:v>5401</c:v>
                </c:pt>
                <c:pt idx="101">
                  <c:v>5532</c:v>
                </c:pt>
                <c:pt idx="102">
                  <c:v>5495</c:v>
                </c:pt>
                <c:pt idx="103">
                  <c:v>5805</c:v>
                </c:pt>
                <c:pt idx="104">
                  <c:v>5999</c:v>
                </c:pt>
                <c:pt idx="105">
                  <c:v>5538</c:v>
                </c:pt>
                <c:pt idx="106">
                  <c:v>5445</c:v>
                </c:pt>
                <c:pt idx="107">
                  <c:v>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F-4632-A484-093A676C4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755040"/>
        <c:axId val="432352704"/>
      </c:lineChart>
      <c:catAx>
        <c:axId val="420755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2352704"/>
        <c:crosses val="autoZero"/>
        <c:auto val="1"/>
        <c:lblAlgn val="ctr"/>
        <c:lblOffset val="100"/>
        <c:noMultiLvlLbl val="0"/>
      </c:catAx>
      <c:valAx>
        <c:axId val="432352704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75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B3DF0D-2B64-4368-AB45-9C1B59EBC090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839491-979D-4E92-B61A-033452AE2E9C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250825</xdr:colOff>
      <xdr:row>14</xdr:row>
      <xdr:rowOff>165100</xdr:rowOff>
    </xdr:from>
    <xdr:to>
      <xdr:col>9</xdr:col>
      <xdr:colOff>98425</xdr:colOff>
      <xdr:row>29</xdr:row>
      <xdr:rowOff>146050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298E1D4-AE18-7126-BA17-5F24A7877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411B629-555F-E68C-FCA1-98167F7E98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BA160D-204E-6094-22FF-44A830C895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"/>
  <sheetViews>
    <sheetView zoomScaleNormal="100" workbookViewId="0">
      <selection activeCell="O1" sqref="O1"/>
    </sheetView>
  </sheetViews>
  <sheetFormatPr baseColWidth="10" defaultColWidth="8.6640625" defaultRowHeight="14.4" x14ac:dyDescent="0.3"/>
  <cols>
    <col min="1" max="1" width="12.109375" customWidth="1"/>
    <col min="2" max="10" width="11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10">
        <v>6036</v>
      </c>
      <c r="C2" s="10">
        <v>5873</v>
      </c>
      <c r="D2" s="10">
        <v>5895</v>
      </c>
      <c r="E2" s="10">
        <v>5761</v>
      </c>
      <c r="F2" s="10">
        <v>5704</v>
      </c>
      <c r="G2" s="10">
        <v>5534</v>
      </c>
      <c r="H2" s="10">
        <v>5607</v>
      </c>
      <c r="I2" s="10">
        <v>5446</v>
      </c>
      <c r="J2" s="10">
        <v>5503</v>
      </c>
    </row>
    <row r="3" spans="1:10" x14ac:dyDescent="0.3">
      <c r="A3" s="2" t="s">
        <v>11</v>
      </c>
      <c r="B3" s="10">
        <v>6049</v>
      </c>
      <c r="C3" s="10">
        <v>5991</v>
      </c>
      <c r="D3" s="10">
        <v>5976</v>
      </c>
      <c r="E3" s="10">
        <v>5825</v>
      </c>
      <c r="F3" s="10">
        <v>5831</v>
      </c>
      <c r="G3" s="10">
        <v>5672</v>
      </c>
      <c r="H3" s="10">
        <v>5584</v>
      </c>
      <c r="I3" s="10">
        <v>5591</v>
      </c>
      <c r="J3" s="10">
        <v>5569</v>
      </c>
    </row>
    <row r="4" spans="1:10" x14ac:dyDescent="0.3">
      <c r="A4" s="2" t="s">
        <v>12</v>
      </c>
      <c r="B4" s="10">
        <v>5810</v>
      </c>
      <c r="C4" s="10">
        <v>5807</v>
      </c>
      <c r="D4" s="10">
        <v>5639</v>
      </c>
      <c r="E4" s="10">
        <v>5669</v>
      </c>
      <c r="F4" s="10">
        <v>5585</v>
      </c>
      <c r="G4" s="10">
        <v>5419</v>
      </c>
      <c r="H4" s="10">
        <v>5358</v>
      </c>
      <c r="I4" s="10">
        <v>5377</v>
      </c>
      <c r="J4" s="10">
        <v>5297</v>
      </c>
    </row>
    <row r="5" spans="1:10" x14ac:dyDescent="0.3">
      <c r="A5" s="2" t="s">
        <v>13</v>
      </c>
      <c r="B5" s="10">
        <v>6100</v>
      </c>
      <c r="C5" s="10">
        <v>6076</v>
      </c>
      <c r="D5" s="10">
        <v>5905</v>
      </c>
      <c r="E5" s="10">
        <v>5890</v>
      </c>
      <c r="F5" s="10">
        <v>5677</v>
      </c>
      <c r="G5" s="10">
        <v>5733</v>
      </c>
      <c r="H5" s="10">
        <v>5628</v>
      </c>
      <c r="I5" s="10">
        <v>5505</v>
      </c>
      <c r="J5" s="10">
        <v>5530</v>
      </c>
    </row>
    <row r="6" spans="1:10" x14ac:dyDescent="0.3">
      <c r="A6" s="2" t="s">
        <v>14</v>
      </c>
      <c r="B6" s="10">
        <v>6013</v>
      </c>
      <c r="C6" s="10">
        <v>5905</v>
      </c>
      <c r="D6" s="10">
        <v>5895</v>
      </c>
      <c r="E6" s="10">
        <v>5737</v>
      </c>
      <c r="F6" s="10">
        <v>5697</v>
      </c>
      <c r="G6" s="10">
        <v>5591</v>
      </c>
      <c r="H6" s="10">
        <v>5563</v>
      </c>
      <c r="I6" s="10">
        <v>5525</v>
      </c>
      <c r="J6" s="10">
        <v>5401</v>
      </c>
    </row>
    <row r="7" spans="1:10" x14ac:dyDescent="0.3">
      <c r="A7" s="2" t="s">
        <v>15</v>
      </c>
      <c r="B7" s="10">
        <v>6204</v>
      </c>
      <c r="C7" s="10">
        <v>5976</v>
      </c>
      <c r="D7" s="10">
        <v>5931</v>
      </c>
      <c r="E7" s="10">
        <v>5848</v>
      </c>
      <c r="F7" s="10">
        <v>5836</v>
      </c>
      <c r="G7" s="10">
        <v>5709</v>
      </c>
      <c r="H7" s="10">
        <v>5616</v>
      </c>
      <c r="I7" s="10">
        <v>5502</v>
      </c>
      <c r="J7" s="10">
        <v>5532</v>
      </c>
    </row>
    <row r="8" spans="1:10" x14ac:dyDescent="0.3">
      <c r="A8" s="2" t="s">
        <v>16</v>
      </c>
      <c r="B8" s="10">
        <v>6068</v>
      </c>
      <c r="C8" s="10">
        <v>5997</v>
      </c>
      <c r="D8" s="10">
        <v>5861</v>
      </c>
      <c r="E8" s="10">
        <v>5896</v>
      </c>
      <c r="F8" s="10">
        <v>5732</v>
      </c>
      <c r="G8" s="10">
        <v>5622</v>
      </c>
      <c r="H8" s="10">
        <v>5490</v>
      </c>
      <c r="I8" s="10">
        <v>5591</v>
      </c>
      <c r="J8" s="10">
        <v>5495</v>
      </c>
    </row>
    <row r="9" spans="1:10" x14ac:dyDescent="0.3">
      <c r="A9" s="2" t="s">
        <v>17</v>
      </c>
      <c r="B9" s="10">
        <v>6254</v>
      </c>
      <c r="C9" s="10">
        <v>6182</v>
      </c>
      <c r="D9" s="10">
        <v>6181</v>
      </c>
      <c r="E9" s="10">
        <v>6055</v>
      </c>
      <c r="F9" s="10">
        <v>5948</v>
      </c>
      <c r="G9" s="10">
        <v>5917</v>
      </c>
      <c r="H9" s="10">
        <v>5894</v>
      </c>
      <c r="I9" s="10">
        <v>5781</v>
      </c>
      <c r="J9" s="10">
        <v>5805</v>
      </c>
    </row>
    <row r="10" spans="1:10" x14ac:dyDescent="0.3">
      <c r="A10" s="2" t="s">
        <v>18</v>
      </c>
      <c r="B10" s="10">
        <v>6629</v>
      </c>
      <c r="C10" s="10">
        <v>6418</v>
      </c>
      <c r="D10" s="10">
        <v>6355</v>
      </c>
      <c r="E10" s="10">
        <v>6378</v>
      </c>
      <c r="F10" s="10">
        <v>6208</v>
      </c>
      <c r="G10" s="10">
        <v>6131</v>
      </c>
      <c r="H10" s="10">
        <v>6165</v>
      </c>
      <c r="I10" s="10">
        <v>6072</v>
      </c>
      <c r="J10" s="10">
        <v>5999</v>
      </c>
    </row>
    <row r="11" spans="1:10" x14ac:dyDescent="0.3">
      <c r="A11" s="2" t="s">
        <v>19</v>
      </c>
      <c r="B11" s="10">
        <v>6137</v>
      </c>
      <c r="C11" s="10">
        <v>6177</v>
      </c>
      <c r="D11" s="10">
        <v>6028</v>
      </c>
      <c r="E11" s="10">
        <v>5998</v>
      </c>
      <c r="F11" s="10">
        <v>5845</v>
      </c>
      <c r="G11" s="10">
        <v>5869</v>
      </c>
      <c r="H11" s="10">
        <v>5677</v>
      </c>
      <c r="I11" s="10">
        <v>5700</v>
      </c>
      <c r="J11" s="10">
        <v>5538</v>
      </c>
    </row>
    <row r="12" spans="1:10" x14ac:dyDescent="0.3">
      <c r="A12" s="2" t="s">
        <v>20</v>
      </c>
      <c r="B12" s="10">
        <v>6050</v>
      </c>
      <c r="C12" s="10">
        <v>6037</v>
      </c>
      <c r="D12" s="10">
        <v>5888</v>
      </c>
      <c r="E12" s="10">
        <v>5842</v>
      </c>
      <c r="F12" s="10">
        <v>5724</v>
      </c>
      <c r="G12" s="10">
        <v>5704</v>
      </c>
      <c r="H12" s="10">
        <v>5548</v>
      </c>
      <c r="I12" s="10">
        <v>5465</v>
      </c>
      <c r="J12" s="10">
        <v>5445</v>
      </c>
    </row>
    <row r="13" spans="1:10" x14ac:dyDescent="0.3">
      <c r="A13" s="2" t="s">
        <v>21</v>
      </c>
      <c r="B13" s="10">
        <v>6159</v>
      </c>
      <c r="C13" s="10">
        <v>5948</v>
      </c>
      <c r="D13" s="10">
        <v>5954</v>
      </c>
      <c r="E13" s="10">
        <v>5796</v>
      </c>
      <c r="F13" s="10">
        <v>5794</v>
      </c>
      <c r="G13" s="10">
        <v>5627</v>
      </c>
      <c r="H13" s="10">
        <v>5686</v>
      </c>
      <c r="I13" s="10">
        <v>5610</v>
      </c>
      <c r="J13" s="10">
        <v>5535</v>
      </c>
    </row>
    <row r="14" spans="1:10" x14ac:dyDescent="0.3">
      <c r="A14" s="9" t="s">
        <v>137</v>
      </c>
      <c r="B14" s="11">
        <f>SUM(B2:B13)</f>
        <v>73509</v>
      </c>
      <c r="C14" s="11">
        <f t="shared" ref="C14:J14" si="0">SUM(C2:C13)</f>
        <v>72387</v>
      </c>
      <c r="D14" s="11">
        <f t="shared" si="0"/>
        <v>71508</v>
      </c>
      <c r="E14" s="11">
        <f t="shared" si="0"/>
        <v>70695</v>
      </c>
      <c r="F14" s="11">
        <f t="shared" si="0"/>
        <v>69581</v>
      </c>
      <c r="G14" s="11">
        <f t="shared" si="0"/>
        <v>68528</v>
      </c>
      <c r="H14" s="11">
        <f t="shared" si="0"/>
        <v>67816</v>
      </c>
      <c r="I14" s="11">
        <f t="shared" si="0"/>
        <v>67165</v>
      </c>
      <c r="J14" s="11">
        <f t="shared" si="0"/>
        <v>66649</v>
      </c>
    </row>
    <row r="16" spans="1:10" x14ac:dyDescent="0.3">
      <c r="A16" s="1" t="s">
        <v>0</v>
      </c>
      <c r="B16" s="1" t="s">
        <v>22</v>
      </c>
    </row>
    <row r="17" spans="1:2" x14ac:dyDescent="0.3">
      <c r="A17" s="3" t="s">
        <v>23</v>
      </c>
      <c r="B17" s="2">
        <v>6036</v>
      </c>
    </row>
    <row r="18" spans="1:2" x14ac:dyDescent="0.3">
      <c r="A18" s="2" t="s">
        <v>24</v>
      </c>
      <c r="B18" s="2">
        <v>6049</v>
      </c>
    </row>
    <row r="19" spans="1:2" x14ac:dyDescent="0.3">
      <c r="A19" s="2" t="s">
        <v>25</v>
      </c>
      <c r="B19" s="2">
        <v>5810</v>
      </c>
    </row>
    <row r="20" spans="1:2" x14ac:dyDescent="0.3">
      <c r="A20" s="2" t="s">
        <v>26</v>
      </c>
      <c r="B20" s="2">
        <v>6100</v>
      </c>
    </row>
    <row r="21" spans="1:2" x14ac:dyDescent="0.3">
      <c r="A21" s="2" t="s">
        <v>27</v>
      </c>
      <c r="B21" s="2">
        <v>6013</v>
      </c>
    </row>
    <row r="22" spans="1:2" x14ac:dyDescent="0.3">
      <c r="A22" s="2" t="s">
        <v>28</v>
      </c>
      <c r="B22" s="2">
        <v>6204</v>
      </c>
    </row>
    <row r="23" spans="1:2" x14ac:dyDescent="0.3">
      <c r="A23" s="2" t="s">
        <v>29</v>
      </c>
      <c r="B23" s="2">
        <v>6068</v>
      </c>
    </row>
    <row r="24" spans="1:2" x14ac:dyDescent="0.3">
      <c r="A24" s="2" t="s">
        <v>30</v>
      </c>
      <c r="B24" s="2">
        <v>6254</v>
      </c>
    </row>
    <row r="25" spans="1:2" x14ac:dyDescent="0.3">
      <c r="A25" s="2" t="s">
        <v>31</v>
      </c>
      <c r="B25" s="2">
        <v>6629</v>
      </c>
    </row>
    <row r="26" spans="1:2" x14ac:dyDescent="0.3">
      <c r="A26" s="2" t="s">
        <v>32</v>
      </c>
      <c r="B26" s="2">
        <v>6137</v>
      </c>
    </row>
    <row r="27" spans="1:2" x14ac:dyDescent="0.3">
      <c r="A27" s="2" t="s">
        <v>33</v>
      </c>
      <c r="B27" s="2">
        <v>6050</v>
      </c>
    </row>
    <row r="28" spans="1:2" x14ac:dyDescent="0.3">
      <c r="A28" s="2" t="s">
        <v>34</v>
      </c>
      <c r="B28" s="2">
        <v>6159</v>
      </c>
    </row>
    <row r="29" spans="1:2" x14ac:dyDescent="0.3">
      <c r="A29" s="2" t="s">
        <v>35</v>
      </c>
      <c r="B29" s="2">
        <v>5873</v>
      </c>
    </row>
    <row r="30" spans="1:2" x14ac:dyDescent="0.3">
      <c r="A30" s="2" t="s">
        <v>36</v>
      </c>
      <c r="B30" s="2">
        <v>5991</v>
      </c>
    </row>
    <row r="31" spans="1:2" x14ac:dyDescent="0.3">
      <c r="A31" s="2" t="s">
        <v>37</v>
      </c>
      <c r="B31" s="2">
        <v>5807</v>
      </c>
    </row>
    <row r="32" spans="1:2" x14ac:dyDescent="0.3">
      <c r="A32" s="2" t="s">
        <v>38</v>
      </c>
      <c r="B32" s="2">
        <v>6076</v>
      </c>
    </row>
    <row r="33" spans="1:2" x14ac:dyDescent="0.3">
      <c r="A33" s="2" t="s">
        <v>39</v>
      </c>
      <c r="B33" s="2">
        <v>5905</v>
      </c>
    </row>
    <row r="34" spans="1:2" x14ac:dyDescent="0.3">
      <c r="A34" s="2" t="s">
        <v>40</v>
      </c>
      <c r="B34" s="2">
        <v>5976</v>
      </c>
    </row>
    <row r="35" spans="1:2" x14ac:dyDescent="0.3">
      <c r="A35" s="2" t="s">
        <v>41</v>
      </c>
      <c r="B35" s="2">
        <v>5997</v>
      </c>
    </row>
    <row r="36" spans="1:2" x14ac:dyDescent="0.3">
      <c r="A36" s="2" t="s">
        <v>42</v>
      </c>
      <c r="B36" s="2">
        <v>6182</v>
      </c>
    </row>
    <row r="37" spans="1:2" x14ac:dyDescent="0.3">
      <c r="A37" s="2" t="s">
        <v>43</v>
      </c>
      <c r="B37" s="2">
        <v>6418</v>
      </c>
    </row>
    <row r="38" spans="1:2" x14ac:dyDescent="0.3">
      <c r="A38" s="2" t="s">
        <v>44</v>
      </c>
      <c r="B38" s="2">
        <v>6177</v>
      </c>
    </row>
    <row r="39" spans="1:2" x14ac:dyDescent="0.3">
      <c r="A39" s="2" t="s">
        <v>45</v>
      </c>
      <c r="B39" s="2">
        <v>6037</v>
      </c>
    </row>
    <row r="40" spans="1:2" x14ac:dyDescent="0.3">
      <c r="A40" s="2" t="s">
        <v>46</v>
      </c>
      <c r="B40" s="2">
        <v>5948</v>
      </c>
    </row>
    <row r="41" spans="1:2" x14ac:dyDescent="0.3">
      <c r="A41" s="2" t="s">
        <v>47</v>
      </c>
      <c r="B41" s="2">
        <v>5895</v>
      </c>
    </row>
    <row r="42" spans="1:2" x14ac:dyDescent="0.3">
      <c r="A42" s="2" t="s">
        <v>48</v>
      </c>
      <c r="B42" s="2">
        <v>5976</v>
      </c>
    </row>
    <row r="43" spans="1:2" x14ac:dyDescent="0.3">
      <c r="A43" s="2" t="s">
        <v>49</v>
      </c>
      <c r="B43" s="2">
        <v>5639</v>
      </c>
    </row>
    <row r="44" spans="1:2" x14ac:dyDescent="0.3">
      <c r="A44" s="2" t="s">
        <v>50</v>
      </c>
      <c r="B44" s="2">
        <v>5905</v>
      </c>
    </row>
    <row r="45" spans="1:2" x14ac:dyDescent="0.3">
      <c r="A45" s="2" t="s">
        <v>51</v>
      </c>
      <c r="B45" s="2">
        <v>5895</v>
      </c>
    </row>
    <row r="46" spans="1:2" x14ac:dyDescent="0.3">
      <c r="A46" s="2" t="s">
        <v>52</v>
      </c>
      <c r="B46" s="2">
        <v>5931</v>
      </c>
    </row>
    <row r="47" spans="1:2" x14ac:dyDescent="0.3">
      <c r="A47" s="2" t="s">
        <v>53</v>
      </c>
      <c r="B47" s="2">
        <v>5861</v>
      </c>
    </row>
    <row r="48" spans="1:2" x14ac:dyDescent="0.3">
      <c r="A48" s="2" t="s">
        <v>54</v>
      </c>
      <c r="B48" s="2">
        <v>6181</v>
      </c>
    </row>
    <row r="49" spans="1:2" x14ac:dyDescent="0.3">
      <c r="A49" s="2" t="s">
        <v>55</v>
      </c>
      <c r="B49" s="2">
        <v>6355</v>
      </c>
    </row>
    <row r="50" spans="1:2" x14ac:dyDescent="0.3">
      <c r="A50" s="2" t="s">
        <v>56</v>
      </c>
      <c r="B50" s="2">
        <v>6028</v>
      </c>
    </row>
    <row r="51" spans="1:2" x14ac:dyDescent="0.3">
      <c r="A51" s="2" t="s">
        <v>57</v>
      </c>
      <c r="B51" s="2">
        <v>5888</v>
      </c>
    </row>
    <row r="52" spans="1:2" x14ac:dyDescent="0.3">
      <c r="A52" s="2" t="s">
        <v>58</v>
      </c>
      <c r="B52" s="2">
        <v>5954</v>
      </c>
    </row>
    <row r="53" spans="1:2" x14ac:dyDescent="0.3">
      <c r="A53" s="2" t="s">
        <v>59</v>
      </c>
      <c r="B53" s="2">
        <v>5761</v>
      </c>
    </row>
    <row r="54" spans="1:2" x14ac:dyDescent="0.3">
      <c r="A54" s="2" t="s">
        <v>60</v>
      </c>
      <c r="B54" s="2">
        <v>5825</v>
      </c>
    </row>
    <row r="55" spans="1:2" x14ac:dyDescent="0.3">
      <c r="A55" s="2" t="s">
        <v>61</v>
      </c>
      <c r="B55" s="2">
        <v>5669</v>
      </c>
    </row>
    <row r="56" spans="1:2" x14ac:dyDescent="0.3">
      <c r="A56" s="2" t="s">
        <v>62</v>
      </c>
      <c r="B56" s="2">
        <v>5890</v>
      </c>
    </row>
    <row r="57" spans="1:2" x14ac:dyDescent="0.3">
      <c r="A57" s="2" t="s">
        <v>63</v>
      </c>
      <c r="B57" s="2">
        <v>5737</v>
      </c>
    </row>
    <row r="58" spans="1:2" x14ac:dyDescent="0.3">
      <c r="A58" s="2" t="s">
        <v>64</v>
      </c>
      <c r="B58" s="2">
        <v>5848</v>
      </c>
    </row>
    <row r="59" spans="1:2" x14ac:dyDescent="0.3">
      <c r="A59" s="2" t="s">
        <v>65</v>
      </c>
      <c r="B59" s="2">
        <v>5896</v>
      </c>
    </row>
    <row r="60" spans="1:2" x14ac:dyDescent="0.3">
      <c r="A60" s="2" t="s">
        <v>66</v>
      </c>
      <c r="B60" s="2">
        <v>6055</v>
      </c>
    </row>
    <row r="61" spans="1:2" x14ac:dyDescent="0.3">
      <c r="A61" s="2" t="s">
        <v>67</v>
      </c>
      <c r="B61" s="2">
        <v>6378</v>
      </c>
    </row>
    <row r="62" spans="1:2" x14ac:dyDescent="0.3">
      <c r="A62" s="2" t="s">
        <v>68</v>
      </c>
      <c r="B62" s="2">
        <v>5998</v>
      </c>
    </row>
    <row r="63" spans="1:2" x14ac:dyDescent="0.3">
      <c r="A63" s="2" t="s">
        <v>69</v>
      </c>
      <c r="B63" s="2">
        <v>5842</v>
      </c>
    </row>
    <row r="64" spans="1:2" x14ac:dyDescent="0.3">
      <c r="A64" s="2" t="s">
        <v>70</v>
      </c>
      <c r="B64" s="2">
        <v>5796</v>
      </c>
    </row>
    <row r="65" spans="1:2" x14ac:dyDescent="0.3">
      <c r="A65" s="2" t="s">
        <v>71</v>
      </c>
      <c r="B65" s="2">
        <v>5704</v>
      </c>
    </row>
    <row r="66" spans="1:2" x14ac:dyDescent="0.3">
      <c r="A66" s="2" t="s">
        <v>72</v>
      </c>
      <c r="B66" s="2">
        <v>5831</v>
      </c>
    </row>
    <row r="67" spans="1:2" x14ac:dyDescent="0.3">
      <c r="A67" s="2" t="s">
        <v>73</v>
      </c>
      <c r="B67" s="2">
        <v>5585</v>
      </c>
    </row>
    <row r="68" spans="1:2" x14ac:dyDescent="0.3">
      <c r="A68" s="2" t="s">
        <v>74</v>
      </c>
      <c r="B68" s="2">
        <v>5677</v>
      </c>
    </row>
    <row r="69" spans="1:2" x14ac:dyDescent="0.3">
      <c r="A69" s="2" t="s">
        <v>75</v>
      </c>
      <c r="B69" s="2">
        <v>5697</v>
      </c>
    </row>
    <row r="70" spans="1:2" x14ac:dyDescent="0.3">
      <c r="A70" s="2" t="s">
        <v>76</v>
      </c>
      <c r="B70" s="2">
        <v>5836</v>
      </c>
    </row>
    <row r="71" spans="1:2" x14ac:dyDescent="0.3">
      <c r="A71" s="2" t="s">
        <v>77</v>
      </c>
      <c r="B71" s="2">
        <v>5732</v>
      </c>
    </row>
    <row r="72" spans="1:2" x14ac:dyDescent="0.3">
      <c r="A72" s="2" t="s">
        <v>78</v>
      </c>
      <c r="B72" s="2">
        <v>5948</v>
      </c>
    </row>
    <row r="73" spans="1:2" x14ac:dyDescent="0.3">
      <c r="A73" s="2" t="s">
        <v>79</v>
      </c>
      <c r="B73" s="2">
        <v>6208</v>
      </c>
    </row>
    <row r="74" spans="1:2" x14ac:dyDescent="0.3">
      <c r="A74" s="2" t="s">
        <v>80</v>
      </c>
      <c r="B74" s="2">
        <v>5845</v>
      </c>
    </row>
    <row r="75" spans="1:2" x14ac:dyDescent="0.3">
      <c r="A75" s="2" t="s">
        <v>81</v>
      </c>
      <c r="B75" s="2">
        <v>5724</v>
      </c>
    </row>
    <row r="76" spans="1:2" x14ac:dyDescent="0.3">
      <c r="A76" s="2" t="s">
        <v>82</v>
      </c>
      <c r="B76" s="2">
        <v>5794</v>
      </c>
    </row>
    <row r="77" spans="1:2" x14ac:dyDescent="0.3">
      <c r="A77" s="2" t="s">
        <v>83</v>
      </c>
      <c r="B77" s="2">
        <v>5534</v>
      </c>
    </row>
    <row r="78" spans="1:2" x14ac:dyDescent="0.3">
      <c r="A78" s="2" t="s">
        <v>84</v>
      </c>
      <c r="B78" s="2">
        <v>5672</v>
      </c>
    </row>
    <row r="79" spans="1:2" x14ac:dyDescent="0.3">
      <c r="A79" s="2" t="s">
        <v>85</v>
      </c>
      <c r="B79" s="2">
        <v>5419</v>
      </c>
    </row>
    <row r="80" spans="1:2" x14ac:dyDescent="0.3">
      <c r="A80" s="2" t="s">
        <v>86</v>
      </c>
      <c r="B80" s="2">
        <v>5733</v>
      </c>
    </row>
    <row r="81" spans="1:2" x14ac:dyDescent="0.3">
      <c r="A81" s="2" t="s">
        <v>87</v>
      </c>
      <c r="B81" s="2">
        <v>5591</v>
      </c>
    </row>
    <row r="82" spans="1:2" x14ac:dyDescent="0.3">
      <c r="A82" s="2" t="s">
        <v>88</v>
      </c>
      <c r="B82" s="2">
        <v>5709</v>
      </c>
    </row>
    <row r="83" spans="1:2" x14ac:dyDescent="0.3">
      <c r="A83" s="2" t="s">
        <v>89</v>
      </c>
      <c r="B83" s="2">
        <v>5622</v>
      </c>
    </row>
    <row r="84" spans="1:2" x14ac:dyDescent="0.3">
      <c r="A84" s="2" t="s">
        <v>90</v>
      </c>
      <c r="B84" s="2">
        <v>5917</v>
      </c>
    </row>
    <row r="85" spans="1:2" x14ac:dyDescent="0.3">
      <c r="A85" s="2" t="s">
        <v>91</v>
      </c>
      <c r="B85" s="2">
        <v>6131</v>
      </c>
    </row>
    <row r="86" spans="1:2" x14ac:dyDescent="0.3">
      <c r="A86" s="2" t="s">
        <v>92</v>
      </c>
      <c r="B86" s="2">
        <v>5869</v>
      </c>
    </row>
    <row r="87" spans="1:2" x14ac:dyDescent="0.3">
      <c r="A87" s="2" t="s">
        <v>93</v>
      </c>
      <c r="B87" s="2">
        <v>5704</v>
      </c>
    </row>
    <row r="88" spans="1:2" x14ac:dyDescent="0.3">
      <c r="A88" s="2" t="s">
        <v>94</v>
      </c>
      <c r="B88" s="2">
        <v>5627</v>
      </c>
    </row>
    <row r="89" spans="1:2" x14ac:dyDescent="0.3">
      <c r="A89" s="2" t="s">
        <v>95</v>
      </c>
      <c r="B89" s="2">
        <v>5607</v>
      </c>
    </row>
    <row r="90" spans="1:2" x14ac:dyDescent="0.3">
      <c r="A90" s="2" t="s">
        <v>96</v>
      </c>
      <c r="B90" s="2">
        <v>5584</v>
      </c>
    </row>
    <row r="91" spans="1:2" x14ac:dyDescent="0.3">
      <c r="A91" s="2" t="s">
        <v>97</v>
      </c>
      <c r="B91" s="2">
        <v>5358</v>
      </c>
    </row>
    <row r="92" spans="1:2" x14ac:dyDescent="0.3">
      <c r="A92" s="2" t="s">
        <v>98</v>
      </c>
      <c r="B92" s="2">
        <v>5628</v>
      </c>
    </row>
    <row r="93" spans="1:2" x14ac:dyDescent="0.3">
      <c r="A93" s="2" t="s">
        <v>99</v>
      </c>
      <c r="B93" s="2">
        <v>5563</v>
      </c>
    </row>
    <row r="94" spans="1:2" x14ac:dyDescent="0.3">
      <c r="A94" s="2" t="s">
        <v>100</v>
      </c>
      <c r="B94" s="2">
        <v>5616</v>
      </c>
    </row>
    <row r="95" spans="1:2" x14ac:dyDescent="0.3">
      <c r="A95" s="2" t="s">
        <v>101</v>
      </c>
      <c r="B95" s="2">
        <v>5490</v>
      </c>
    </row>
    <row r="96" spans="1:2" x14ac:dyDescent="0.3">
      <c r="A96" s="2" t="s">
        <v>102</v>
      </c>
      <c r="B96" s="2">
        <v>5894</v>
      </c>
    </row>
    <row r="97" spans="1:2" x14ac:dyDescent="0.3">
      <c r="A97" s="2" t="s">
        <v>103</v>
      </c>
      <c r="B97" s="2">
        <v>6165</v>
      </c>
    </row>
    <row r="98" spans="1:2" x14ac:dyDescent="0.3">
      <c r="A98" s="2" t="s">
        <v>104</v>
      </c>
      <c r="B98" s="2">
        <v>5677</v>
      </c>
    </row>
    <row r="99" spans="1:2" x14ac:dyDescent="0.3">
      <c r="A99" s="2" t="s">
        <v>105</v>
      </c>
      <c r="B99" s="2">
        <v>5548</v>
      </c>
    </row>
    <row r="100" spans="1:2" x14ac:dyDescent="0.3">
      <c r="A100" s="2" t="s">
        <v>106</v>
      </c>
      <c r="B100" s="2">
        <v>5686</v>
      </c>
    </row>
    <row r="101" spans="1:2" x14ac:dyDescent="0.3">
      <c r="A101" s="2" t="s">
        <v>107</v>
      </c>
      <c r="B101" s="2">
        <v>5446</v>
      </c>
    </row>
    <row r="102" spans="1:2" x14ac:dyDescent="0.3">
      <c r="A102" s="2" t="s">
        <v>108</v>
      </c>
      <c r="B102" s="2">
        <v>5591</v>
      </c>
    </row>
    <row r="103" spans="1:2" x14ac:dyDescent="0.3">
      <c r="A103" s="2" t="s">
        <v>109</v>
      </c>
      <c r="B103" s="2">
        <v>5377</v>
      </c>
    </row>
    <row r="104" spans="1:2" x14ac:dyDescent="0.3">
      <c r="A104" s="2" t="s">
        <v>110</v>
      </c>
      <c r="B104" s="2">
        <v>5505</v>
      </c>
    </row>
    <row r="105" spans="1:2" x14ac:dyDescent="0.3">
      <c r="A105" s="2" t="s">
        <v>111</v>
      </c>
      <c r="B105" s="2">
        <v>5525</v>
      </c>
    </row>
    <row r="106" spans="1:2" x14ac:dyDescent="0.3">
      <c r="A106" s="2" t="s">
        <v>112</v>
      </c>
      <c r="B106" s="2">
        <v>5502</v>
      </c>
    </row>
    <row r="107" spans="1:2" x14ac:dyDescent="0.3">
      <c r="A107" s="2" t="s">
        <v>113</v>
      </c>
      <c r="B107" s="2">
        <v>5591</v>
      </c>
    </row>
    <row r="108" spans="1:2" x14ac:dyDescent="0.3">
      <c r="A108" s="2" t="s">
        <v>114</v>
      </c>
      <c r="B108" s="2">
        <v>5781</v>
      </c>
    </row>
    <row r="109" spans="1:2" x14ac:dyDescent="0.3">
      <c r="A109" s="2" t="s">
        <v>115</v>
      </c>
      <c r="B109" s="2">
        <v>6072</v>
      </c>
    </row>
    <row r="110" spans="1:2" x14ac:dyDescent="0.3">
      <c r="A110" s="2" t="s">
        <v>116</v>
      </c>
      <c r="B110" s="2">
        <v>5700</v>
      </c>
    </row>
    <row r="111" spans="1:2" x14ac:dyDescent="0.3">
      <c r="A111" s="2" t="s">
        <v>117</v>
      </c>
      <c r="B111" s="2">
        <v>5465</v>
      </c>
    </row>
    <row r="112" spans="1:2" x14ac:dyDescent="0.3">
      <c r="A112" s="2" t="s">
        <v>118</v>
      </c>
      <c r="B112" s="2">
        <v>5610</v>
      </c>
    </row>
    <row r="113" spans="1:2" x14ac:dyDescent="0.3">
      <c r="A113" s="2" t="s">
        <v>119</v>
      </c>
      <c r="B113" s="2">
        <v>5503</v>
      </c>
    </row>
    <row r="114" spans="1:2" x14ac:dyDescent="0.3">
      <c r="A114" s="2" t="s">
        <v>120</v>
      </c>
      <c r="B114" s="2">
        <v>5569</v>
      </c>
    </row>
    <row r="115" spans="1:2" x14ac:dyDescent="0.3">
      <c r="A115" s="2" t="s">
        <v>121</v>
      </c>
      <c r="B115" s="2">
        <v>5297</v>
      </c>
    </row>
    <row r="116" spans="1:2" x14ac:dyDescent="0.3">
      <c r="A116" s="2" t="s">
        <v>122</v>
      </c>
      <c r="B116" s="2">
        <v>5530</v>
      </c>
    </row>
    <row r="117" spans="1:2" x14ac:dyDescent="0.3">
      <c r="A117" s="2" t="s">
        <v>123</v>
      </c>
      <c r="B117" s="2">
        <v>5401</v>
      </c>
    </row>
    <row r="118" spans="1:2" x14ac:dyDescent="0.3">
      <c r="A118" s="2" t="s">
        <v>124</v>
      </c>
      <c r="B118" s="2">
        <v>5532</v>
      </c>
    </row>
    <row r="119" spans="1:2" x14ac:dyDescent="0.3">
      <c r="A119" s="2" t="s">
        <v>125</v>
      </c>
      <c r="B119" s="2">
        <v>5495</v>
      </c>
    </row>
    <row r="120" spans="1:2" x14ac:dyDescent="0.3">
      <c r="A120" s="2" t="s">
        <v>126</v>
      </c>
      <c r="B120" s="2">
        <v>5805</v>
      </c>
    </row>
    <row r="121" spans="1:2" x14ac:dyDescent="0.3">
      <c r="A121" s="2" t="s">
        <v>127</v>
      </c>
      <c r="B121" s="2">
        <v>5999</v>
      </c>
    </row>
    <row r="122" spans="1:2" x14ac:dyDescent="0.3">
      <c r="A122" s="2" t="s">
        <v>128</v>
      </c>
      <c r="B122" s="2">
        <v>5538</v>
      </c>
    </row>
    <row r="123" spans="1:2" x14ac:dyDescent="0.3">
      <c r="A123" s="2" t="s">
        <v>129</v>
      </c>
      <c r="B123" s="2">
        <v>5445</v>
      </c>
    </row>
    <row r="124" spans="1:2" x14ac:dyDescent="0.3">
      <c r="A124" s="2" t="s">
        <v>130</v>
      </c>
      <c r="B124" s="2">
        <v>5535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0"/>
  <sheetViews>
    <sheetView zoomScale="115" zoomScaleNormal="115" workbookViewId="0">
      <selection activeCell="E13" sqref="E13"/>
    </sheetView>
  </sheetViews>
  <sheetFormatPr baseColWidth="10" defaultColWidth="8.6640625" defaultRowHeight="14.4" x14ac:dyDescent="0.3"/>
  <cols>
    <col min="1" max="1" width="7.88671875" customWidth="1"/>
    <col min="2" max="2" width="9.88671875" bestFit="1" customWidth="1"/>
    <col min="3" max="3" width="10.33203125" customWidth="1"/>
    <col min="4" max="7" width="26.88671875" customWidth="1"/>
  </cols>
  <sheetData>
    <row r="1" spans="1:7" x14ac:dyDescent="0.3">
      <c r="A1" s="18" t="s">
        <v>131</v>
      </c>
      <c r="B1" s="18" t="s">
        <v>0</v>
      </c>
      <c r="C1" s="18" t="s">
        <v>22</v>
      </c>
      <c r="D1" s="4" t="s">
        <v>142</v>
      </c>
      <c r="E1" s="4" t="s">
        <v>135</v>
      </c>
      <c r="F1" s="4" t="s">
        <v>136</v>
      </c>
      <c r="G1" s="4" t="s">
        <v>136</v>
      </c>
    </row>
    <row r="2" spans="1:7" x14ac:dyDescent="0.3">
      <c r="A2" s="18"/>
      <c r="B2" s="18"/>
      <c r="C2" s="18"/>
      <c r="D2" s="4" t="s">
        <v>133</v>
      </c>
      <c r="E2" s="4" t="s">
        <v>134</v>
      </c>
      <c r="F2" s="1">
        <v>0.25</v>
      </c>
      <c r="G2" s="1">
        <v>0.75</v>
      </c>
    </row>
    <row r="3" spans="1:7" x14ac:dyDescent="0.3">
      <c r="A3" s="19">
        <v>2017</v>
      </c>
      <c r="B3" s="2" t="s">
        <v>10</v>
      </c>
      <c r="C3" s="2">
        <v>6036</v>
      </c>
      <c r="D3" s="2"/>
      <c r="E3" s="2"/>
      <c r="F3" s="5">
        <f>C3</f>
        <v>6036</v>
      </c>
      <c r="G3" s="5">
        <f>C3</f>
        <v>6036</v>
      </c>
    </row>
    <row r="4" spans="1:7" x14ac:dyDescent="0.3">
      <c r="A4" s="19"/>
      <c r="B4" s="2" t="s">
        <v>11</v>
      </c>
      <c r="C4" s="2">
        <v>6049</v>
      </c>
      <c r="D4" s="2"/>
      <c r="E4" s="2"/>
      <c r="F4" s="5">
        <f>F$2*$C3+(1-F$2)*F3</f>
        <v>6036</v>
      </c>
      <c r="G4" s="5">
        <f>G$2*$C3+(1-G$2)*G3</f>
        <v>6036</v>
      </c>
    </row>
    <row r="5" spans="1:7" x14ac:dyDescent="0.3">
      <c r="A5" s="19"/>
      <c r="B5" s="2" t="s">
        <v>12</v>
      </c>
      <c r="C5" s="2">
        <v>5810</v>
      </c>
      <c r="D5" s="2"/>
      <c r="E5" s="2"/>
      <c r="F5" s="5">
        <f t="shared" ref="F5:F7" si="0">F$2*$C4+(1-F$2)*F4</f>
        <v>6039.25</v>
      </c>
      <c r="G5" s="5">
        <f t="shared" ref="G5:G7" si="1">G$2*$C4+(1-G$2)*G4</f>
        <v>6045.75</v>
      </c>
    </row>
    <row r="6" spans="1:7" x14ac:dyDescent="0.3">
      <c r="A6" s="19"/>
      <c r="B6" s="2" t="s">
        <v>13</v>
      </c>
      <c r="C6" s="2">
        <v>6100</v>
      </c>
      <c r="D6" s="2"/>
      <c r="E6" s="2"/>
      <c r="F6" s="5">
        <f t="shared" si="0"/>
        <v>5981.9375</v>
      </c>
      <c r="G6" s="5">
        <f t="shared" si="1"/>
        <v>5868.9375</v>
      </c>
    </row>
    <row r="7" spans="1:7" x14ac:dyDescent="0.3">
      <c r="A7" s="19"/>
      <c r="B7" s="2" t="s">
        <v>14</v>
      </c>
      <c r="C7" s="2">
        <v>6013</v>
      </c>
      <c r="D7" s="2"/>
      <c r="E7" s="5">
        <f>C3*0.1+C4*0.2+C5*0.3+C6*0.4</f>
        <v>5996.4</v>
      </c>
      <c r="F7" s="5">
        <f t="shared" si="0"/>
        <v>6011.453125</v>
      </c>
      <c r="G7" s="5">
        <f t="shared" si="1"/>
        <v>6042.234375</v>
      </c>
    </row>
    <row r="8" spans="1:7" x14ac:dyDescent="0.3">
      <c r="A8" s="19"/>
      <c r="B8" s="2" t="s">
        <v>15</v>
      </c>
      <c r="C8" s="2">
        <v>6204</v>
      </c>
      <c r="D8" s="2"/>
      <c r="E8" s="5">
        <f>C4*0.1+C5*0.2+C6*0.3+C7*0.4</f>
        <v>6002.1</v>
      </c>
      <c r="F8" s="5">
        <f t="shared" ref="F8:F71" si="2">F$2*$C7+(1-F$2)*F7</f>
        <v>6011.83984375</v>
      </c>
      <c r="G8" s="5">
        <f t="shared" ref="G8:G71" si="3">G$2*$C7+(1-G$2)*G7</f>
        <v>6020.30859375</v>
      </c>
    </row>
    <row r="9" spans="1:7" x14ac:dyDescent="0.3">
      <c r="A9" s="19"/>
      <c r="B9" s="2" t="s">
        <v>16</v>
      </c>
      <c r="C9" s="2">
        <v>6068</v>
      </c>
      <c r="D9" s="5">
        <f>AVERAGE(C3:C8)</f>
        <v>6035.333333333333</v>
      </c>
      <c r="E9" s="5">
        <f t="shared" ref="E9:E72" si="4">C5*0.1+C6*0.2+C7*0.3+C8*0.4</f>
        <v>6086.5</v>
      </c>
      <c r="F9" s="5">
        <f t="shared" si="2"/>
        <v>6059.8798828125</v>
      </c>
      <c r="G9" s="5">
        <f t="shared" si="3"/>
        <v>6158.0771484375</v>
      </c>
    </row>
    <row r="10" spans="1:7" x14ac:dyDescent="0.3">
      <c r="A10" s="19"/>
      <c r="B10" s="2" t="s">
        <v>17</v>
      </c>
      <c r="C10" s="2">
        <v>6254</v>
      </c>
      <c r="D10" s="5">
        <f t="shared" ref="D10:D73" si="5">AVERAGE(C4:C9)</f>
        <v>6040.666666666667</v>
      </c>
      <c r="E10" s="5">
        <f t="shared" si="4"/>
        <v>6101</v>
      </c>
      <c r="F10" s="5">
        <f t="shared" si="2"/>
        <v>6061.909912109375</v>
      </c>
      <c r="G10" s="5">
        <f t="shared" si="3"/>
        <v>6090.519287109375</v>
      </c>
    </row>
    <row r="11" spans="1:7" x14ac:dyDescent="0.3">
      <c r="A11" s="19"/>
      <c r="B11" s="2" t="s">
        <v>18</v>
      </c>
      <c r="C11" s="2">
        <v>6629</v>
      </c>
      <c r="D11" s="5">
        <f t="shared" si="5"/>
        <v>6074.833333333333</v>
      </c>
      <c r="E11" s="5">
        <f t="shared" si="4"/>
        <v>6164.1</v>
      </c>
      <c r="F11" s="5">
        <f t="shared" si="2"/>
        <v>6109.9324340820313</v>
      </c>
      <c r="G11" s="5">
        <f t="shared" si="3"/>
        <v>6213.1298217773438</v>
      </c>
    </row>
    <row r="12" spans="1:7" x14ac:dyDescent="0.3">
      <c r="A12" s="19"/>
      <c r="B12" s="2" t="s">
        <v>19</v>
      </c>
      <c r="C12" s="2">
        <v>6137</v>
      </c>
      <c r="D12" s="5">
        <f t="shared" si="5"/>
        <v>6211.333333333333</v>
      </c>
      <c r="E12" s="5">
        <f t="shared" si="4"/>
        <v>6361.8</v>
      </c>
      <c r="F12" s="5">
        <f t="shared" si="2"/>
        <v>6239.6993255615234</v>
      </c>
      <c r="G12" s="5">
        <f t="shared" si="3"/>
        <v>6525.0324554443359</v>
      </c>
    </row>
    <row r="13" spans="1:7" x14ac:dyDescent="0.3">
      <c r="A13" s="19"/>
      <c r="B13" s="2" t="s">
        <v>20</v>
      </c>
      <c r="C13" s="2">
        <v>6050</v>
      </c>
      <c r="D13" s="5">
        <f t="shared" si="5"/>
        <v>6217.5</v>
      </c>
      <c r="E13" s="5">
        <f t="shared" si="4"/>
        <v>6301.1</v>
      </c>
      <c r="F13" s="5">
        <f t="shared" si="2"/>
        <v>6214.0244941711426</v>
      </c>
      <c r="G13" s="5">
        <f t="shared" si="3"/>
        <v>6234.008113861084</v>
      </c>
    </row>
    <row r="14" spans="1:7" x14ac:dyDescent="0.3">
      <c r="A14" s="19"/>
      <c r="B14" s="2" t="s">
        <v>21</v>
      </c>
      <c r="C14" s="2">
        <v>6159</v>
      </c>
      <c r="D14" s="5">
        <f t="shared" si="5"/>
        <v>6223.666666666667</v>
      </c>
      <c r="E14" s="5">
        <f t="shared" si="4"/>
        <v>6212.3</v>
      </c>
      <c r="F14" s="5">
        <f t="shared" si="2"/>
        <v>6173.0183706283569</v>
      </c>
      <c r="G14" s="5">
        <f t="shared" si="3"/>
        <v>6096.002028465271</v>
      </c>
    </row>
    <row r="15" spans="1:7" x14ac:dyDescent="0.3">
      <c r="A15" s="21">
        <v>2018</v>
      </c>
      <c r="B15" s="6" t="s">
        <v>10</v>
      </c>
      <c r="C15" s="6">
        <v>5873</v>
      </c>
      <c r="D15" s="7">
        <f t="shared" si="5"/>
        <v>6216.166666666667</v>
      </c>
      <c r="E15" s="7">
        <f t="shared" si="4"/>
        <v>6168.9000000000005</v>
      </c>
      <c r="F15" s="7">
        <f t="shared" si="2"/>
        <v>6169.5137779712677</v>
      </c>
      <c r="G15" s="7">
        <f t="shared" si="3"/>
        <v>6143.2505071163177</v>
      </c>
    </row>
    <row r="16" spans="1:7" x14ac:dyDescent="0.3">
      <c r="A16" s="19">
        <v>2018</v>
      </c>
      <c r="B16" s="2" t="s">
        <v>11</v>
      </c>
      <c r="C16" s="2">
        <v>5991</v>
      </c>
      <c r="D16" s="5">
        <f t="shared" si="5"/>
        <v>6183.666666666667</v>
      </c>
      <c r="E16" s="5">
        <f t="shared" si="4"/>
        <v>6020.6</v>
      </c>
      <c r="F16" s="5">
        <f t="shared" si="2"/>
        <v>6095.3853334784508</v>
      </c>
      <c r="G16" s="5">
        <f t="shared" si="3"/>
        <v>5940.5626267790794</v>
      </c>
    </row>
    <row r="17" spans="1:7" x14ac:dyDescent="0.3">
      <c r="A17" s="19">
        <v>2018</v>
      </c>
      <c r="B17" s="2" t="s">
        <v>12</v>
      </c>
      <c r="C17" s="2">
        <v>5807</v>
      </c>
      <c r="D17" s="5">
        <f t="shared" si="5"/>
        <v>6139.833333333333</v>
      </c>
      <c r="E17" s="5">
        <f t="shared" si="4"/>
        <v>5995.1</v>
      </c>
      <c r="F17" s="5">
        <f t="shared" si="2"/>
        <v>6069.2890001088381</v>
      </c>
      <c r="G17" s="5">
        <f t="shared" si="3"/>
        <v>5978.3906566947699</v>
      </c>
    </row>
    <row r="18" spans="1:7" x14ac:dyDescent="0.3">
      <c r="A18" s="19">
        <v>2018</v>
      </c>
      <c r="B18" s="2" t="s">
        <v>13</v>
      </c>
      <c r="C18" s="2">
        <v>6076</v>
      </c>
      <c r="D18" s="5">
        <f t="shared" si="5"/>
        <v>6002.833333333333</v>
      </c>
      <c r="E18" s="5">
        <f t="shared" si="4"/>
        <v>5910.6</v>
      </c>
      <c r="F18" s="5">
        <f t="shared" si="2"/>
        <v>6003.7167500816286</v>
      </c>
      <c r="G18" s="5">
        <f t="shared" si="3"/>
        <v>5849.8476641736925</v>
      </c>
    </row>
    <row r="19" spans="1:7" x14ac:dyDescent="0.3">
      <c r="A19" s="19">
        <v>2018</v>
      </c>
      <c r="B19" s="2" t="s">
        <v>14</v>
      </c>
      <c r="C19" s="2">
        <v>5905</v>
      </c>
      <c r="D19" s="5">
        <f t="shared" si="5"/>
        <v>5992.666666666667</v>
      </c>
      <c r="E19" s="5">
        <f t="shared" si="4"/>
        <v>5958</v>
      </c>
      <c r="F19" s="5">
        <f t="shared" si="2"/>
        <v>6021.7875625612214</v>
      </c>
      <c r="G19" s="5">
        <f t="shared" si="3"/>
        <v>6019.4619160434231</v>
      </c>
    </row>
    <row r="20" spans="1:7" x14ac:dyDescent="0.3">
      <c r="A20" s="19">
        <v>2018</v>
      </c>
      <c r="B20" s="2" t="s">
        <v>15</v>
      </c>
      <c r="C20" s="2">
        <v>5976</v>
      </c>
      <c r="D20" s="5">
        <f t="shared" si="5"/>
        <v>5968.5</v>
      </c>
      <c r="E20" s="5">
        <f t="shared" si="4"/>
        <v>5945.3</v>
      </c>
      <c r="F20" s="5">
        <f t="shared" si="2"/>
        <v>5992.5906719209161</v>
      </c>
      <c r="G20" s="5">
        <f t="shared" si="3"/>
        <v>5933.6154790108558</v>
      </c>
    </row>
    <row r="21" spans="1:7" x14ac:dyDescent="0.3">
      <c r="A21" s="19">
        <v>2018</v>
      </c>
      <c r="B21" s="2" t="s">
        <v>16</v>
      </c>
      <c r="C21" s="2">
        <v>5997</v>
      </c>
      <c r="D21" s="5">
        <f t="shared" si="5"/>
        <v>5938</v>
      </c>
      <c r="E21" s="5">
        <f t="shared" si="4"/>
        <v>5957.8</v>
      </c>
      <c r="F21" s="5">
        <f t="shared" si="2"/>
        <v>5988.443003940687</v>
      </c>
      <c r="G21" s="5">
        <f t="shared" si="3"/>
        <v>5965.4038697527139</v>
      </c>
    </row>
    <row r="22" spans="1:7" x14ac:dyDescent="0.3">
      <c r="A22" s="19">
        <v>2018</v>
      </c>
      <c r="B22" s="2" t="s">
        <v>17</v>
      </c>
      <c r="C22" s="2">
        <v>6182</v>
      </c>
      <c r="D22" s="5">
        <f t="shared" si="5"/>
        <v>5958.666666666667</v>
      </c>
      <c r="E22" s="5">
        <f t="shared" si="4"/>
        <v>5980.2</v>
      </c>
      <c r="F22" s="5">
        <f t="shared" si="2"/>
        <v>5990.5822529555153</v>
      </c>
      <c r="G22" s="5">
        <f t="shared" si="3"/>
        <v>5989.1009674381785</v>
      </c>
    </row>
    <row r="23" spans="1:7" x14ac:dyDescent="0.3">
      <c r="A23" s="19">
        <v>2018</v>
      </c>
      <c r="B23" s="2" t="s">
        <v>18</v>
      </c>
      <c r="C23" s="2">
        <v>6418</v>
      </c>
      <c r="D23" s="5">
        <f t="shared" si="5"/>
        <v>5990.5</v>
      </c>
      <c r="E23" s="5">
        <f t="shared" si="4"/>
        <v>6057.6</v>
      </c>
      <c r="F23" s="5">
        <f t="shared" si="2"/>
        <v>6038.4366897166365</v>
      </c>
      <c r="G23" s="5">
        <f t="shared" si="3"/>
        <v>6133.7752418595446</v>
      </c>
    </row>
    <row r="24" spans="1:7" x14ac:dyDescent="0.3">
      <c r="A24" s="19">
        <v>2018</v>
      </c>
      <c r="B24" s="2" t="s">
        <v>19</v>
      </c>
      <c r="C24" s="2">
        <v>6177</v>
      </c>
      <c r="D24" s="5">
        <f t="shared" si="5"/>
        <v>6092.333333333333</v>
      </c>
      <c r="E24" s="5">
        <f t="shared" si="4"/>
        <v>6218.8</v>
      </c>
      <c r="F24" s="5">
        <f t="shared" si="2"/>
        <v>6133.3275172874773</v>
      </c>
      <c r="G24" s="5">
        <f t="shared" si="3"/>
        <v>6346.9438104648862</v>
      </c>
    </row>
    <row r="25" spans="1:7" x14ac:dyDescent="0.3">
      <c r="A25" s="19">
        <v>2018</v>
      </c>
      <c r="B25" s="2" t="s">
        <v>20</v>
      </c>
      <c r="C25" s="2">
        <v>6037</v>
      </c>
      <c r="D25" s="5">
        <f t="shared" si="5"/>
        <v>6109.166666666667</v>
      </c>
      <c r="E25" s="5">
        <f t="shared" si="4"/>
        <v>6232.3</v>
      </c>
      <c r="F25" s="5">
        <f t="shared" si="2"/>
        <v>6144.2456379656078</v>
      </c>
      <c r="G25" s="5">
        <f t="shared" si="3"/>
        <v>6219.4859526162218</v>
      </c>
    </row>
    <row r="26" spans="1:7" x14ac:dyDescent="0.3">
      <c r="A26" s="19">
        <v>2018</v>
      </c>
      <c r="B26" s="2" t="s">
        <v>21</v>
      </c>
      <c r="C26" s="2">
        <v>5948</v>
      </c>
      <c r="D26" s="5">
        <f t="shared" si="5"/>
        <v>6131.166666666667</v>
      </c>
      <c r="E26" s="5">
        <f t="shared" si="4"/>
        <v>6169.7000000000007</v>
      </c>
      <c r="F26" s="5">
        <f t="shared" si="2"/>
        <v>6117.4342284742061</v>
      </c>
      <c r="G26" s="5">
        <f t="shared" si="3"/>
        <v>6082.6214881540554</v>
      </c>
    </row>
    <row r="27" spans="1:7" x14ac:dyDescent="0.3">
      <c r="A27" s="19">
        <v>2019</v>
      </c>
      <c r="B27" s="2" t="s">
        <v>10</v>
      </c>
      <c r="C27" s="2">
        <v>5895</v>
      </c>
      <c r="D27" s="5">
        <f t="shared" si="5"/>
        <v>6126.5</v>
      </c>
      <c r="E27" s="5">
        <f t="shared" si="4"/>
        <v>6067.5</v>
      </c>
      <c r="F27" s="5">
        <f t="shared" si="2"/>
        <v>6075.0756713556548</v>
      </c>
      <c r="G27" s="5">
        <f t="shared" si="3"/>
        <v>5981.6553720385136</v>
      </c>
    </row>
    <row r="28" spans="1:7" x14ac:dyDescent="0.3">
      <c r="A28" s="19">
        <v>2019</v>
      </c>
      <c r="B28" s="2" t="s">
        <v>11</v>
      </c>
      <c r="C28" s="2">
        <v>5976</v>
      </c>
      <c r="D28" s="5">
        <f t="shared" si="5"/>
        <v>6109.5</v>
      </c>
      <c r="E28" s="5">
        <f t="shared" si="4"/>
        <v>5967.5</v>
      </c>
      <c r="F28" s="5">
        <f t="shared" si="2"/>
        <v>6030.0567535167411</v>
      </c>
      <c r="G28" s="5">
        <f t="shared" si="3"/>
        <v>5916.6638430096282</v>
      </c>
    </row>
    <row r="29" spans="1:7" x14ac:dyDescent="0.3">
      <c r="A29" s="19">
        <v>2019</v>
      </c>
      <c r="B29" s="2" t="s">
        <v>12</v>
      </c>
      <c r="C29" s="2">
        <v>5639</v>
      </c>
      <c r="D29" s="5">
        <f t="shared" si="5"/>
        <v>6075.166666666667</v>
      </c>
      <c r="E29" s="5">
        <f t="shared" si="4"/>
        <v>5952.2000000000007</v>
      </c>
      <c r="F29" s="5">
        <f t="shared" si="2"/>
        <v>6016.5425651375554</v>
      </c>
      <c r="G29" s="5">
        <f t="shared" si="3"/>
        <v>5961.165960752407</v>
      </c>
    </row>
    <row r="30" spans="1:7" x14ac:dyDescent="0.3">
      <c r="A30" s="19">
        <v>2019</v>
      </c>
      <c r="B30" s="2" t="s">
        <v>13</v>
      </c>
      <c r="C30" s="2">
        <v>5905</v>
      </c>
      <c r="D30" s="5">
        <f t="shared" si="5"/>
        <v>5945.333333333333</v>
      </c>
      <c r="E30" s="5">
        <f t="shared" si="4"/>
        <v>5822.2000000000007</v>
      </c>
      <c r="F30" s="5">
        <f t="shared" si="2"/>
        <v>5922.1569238531665</v>
      </c>
      <c r="G30" s="5">
        <f t="shared" si="3"/>
        <v>5719.5414901881013</v>
      </c>
    </row>
    <row r="31" spans="1:7" x14ac:dyDescent="0.3">
      <c r="A31" s="19">
        <v>2019</v>
      </c>
      <c r="B31" s="2" t="s">
        <v>14</v>
      </c>
      <c r="C31" s="2">
        <v>5895</v>
      </c>
      <c r="D31" s="5">
        <f t="shared" si="5"/>
        <v>5900</v>
      </c>
      <c r="E31" s="5">
        <f t="shared" si="4"/>
        <v>5838.4</v>
      </c>
      <c r="F31" s="5">
        <f t="shared" si="2"/>
        <v>5917.8676928898749</v>
      </c>
      <c r="G31" s="5">
        <f t="shared" si="3"/>
        <v>5858.6353725470253</v>
      </c>
    </row>
    <row r="32" spans="1:7" x14ac:dyDescent="0.3">
      <c r="A32" s="19">
        <v>2019</v>
      </c>
      <c r="B32" s="2" t="s">
        <v>15</v>
      </c>
      <c r="C32" s="2">
        <v>5931</v>
      </c>
      <c r="D32" s="5">
        <f t="shared" si="5"/>
        <v>5876.333333333333</v>
      </c>
      <c r="E32" s="5">
        <f t="shared" si="4"/>
        <v>5854.9</v>
      </c>
      <c r="F32" s="5">
        <f t="shared" si="2"/>
        <v>5912.1507696674062</v>
      </c>
      <c r="G32" s="5">
        <f t="shared" si="3"/>
        <v>5885.9088431367563</v>
      </c>
    </row>
    <row r="33" spans="1:7" x14ac:dyDescent="0.3">
      <c r="A33" s="19">
        <v>2019</v>
      </c>
      <c r="B33" s="2" t="s">
        <v>16</v>
      </c>
      <c r="C33" s="2">
        <v>5861</v>
      </c>
      <c r="D33" s="5">
        <f t="shared" si="5"/>
        <v>5873.5</v>
      </c>
      <c r="E33" s="5">
        <f t="shared" si="4"/>
        <v>5885.8</v>
      </c>
      <c r="F33" s="5">
        <f t="shared" si="2"/>
        <v>5916.8630772505549</v>
      </c>
      <c r="G33" s="5">
        <f t="shared" si="3"/>
        <v>5919.7272107841891</v>
      </c>
    </row>
    <row r="34" spans="1:7" x14ac:dyDescent="0.3">
      <c r="A34" s="19">
        <v>2019</v>
      </c>
      <c r="B34" s="2" t="s">
        <v>17</v>
      </c>
      <c r="C34" s="2">
        <v>6181</v>
      </c>
      <c r="D34" s="5">
        <f t="shared" si="5"/>
        <v>5867.833333333333</v>
      </c>
      <c r="E34" s="5">
        <f t="shared" si="4"/>
        <v>5893.2000000000007</v>
      </c>
      <c r="F34" s="5">
        <f t="shared" si="2"/>
        <v>5902.8973079379157</v>
      </c>
      <c r="G34" s="5">
        <f t="shared" si="3"/>
        <v>5875.6818026960473</v>
      </c>
    </row>
    <row r="35" spans="1:7" x14ac:dyDescent="0.3">
      <c r="A35" s="19">
        <v>2019</v>
      </c>
      <c r="B35" s="2" t="s">
        <v>18</v>
      </c>
      <c r="C35" s="2">
        <v>6355</v>
      </c>
      <c r="D35" s="5">
        <f t="shared" si="5"/>
        <v>5902</v>
      </c>
      <c r="E35" s="5">
        <f t="shared" si="4"/>
        <v>6006.4</v>
      </c>
      <c r="F35" s="5">
        <f t="shared" si="2"/>
        <v>5972.4229809534372</v>
      </c>
      <c r="G35" s="5">
        <f t="shared" si="3"/>
        <v>6104.6704506740116</v>
      </c>
    </row>
    <row r="36" spans="1:7" x14ac:dyDescent="0.3">
      <c r="A36" s="19">
        <v>2019</v>
      </c>
      <c r="B36" s="2" t="s">
        <v>19</v>
      </c>
      <c r="C36" s="2">
        <v>6028</v>
      </c>
      <c r="D36" s="5">
        <f t="shared" si="5"/>
        <v>6021.333333333333</v>
      </c>
      <c r="E36" s="5">
        <f t="shared" si="4"/>
        <v>6161.6</v>
      </c>
      <c r="F36" s="5">
        <f t="shared" si="2"/>
        <v>6068.0672357150779</v>
      </c>
      <c r="G36" s="5">
        <f t="shared" si="3"/>
        <v>6292.4176126685034</v>
      </c>
    </row>
    <row r="37" spans="1:7" x14ac:dyDescent="0.3">
      <c r="A37" s="19">
        <v>2019</v>
      </c>
      <c r="B37" s="2" t="s">
        <v>20</v>
      </c>
      <c r="C37" s="2">
        <v>5888</v>
      </c>
      <c r="D37" s="5">
        <f t="shared" si="5"/>
        <v>6041.833333333333</v>
      </c>
      <c r="E37" s="5">
        <f t="shared" si="4"/>
        <v>6140</v>
      </c>
      <c r="F37" s="5">
        <f t="shared" si="2"/>
        <v>6058.0504267863089</v>
      </c>
      <c r="G37" s="5">
        <f t="shared" si="3"/>
        <v>6094.1044031671263</v>
      </c>
    </row>
    <row r="38" spans="1:7" x14ac:dyDescent="0.3">
      <c r="A38" s="19">
        <v>2019</v>
      </c>
      <c r="B38" s="2" t="s">
        <v>21</v>
      </c>
      <c r="C38" s="2">
        <v>5954</v>
      </c>
      <c r="D38" s="5">
        <f t="shared" si="5"/>
        <v>6040.666666666667</v>
      </c>
      <c r="E38" s="5">
        <f t="shared" si="4"/>
        <v>6052.7000000000007</v>
      </c>
      <c r="F38" s="5">
        <f t="shared" si="2"/>
        <v>6015.5378200897321</v>
      </c>
      <c r="G38" s="5">
        <f t="shared" si="3"/>
        <v>5939.5261007917816</v>
      </c>
    </row>
    <row r="39" spans="1:7" x14ac:dyDescent="0.3">
      <c r="A39" s="19">
        <v>2020</v>
      </c>
      <c r="B39" s="2" t="s">
        <v>10</v>
      </c>
      <c r="C39" s="2">
        <v>5761</v>
      </c>
      <c r="D39" s="5">
        <f t="shared" si="5"/>
        <v>6044.5</v>
      </c>
      <c r="E39" s="5">
        <f t="shared" si="4"/>
        <v>5989.1</v>
      </c>
      <c r="F39" s="5">
        <f t="shared" si="2"/>
        <v>6000.1533650672991</v>
      </c>
      <c r="G39" s="5">
        <f t="shared" si="3"/>
        <v>5950.3815251979449</v>
      </c>
    </row>
    <row r="40" spans="1:7" x14ac:dyDescent="0.3">
      <c r="A40" s="19">
        <v>2020</v>
      </c>
      <c r="B40" s="2" t="s">
        <v>11</v>
      </c>
      <c r="C40" s="2">
        <v>5825</v>
      </c>
      <c r="D40" s="5">
        <f t="shared" si="5"/>
        <v>6027.833333333333</v>
      </c>
      <c r="E40" s="5">
        <f t="shared" si="4"/>
        <v>5871</v>
      </c>
      <c r="F40" s="5">
        <f t="shared" si="2"/>
        <v>5940.3650238004739</v>
      </c>
      <c r="G40" s="5">
        <f t="shared" si="3"/>
        <v>5808.3453812994867</v>
      </c>
    </row>
    <row r="41" spans="1:7" x14ac:dyDescent="0.3">
      <c r="A41" s="19">
        <v>2020</v>
      </c>
      <c r="B41" s="2" t="s">
        <v>12</v>
      </c>
      <c r="C41" s="2">
        <v>5669</v>
      </c>
      <c r="D41" s="5">
        <f t="shared" si="5"/>
        <v>5968.5</v>
      </c>
      <c r="E41" s="5">
        <f t="shared" si="4"/>
        <v>5837.9</v>
      </c>
      <c r="F41" s="5">
        <f t="shared" si="2"/>
        <v>5911.5237678503554</v>
      </c>
      <c r="G41" s="5">
        <f t="shared" si="3"/>
        <v>5820.8363453248712</v>
      </c>
    </row>
    <row r="42" spans="1:7" x14ac:dyDescent="0.3">
      <c r="A42" s="19">
        <v>2020</v>
      </c>
      <c r="B42" s="2" t="s">
        <v>13</v>
      </c>
      <c r="C42" s="2">
        <v>5890</v>
      </c>
      <c r="D42" s="5">
        <f t="shared" si="5"/>
        <v>5854.166666666667</v>
      </c>
      <c r="E42" s="5">
        <f t="shared" si="4"/>
        <v>5762.7</v>
      </c>
      <c r="F42" s="5">
        <f t="shared" si="2"/>
        <v>5850.8928258877668</v>
      </c>
      <c r="G42" s="5">
        <f t="shared" si="3"/>
        <v>5706.9590863312178</v>
      </c>
    </row>
    <row r="43" spans="1:7" x14ac:dyDescent="0.3">
      <c r="A43" s="19">
        <v>2020</v>
      </c>
      <c r="B43" s="2" t="s">
        <v>14</v>
      </c>
      <c r="C43" s="2">
        <v>5737</v>
      </c>
      <c r="D43" s="5">
        <f t="shared" si="5"/>
        <v>5831.166666666667</v>
      </c>
      <c r="E43" s="5">
        <f t="shared" si="4"/>
        <v>5797.8</v>
      </c>
      <c r="F43" s="5">
        <f t="shared" si="2"/>
        <v>5860.6696194158249</v>
      </c>
      <c r="G43" s="5">
        <f t="shared" si="3"/>
        <v>5844.2397715828047</v>
      </c>
    </row>
    <row r="44" spans="1:7" x14ac:dyDescent="0.3">
      <c r="A44" s="19">
        <v>2020</v>
      </c>
      <c r="B44" s="2" t="s">
        <v>15</v>
      </c>
      <c r="C44" s="2">
        <v>5848</v>
      </c>
      <c r="D44" s="5">
        <f t="shared" si="5"/>
        <v>5806</v>
      </c>
      <c r="E44" s="5">
        <f t="shared" si="4"/>
        <v>5778.1</v>
      </c>
      <c r="F44" s="5">
        <f t="shared" si="2"/>
        <v>5829.7522145618686</v>
      </c>
      <c r="G44" s="5">
        <f t="shared" si="3"/>
        <v>5763.8099428957012</v>
      </c>
    </row>
    <row r="45" spans="1:7" x14ac:dyDescent="0.3">
      <c r="A45" s="19">
        <v>2020</v>
      </c>
      <c r="B45" s="2" t="s">
        <v>16</v>
      </c>
      <c r="C45" s="2">
        <v>5896</v>
      </c>
      <c r="D45" s="5">
        <f t="shared" si="5"/>
        <v>5788.333333333333</v>
      </c>
      <c r="E45" s="5">
        <f t="shared" si="4"/>
        <v>5805.2000000000007</v>
      </c>
      <c r="F45" s="5">
        <f t="shared" si="2"/>
        <v>5834.3141609214017</v>
      </c>
      <c r="G45" s="5">
        <f t="shared" si="3"/>
        <v>5826.9524857239248</v>
      </c>
    </row>
    <row r="46" spans="1:7" x14ac:dyDescent="0.3">
      <c r="A46" s="19">
        <v>2020</v>
      </c>
      <c r="B46" s="2" t="s">
        <v>17</v>
      </c>
      <c r="C46" s="2">
        <v>6055</v>
      </c>
      <c r="D46" s="5">
        <f t="shared" si="5"/>
        <v>5810.833333333333</v>
      </c>
      <c r="E46" s="5">
        <f t="shared" si="4"/>
        <v>5849.2000000000007</v>
      </c>
      <c r="F46" s="5">
        <f t="shared" si="2"/>
        <v>5849.7356206910517</v>
      </c>
      <c r="G46" s="5">
        <f t="shared" si="3"/>
        <v>5878.7381214309808</v>
      </c>
    </row>
    <row r="47" spans="1:7" x14ac:dyDescent="0.3">
      <c r="A47" s="19">
        <v>2020</v>
      </c>
      <c r="B47" s="2" t="s">
        <v>18</v>
      </c>
      <c r="C47" s="2">
        <v>6378</v>
      </c>
      <c r="D47" s="5">
        <f t="shared" si="5"/>
        <v>5849.166666666667</v>
      </c>
      <c r="E47" s="5">
        <f t="shared" si="4"/>
        <v>5934.1</v>
      </c>
      <c r="F47" s="5">
        <f t="shared" si="2"/>
        <v>5901.0517155182888</v>
      </c>
      <c r="G47" s="5">
        <f t="shared" si="3"/>
        <v>6010.9345303577447</v>
      </c>
    </row>
    <row r="48" spans="1:7" x14ac:dyDescent="0.3">
      <c r="A48" s="19">
        <v>2020</v>
      </c>
      <c r="B48" s="2" t="s">
        <v>19</v>
      </c>
      <c r="C48" s="2">
        <v>5998</v>
      </c>
      <c r="D48" s="5">
        <f t="shared" si="5"/>
        <v>5967.333333333333</v>
      </c>
      <c r="E48" s="5">
        <f t="shared" si="4"/>
        <v>6131.7000000000007</v>
      </c>
      <c r="F48" s="5">
        <f t="shared" si="2"/>
        <v>6020.2887866387164</v>
      </c>
      <c r="G48" s="5">
        <f t="shared" si="3"/>
        <v>6286.2336325894357</v>
      </c>
    </row>
    <row r="49" spans="1:7" x14ac:dyDescent="0.3">
      <c r="A49" s="19">
        <v>2020</v>
      </c>
      <c r="B49" s="2" t="s">
        <v>20</v>
      </c>
      <c r="C49" s="2">
        <v>5842</v>
      </c>
      <c r="D49" s="5">
        <f t="shared" si="5"/>
        <v>5985.333333333333</v>
      </c>
      <c r="E49" s="5">
        <f t="shared" si="4"/>
        <v>6113.2000000000007</v>
      </c>
      <c r="F49" s="5">
        <f t="shared" si="2"/>
        <v>6014.7165899790371</v>
      </c>
      <c r="G49" s="5">
        <f t="shared" si="3"/>
        <v>6070.0584081473589</v>
      </c>
    </row>
    <row r="50" spans="1:7" x14ac:dyDescent="0.3">
      <c r="A50" s="19">
        <v>2020</v>
      </c>
      <c r="B50" s="2" t="s">
        <v>21</v>
      </c>
      <c r="C50" s="2">
        <v>5796</v>
      </c>
      <c r="D50" s="5">
        <f t="shared" si="5"/>
        <v>6002.833333333333</v>
      </c>
      <c r="E50" s="5">
        <f t="shared" si="4"/>
        <v>6017.3</v>
      </c>
      <c r="F50" s="5">
        <f t="shared" si="2"/>
        <v>5971.5374424842776</v>
      </c>
      <c r="G50" s="5">
        <f t="shared" si="3"/>
        <v>5899.0146020368393</v>
      </c>
    </row>
    <row r="51" spans="1:7" x14ac:dyDescent="0.3">
      <c r="A51" s="19">
        <v>2021</v>
      </c>
      <c r="B51" s="2" t="s">
        <v>10</v>
      </c>
      <c r="C51" s="2">
        <v>5704</v>
      </c>
      <c r="D51" s="5">
        <f t="shared" si="5"/>
        <v>5994.166666666667</v>
      </c>
      <c r="E51" s="5">
        <f t="shared" si="4"/>
        <v>5908.4</v>
      </c>
      <c r="F51" s="5">
        <f t="shared" si="2"/>
        <v>5927.6530818632082</v>
      </c>
      <c r="G51" s="5">
        <f t="shared" si="3"/>
        <v>5821.7536505092103</v>
      </c>
    </row>
    <row r="52" spans="1:7" x14ac:dyDescent="0.3">
      <c r="A52" s="19">
        <v>2021</v>
      </c>
      <c r="B52" s="2" t="s">
        <v>11</v>
      </c>
      <c r="C52" s="2">
        <v>5831</v>
      </c>
      <c r="D52" s="5">
        <f t="shared" si="5"/>
        <v>5962.166666666667</v>
      </c>
      <c r="E52" s="5">
        <f t="shared" si="4"/>
        <v>5788.6</v>
      </c>
      <c r="F52" s="5">
        <f t="shared" si="2"/>
        <v>5871.7398113974059</v>
      </c>
      <c r="G52" s="5">
        <f t="shared" si="3"/>
        <v>5733.4384126273026</v>
      </c>
    </row>
    <row r="53" spans="1:7" x14ac:dyDescent="0.3">
      <c r="A53" s="19">
        <v>2021</v>
      </c>
      <c r="B53" s="2" t="s">
        <v>12</v>
      </c>
      <c r="C53" s="2">
        <v>5585</v>
      </c>
      <c r="D53" s="5">
        <f t="shared" si="5"/>
        <v>5924.833333333333</v>
      </c>
      <c r="E53" s="5">
        <f t="shared" si="4"/>
        <v>5787</v>
      </c>
      <c r="F53" s="5">
        <f t="shared" si="2"/>
        <v>5861.5548585480547</v>
      </c>
      <c r="G53" s="5">
        <f t="shared" si="3"/>
        <v>5806.6096031568259</v>
      </c>
    </row>
    <row r="54" spans="1:7" x14ac:dyDescent="0.3">
      <c r="A54" s="19">
        <v>2021</v>
      </c>
      <c r="B54" s="2" t="s">
        <v>13</v>
      </c>
      <c r="C54" s="2">
        <v>5677</v>
      </c>
      <c r="D54" s="5">
        <f t="shared" si="5"/>
        <v>5792.666666666667</v>
      </c>
      <c r="E54" s="5">
        <f t="shared" si="4"/>
        <v>5703.7</v>
      </c>
      <c r="F54" s="5">
        <f t="shared" si="2"/>
        <v>5792.4161439110412</v>
      </c>
      <c r="G54" s="5">
        <f t="shared" si="3"/>
        <v>5640.4024007892067</v>
      </c>
    </row>
    <row r="55" spans="1:7" x14ac:dyDescent="0.3">
      <c r="A55" s="19">
        <v>2021</v>
      </c>
      <c r="B55" s="2" t="s">
        <v>14</v>
      </c>
      <c r="C55" s="2">
        <v>5697</v>
      </c>
      <c r="D55" s="5">
        <f t="shared" si="5"/>
        <v>5739.166666666667</v>
      </c>
      <c r="E55" s="5">
        <f t="shared" si="4"/>
        <v>5682.9</v>
      </c>
      <c r="F55" s="5">
        <f t="shared" si="2"/>
        <v>5763.5621079332814</v>
      </c>
      <c r="G55" s="5">
        <f t="shared" si="3"/>
        <v>5667.8506001973019</v>
      </c>
    </row>
    <row r="56" spans="1:7" x14ac:dyDescent="0.3">
      <c r="A56" s="19">
        <v>2021</v>
      </c>
      <c r="B56" s="2" t="s">
        <v>15</v>
      </c>
      <c r="C56" s="2">
        <v>5836</v>
      </c>
      <c r="D56" s="5">
        <f t="shared" si="5"/>
        <v>5715</v>
      </c>
      <c r="E56" s="5">
        <f t="shared" si="4"/>
        <v>5682</v>
      </c>
      <c r="F56" s="5">
        <f t="shared" si="2"/>
        <v>5746.921580949961</v>
      </c>
      <c r="G56" s="5">
        <f t="shared" si="3"/>
        <v>5689.712650049325</v>
      </c>
    </row>
    <row r="57" spans="1:7" x14ac:dyDescent="0.3">
      <c r="A57" s="19">
        <v>2021</v>
      </c>
      <c r="B57" s="2" t="s">
        <v>16</v>
      </c>
      <c r="C57" s="2">
        <v>5732</v>
      </c>
      <c r="D57" s="5">
        <f t="shared" si="5"/>
        <v>5721.666666666667</v>
      </c>
      <c r="E57" s="5">
        <f t="shared" si="4"/>
        <v>5737.4</v>
      </c>
      <c r="F57" s="5">
        <f t="shared" si="2"/>
        <v>5769.1911857124705</v>
      </c>
      <c r="G57" s="5">
        <f t="shared" si="3"/>
        <v>5799.4281625123313</v>
      </c>
    </row>
    <row r="58" spans="1:7" x14ac:dyDescent="0.3">
      <c r="A58" s="19">
        <v>2021</v>
      </c>
      <c r="B58" s="2" t="s">
        <v>17</v>
      </c>
      <c r="C58" s="2">
        <v>5948</v>
      </c>
      <c r="D58" s="5">
        <f t="shared" si="5"/>
        <v>5726.333333333333</v>
      </c>
      <c r="E58" s="5">
        <f t="shared" si="4"/>
        <v>5750.7000000000007</v>
      </c>
      <c r="F58" s="5">
        <f t="shared" si="2"/>
        <v>5759.8933892843525</v>
      </c>
      <c r="G58" s="5">
        <f t="shared" si="3"/>
        <v>5748.8570406280833</v>
      </c>
    </row>
    <row r="59" spans="1:7" x14ac:dyDescent="0.3">
      <c r="A59" s="19">
        <v>2021</v>
      </c>
      <c r="B59" s="2" t="s">
        <v>18</v>
      </c>
      <c r="C59" s="2">
        <v>6208</v>
      </c>
      <c r="D59" s="5">
        <f t="shared" si="5"/>
        <v>5745.833333333333</v>
      </c>
      <c r="E59" s="5">
        <f t="shared" si="4"/>
        <v>5835.7000000000007</v>
      </c>
      <c r="F59" s="5">
        <f t="shared" si="2"/>
        <v>5806.9200419632643</v>
      </c>
      <c r="G59" s="5">
        <f t="shared" si="3"/>
        <v>5898.2142601570213</v>
      </c>
    </row>
    <row r="60" spans="1:7" x14ac:dyDescent="0.3">
      <c r="A60" s="19">
        <v>2021</v>
      </c>
      <c r="B60" s="2" t="s">
        <v>19</v>
      </c>
      <c r="C60" s="2">
        <v>5845</v>
      </c>
      <c r="D60" s="5">
        <f t="shared" si="5"/>
        <v>5849.666666666667</v>
      </c>
      <c r="E60" s="5">
        <f t="shared" si="4"/>
        <v>5997.6</v>
      </c>
      <c r="F60" s="5">
        <f t="shared" si="2"/>
        <v>5907.190031472448</v>
      </c>
      <c r="G60" s="5">
        <f t="shared" si="3"/>
        <v>6130.5535650392558</v>
      </c>
    </row>
    <row r="61" spans="1:7" x14ac:dyDescent="0.3">
      <c r="A61" s="19">
        <v>2021</v>
      </c>
      <c r="B61" s="2" t="s">
        <v>20</v>
      </c>
      <c r="C61" s="2">
        <v>5724</v>
      </c>
      <c r="D61" s="5">
        <f t="shared" si="5"/>
        <v>5877.666666666667</v>
      </c>
      <c r="E61" s="5">
        <f t="shared" si="4"/>
        <v>5963.2</v>
      </c>
      <c r="F61" s="5">
        <f t="shared" si="2"/>
        <v>5891.642523604336</v>
      </c>
      <c r="G61" s="5">
        <f t="shared" si="3"/>
        <v>5916.3883912598139</v>
      </c>
    </row>
    <row r="62" spans="1:7" x14ac:dyDescent="0.3">
      <c r="A62" s="19">
        <v>2021</v>
      </c>
      <c r="B62" s="2" t="s">
        <v>21</v>
      </c>
      <c r="C62" s="2">
        <v>5794</v>
      </c>
      <c r="D62" s="5">
        <f t="shared" si="5"/>
        <v>5882.166666666667</v>
      </c>
      <c r="E62" s="5">
        <f t="shared" si="4"/>
        <v>5879.5</v>
      </c>
      <c r="F62" s="5">
        <f t="shared" si="2"/>
        <v>5849.731892703252</v>
      </c>
      <c r="G62" s="5">
        <f t="shared" si="3"/>
        <v>5772.0970978149535</v>
      </c>
    </row>
    <row r="63" spans="1:7" x14ac:dyDescent="0.3">
      <c r="A63" s="19">
        <v>2022</v>
      </c>
      <c r="B63" s="2" t="s">
        <v>10</v>
      </c>
      <c r="C63" s="2">
        <v>5534</v>
      </c>
      <c r="D63" s="5">
        <f t="shared" si="5"/>
        <v>5875.166666666667</v>
      </c>
      <c r="E63" s="5">
        <f t="shared" si="4"/>
        <v>5824.6</v>
      </c>
      <c r="F63" s="5">
        <f t="shared" si="2"/>
        <v>5835.7989195274386</v>
      </c>
      <c r="G63" s="5">
        <f t="shared" si="3"/>
        <v>5788.5242744537381</v>
      </c>
    </row>
    <row r="64" spans="1:7" x14ac:dyDescent="0.3">
      <c r="A64" s="19">
        <v>2022</v>
      </c>
      <c r="B64" s="2" t="s">
        <v>11</v>
      </c>
      <c r="C64" s="2">
        <v>5672</v>
      </c>
      <c r="D64" s="5">
        <f t="shared" si="5"/>
        <v>5842.166666666667</v>
      </c>
      <c r="E64" s="5">
        <f t="shared" si="4"/>
        <v>5681.1</v>
      </c>
      <c r="F64" s="5">
        <f t="shared" si="2"/>
        <v>5760.3491896455789</v>
      </c>
      <c r="G64" s="5">
        <f t="shared" si="3"/>
        <v>5597.6310686134348</v>
      </c>
    </row>
    <row r="65" spans="1:7" x14ac:dyDescent="0.3">
      <c r="A65" s="19">
        <v>2022</v>
      </c>
      <c r="B65" s="2" t="s">
        <v>12</v>
      </c>
      <c r="C65" s="2">
        <v>5419</v>
      </c>
      <c r="D65" s="5">
        <f t="shared" si="5"/>
        <v>5796.166666666667</v>
      </c>
      <c r="E65" s="5">
        <f t="shared" si="4"/>
        <v>5660.2</v>
      </c>
      <c r="F65" s="5">
        <f t="shared" si="2"/>
        <v>5738.2618922341844</v>
      </c>
      <c r="G65" s="5">
        <f t="shared" si="3"/>
        <v>5653.4077671533587</v>
      </c>
    </row>
    <row r="66" spans="1:7" x14ac:dyDescent="0.3">
      <c r="A66" s="19">
        <v>2022</v>
      </c>
      <c r="B66" s="2" t="s">
        <v>13</v>
      </c>
      <c r="C66" s="2">
        <v>5733</v>
      </c>
      <c r="D66" s="5">
        <f t="shared" si="5"/>
        <v>5664.666666666667</v>
      </c>
      <c r="E66" s="5">
        <f t="shared" si="4"/>
        <v>5555.4</v>
      </c>
      <c r="F66" s="5">
        <f t="shared" si="2"/>
        <v>5658.4464191756379</v>
      </c>
      <c r="G66" s="5">
        <f t="shared" si="3"/>
        <v>5477.6019417883399</v>
      </c>
    </row>
    <row r="67" spans="1:7" x14ac:dyDescent="0.3">
      <c r="A67" s="19">
        <v>2022</v>
      </c>
      <c r="B67" s="2" t="s">
        <v>14</v>
      </c>
      <c r="C67" s="2">
        <v>5591</v>
      </c>
      <c r="D67" s="5">
        <f t="shared" si="5"/>
        <v>5646</v>
      </c>
      <c r="E67" s="5">
        <f t="shared" si="4"/>
        <v>5606.7000000000007</v>
      </c>
      <c r="F67" s="5">
        <f t="shared" si="2"/>
        <v>5677.0848143817284</v>
      </c>
      <c r="G67" s="5">
        <f t="shared" si="3"/>
        <v>5669.150485447085</v>
      </c>
    </row>
    <row r="68" spans="1:7" x14ac:dyDescent="0.3">
      <c r="A68" s="19">
        <v>2022</v>
      </c>
      <c r="B68" s="2" t="s">
        <v>15</v>
      </c>
      <c r="C68" s="2">
        <v>5709</v>
      </c>
      <c r="D68" s="5">
        <f t="shared" si="5"/>
        <v>5623.833333333333</v>
      </c>
      <c r="E68" s="5">
        <f t="shared" si="4"/>
        <v>5607.2999999999993</v>
      </c>
      <c r="F68" s="5">
        <f t="shared" si="2"/>
        <v>5655.5636107862965</v>
      </c>
      <c r="G68" s="5">
        <f t="shared" si="3"/>
        <v>5610.537621361771</v>
      </c>
    </row>
    <row r="69" spans="1:7" x14ac:dyDescent="0.3">
      <c r="A69" s="19">
        <v>2022</v>
      </c>
      <c r="B69" s="2" t="s">
        <v>16</v>
      </c>
      <c r="C69" s="2">
        <v>5622</v>
      </c>
      <c r="D69" s="5">
        <f t="shared" si="5"/>
        <v>5609.666666666667</v>
      </c>
      <c r="E69" s="5">
        <f t="shared" si="4"/>
        <v>5649.4</v>
      </c>
      <c r="F69" s="5">
        <f t="shared" si="2"/>
        <v>5668.9227080897226</v>
      </c>
      <c r="G69" s="5">
        <f t="shared" si="3"/>
        <v>5684.3844053404428</v>
      </c>
    </row>
    <row r="70" spans="1:7" x14ac:dyDescent="0.3">
      <c r="A70" s="19">
        <v>2022</v>
      </c>
      <c r="B70" s="2" t="s">
        <v>17</v>
      </c>
      <c r="C70" s="2">
        <v>5917</v>
      </c>
      <c r="D70" s="5">
        <f t="shared" si="5"/>
        <v>5624.333333333333</v>
      </c>
      <c r="E70" s="5">
        <f t="shared" si="4"/>
        <v>5653</v>
      </c>
      <c r="F70" s="5">
        <f t="shared" si="2"/>
        <v>5657.1920310672922</v>
      </c>
      <c r="G70" s="5">
        <f t="shared" si="3"/>
        <v>5637.5961013351107</v>
      </c>
    </row>
    <row r="71" spans="1:7" x14ac:dyDescent="0.3">
      <c r="A71" s="19">
        <v>2022</v>
      </c>
      <c r="B71" s="2" t="s">
        <v>18</v>
      </c>
      <c r="C71" s="2">
        <v>6131</v>
      </c>
      <c r="D71" s="5">
        <f t="shared" si="5"/>
        <v>5665.166666666667</v>
      </c>
      <c r="E71" s="5">
        <f t="shared" si="4"/>
        <v>5754.3</v>
      </c>
      <c r="F71" s="5">
        <f t="shared" si="2"/>
        <v>5722.1440233004687</v>
      </c>
      <c r="G71" s="5">
        <f t="shared" si="3"/>
        <v>5847.1490253337779</v>
      </c>
    </row>
    <row r="72" spans="1:7" x14ac:dyDescent="0.3">
      <c r="A72" s="19">
        <v>2022</v>
      </c>
      <c r="B72" s="2" t="s">
        <v>19</v>
      </c>
      <c r="C72" s="2">
        <v>5869</v>
      </c>
      <c r="D72" s="5">
        <f t="shared" si="5"/>
        <v>5783.833333333333</v>
      </c>
      <c r="E72" s="5">
        <f t="shared" si="4"/>
        <v>5922.8</v>
      </c>
      <c r="F72" s="5">
        <f t="shared" ref="F72:F109" si="6">F$2*$C71+(1-F$2)*F71</f>
        <v>5824.3580174753515</v>
      </c>
      <c r="G72" s="5">
        <f t="shared" ref="G72:G109" si="7">G$2*$C71+(1-G$2)*G71</f>
        <v>6060.037256333444</v>
      </c>
    </row>
    <row r="73" spans="1:7" x14ac:dyDescent="0.3">
      <c r="A73" s="19">
        <v>2022</v>
      </c>
      <c r="B73" s="2" t="s">
        <v>20</v>
      </c>
      <c r="C73" s="2">
        <v>5704</v>
      </c>
      <c r="D73" s="5">
        <f t="shared" si="5"/>
        <v>5806.5</v>
      </c>
      <c r="E73" s="5">
        <f t="shared" ref="E73:E109" si="8">C69*0.1+C70*0.2+C71*0.3+C72*0.4</f>
        <v>5932.5</v>
      </c>
      <c r="F73" s="5">
        <f t="shared" si="6"/>
        <v>5835.5185131065136</v>
      </c>
      <c r="G73" s="5">
        <f t="shared" si="7"/>
        <v>5916.7593140833615</v>
      </c>
    </row>
    <row r="74" spans="1:7" x14ac:dyDescent="0.3">
      <c r="A74" s="19">
        <v>2022</v>
      </c>
      <c r="B74" s="2" t="s">
        <v>21</v>
      </c>
      <c r="C74" s="2">
        <v>5627</v>
      </c>
      <c r="D74" s="5">
        <f t="shared" ref="D74:D109" si="9">AVERAGE(C68:C73)</f>
        <v>5825.333333333333</v>
      </c>
      <c r="E74" s="5">
        <f t="shared" si="8"/>
        <v>5860.2000000000007</v>
      </c>
      <c r="F74" s="5">
        <f t="shared" si="6"/>
        <v>5802.6388848298848</v>
      </c>
      <c r="G74" s="5">
        <f t="shared" si="7"/>
        <v>5757.1898285208408</v>
      </c>
    </row>
    <row r="75" spans="1:7" x14ac:dyDescent="0.3">
      <c r="A75" s="19">
        <v>2023</v>
      </c>
      <c r="B75" s="2" t="s">
        <v>10</v>
      </c>
      <c r="C75" s="2">
        <v>5607</v>
      </c>
      <c r="D75" s="5">
        <f t="shared" si="9"/>
        <v>5811.666666666667</v>
      </c>
      <c r="E75" s="5">
        <f t="shared" si="8"/>
        <v>5748.9000000000005</v>
      </c>
      <c r="F75" s="5">
        <f t="shared" si="6"/>
        <v>5758.7291636224136</v>
      </c>
      <c r="G75" s="5">
        <f t="shared" si="7"/>
        <v>5659.5474571302102</v>
      </c>
    </row>
    <row r="76" spans="1:7" x14ac:dyDescent="0.3">
      <c r="A76" s="19">
        <v>2023</v>
      </c>
      <c r="B76" s="2" t="s">
        <v>11</v>
      </c>
      <c r="C76" s="2">
        <v>5584</v>
      </c>
      <c r="D76" s="5">
        <f t="shared" si="9"/>
        <v>5809.166666666667</v>
      </c>
      <c r="E76" s="5">
        <f t="shared" si="8"/>
        <v>5658.6</v>
      </c>
      <c r="F76" s="5">
        <f t="shared" si="6"/>
        <v>5720.79687271681</v>
      </c>
      <c r="G76" s="5">
        <f t="shared" si="7"/>
        <v>5620.1368642825528</v>
      </c>
    </row>
    <row r="77" spans="1:7" x14ac:dyDescent="0.3">
      <c r="A77" s="19">
        <v>2023</v>
      </c>
      <c r="B77" s="2" t="s">
        <v>12</v>
      </c>
      <c r="C77" s="2">
        <v>5358</v>
      </c>
      <c r="D77" s="5">
        <f t="shared" si="9"/>
        <v>5753.666666666667</v>
      </c>
      <c r="E77" s="5">
        <f t="shared" si="8"/>
        <v>5611.5</v>
      </c>
      <c r="F77" s="5">
        <f t="shared" si="6"/>
        <v>5686.597654537607</v>
      </c>
      <c r="G77" s="5">
        <f t="shared" si="7"/>
        <v>5593.0342160706386</v>
      </c>
    </row>
    <row r="78" spans="1:7" x14ac:dyDescent="0.3">
      <c r="A78" s="19">
        <v>2023</v>
      </c>
      <c r="B78" s="2" t="s">
        <v>13</v>
      </c>
      <c r="C78" s="2">
        <v>5628</v>
      </c>
      <c r="D78" s="5">
        <f t="shared" si="9"/>
        <v>5624.833333333333</v>
      </c>
      <c r="E78" s="5">
        <f t="shared" si="8"/>
        <v>5502.5</v>
      </c>
      <c r="F78" s="5">
        <f t="shared" si="6"/>
        <v>5604.4482409032053</v>
      </c>
      <c r="G78" s="5">
        <f t="shared" si="7"/>
        <v>5416.7585540176597</v>
      </c>
    </row>
    <row r="79" spans="1:7" x14ac:dyDescent="0.3">
      <c r="A79" s="19">
        <v>2023</v>
      </c>
      <c r="B79" s="2" t="s">
        <v>14</v>
      </c>
      <c r="C79" s="2">
        <v>5563</v>
      </c>
      <c r="D79" s="5">
        <f t="shared" si="9"/>
        <v>5584.666666666667</v>
      </c>
      <c r="E79" s="5">
        <f t="shared" si="8"/>
        <v>5536.1</v>
      </c>
      <c r="F79" s="5">
        <f t="shared" si="6"/>
        <v>5610.3361806774037</v>
      </c>
      <c r="G79" s="5">
        <f t="shared" si="7"/>
        <v>5575.1896385044147</v>
      </c>
    </row>
    <row r="80" spans="1:7" x14ac:dyDescent="0.3">
      <c r="A80" s="19">
        <v>2023</v>
      </c>
      <c r="B80" s="2" t="s">
        <v>15</v>
      </c>
      <c r="C80" s="2">
        <v>5616</v>
      </c>
      <c r="D80" s="5">
        <f t="shared" si="9"/>
        <v>5561.166666666667</v>
      </c>
      <c r="E80" s="5">
        <f t="shared" si="8"/>
        <v>5543.6</v>
      </c>
      <c r="F80" s="5">
        <f t="shared" si="6"/>
        <v>5598.5021355080526</v>
      </c>
      <c r="G80" s="5">
        <f t="shared" si="7"/>
        <v>5566.0474096261041</v>
      </c>
    </row>
    <row r="81" spans="1:7" x14ac:dyDescent="0.3">
      <c r="A81" s="19">
        <v>2023</v>
      </c>
      <c r="B81" s="2" t="s">
        <v>16</v>
      </c>
      <c r="C81" s="2">
        <v>5490</v>
      </c>
      <c r="D81" s="5">
        <f t="shared" si="9"/>
        <v>5559.333333333333</v>
      </c>
      <c r="E81" s="5">
        <f t="shared" si="8"/>
        <v>5576.7000000000007</v>
      </c>
      <c r="F81" s="5">
        <f t="shared" si="6"/>
        <v>5602.8766016310392</v>
      </c>
      <c r="G81" s="5">
        <f t="shared" si="7"/>
        <v>5603.5118524065256</v>
      </c>
    </row>
    <row r="82" spans="1:7" x14ac:dyDescent="0.3">
      <c r="A82" s="19">
        <v>2023</v>
      </c>
      <c r="B82" s="2" t="s">
        <v>17</v>
      </c>
      <c r="C82" s="2">
        <v>5894</v>
      </c>
      <c r="D82" s="5">
        <f t="shared" si="9"/>
        <v>5539.833333333333</v>
      </c>
      <c r="E82" s="5">
        <f t="shared" si="8"/>
        <v>5556.2</v>
      </c>
      <c r="F82" s="5">
        <f t="shared" si="6"/>
        <v>5574.6574512232792</v>
      </c>
      <c r="G82" s="5">
        <f t="shared" si="7"/>
        <v>5518.3779631016314</v>
      </c>
    </row>
    <row r="83" spans="1:7" x14ac:dyDescent="0.3">
      <c r="A83" s="19">
        <v>2023</v>
      </c>
      <c r="B83" s="2" t="s">
        <v>18</v>
      </c>
      <c r="C83" s="2">
        <v>6165</v>
      </c>
      <c r="D83" s="5">
        <f t="shared" si="9"/>
        <v>5591.5</v>
      </c>
      <c r="E83" s="5">
        <f t="shared" si="8"/>
        <v>5684.1</v>
      </c>
      <c r="F83" s="5">
        <f t="shared" si="6"/>
        <v>5654.4930884174591</v>
      </c>
      <c r="G83" s="5">
        <f t="shared" si="7"/>
        <v>5800.0944907754074</v>
      </c>
    </row>
    <row r="84" spans="1:7" x14ac:dyDescent="0.3">
      <c r="A84" s="19">
        <v>2023</v>
      </c>
      <c r="B84" s="2" t="s">
        <v>19</v>
      </c>
      <c r="C84" s="2">
        <v>5677</v>
      </c>
      <c r="D84" s="5">
        <f t="shared" si="9"/>
        <v>5726</v>
      </c>
      <c r="E84" s="5">
        <f t="shared" si="8"/>
        <v>5893.8</v>
      </c>
      <c r="F84" s="5">
        <f t="shared" si="6"/>
        <v>5782.1198163130939</v>
      </c>
      <c r="G84" s="5">
        <f t="shared" si="7"/>
        <v>6073.7736226938523</v>
      </c>
    </row>
    <row r="85" spans="1:7" x14ac:dyDescent="0.3">
      <c r="A85" s="19">
        <v>2023</v>
      </c>
      <c r="B85" s="2" t="s">
        <v>20</v>
      </c>
      <c r="C85" s="2">
        <v>5548</v>
      </c>
      <c r="D85" s="5">
        <f t="shared" si="9"/>
        <v>5734.166666666667</v>
      </c>
      <c r="E85" s="5">
        <f t="shared" si="8"/>
        <v>5848.1</v>
      </c>
      <c r="F85" s="5">
        <f t="shared" si="6"/>
        <v>5755.8398622348204</v>
      </c>
      <c r="G85" s="5">
        <f t="shared" si="7"/>
        <v>5776.1934056734626</v>
      </c>
    </row>
    <row r="86" spans="1:7" x14ac:dyDescent="0.3">
      <c r="A86" s="19">
        <v>2023</v>
      </c>
      <c r="B86" s="2" t="s">
        <v>21</v>
      </c>
      <c r="C86" s="2">
        <v>5686</v>
      </c>
      <c r="D86" s="5">
        <f t="shared" si="9"/>
        <v>5731.666666666667</v>
      </c>
      <c r="E86" s="5">
        <f t="shared" si="8"/>
        <v>5744.7000000000007</v>
      </c>
      <c r="F86" s="5">
        <f t="shared" si="6"/>
        <v>5703.8798966761151</v>
      </c>
      <c r="G86" s="5">
        <f t="shared" si="7"/>
        <v>5605.0483514183652</v>
      </c>
    </row>
    <row r="87" spans="1:7" x14ac:dyDescent="0.3">
      <c r="A87" s="19">
        <v>2024</v>
      </c>
      <c r="B87" s="2" t="s">
        <v>10</v>
      </c>
      <c r="C87" s="2">
        <v>5446</v>
      </c>
      <c r="D87" s="5">
        <f t="shared" si="9"/>
        <v>5743.333333333333</v>
      </c>
      <c r="E87" s="5">
        <f t="shared" si="8"/>
        <v>5690.7000000000007</v>
      </c>
      <c r="F87" s="5">
        <f t="shared" si="6"/>
        <v>5699.4099225070859</v>
      </c>
      <c r="G87" s="5">
        <f t="shared" si="7"/>
        <v>5665.7620878545913</v>
      </c>
    </row>
    <row r="88" spans="1:7" x14ac:dyDescent="0.3">
      <c r="A88" s="19">
        <v>2024</v>
      </c>
      <c r="B88" s="2" t="s">
        <v>11</v>
      </c>
      <c r="C88" s="2">
        <v>5591</v>
      </c>
      <c r="D88" s="5">
        <f t="shared" si="9"/>
        <v>5736</v>
      </c>
      <c r="E88" s="5">
        <f t="shared" si="8"/>
        <v>5561.5</v>
      </c>
      <c r="F88" s="5">
        <f t="shared" si="6"/>
        <v>5636.0574418803144</v>
      </c>
      <c r="G88" s="5">
        <f t="shared" si="7"/>
        <v>5500.9405219636483</v>
      </c>
    </row>
    <row r="89" spans="1:7" x14ac:dyDescent="0.3">
      <c r="A89" s="19">
        <v>2024</v>
      </c>
      <c r="B89" s="2" t="s">
        <v>12</v>
      </c>
      <c r="C89" s="2">
        <v>5377</v>
      </c>
      <c r="D89" s="5">
        <f t="shared" si="9"/>
        <v>5685.5</v>
      </c>
      <c r="E89" s="5">
        <f t="shared" si="8"/>
        <v>5562.2000000000007</v>
      </c>
      <c r="F89" s="5">
        <f t="shared" si="6"/>
        <v>5624.7930814102356</v>
      </c>
      <c r="G89" s="5">
        <f t="shared" si="7"/>
        <v>5568.4851304909116</v>
      </c>
    </row>
    <row r="90" spans="1:7" x14ac:dyDescent="0.3">
      <c r="A90" s="19">
        <v>2024</v>
      </c>
      <c r="B90" s="2" t="s">
        <v>13</v>
      </c>
      <c r="C90" s="2">
        <v>5505</v>
      </c>
      <c r="D90" s="5">
        <f t="shared" si="9"/>
        <v>5554.166666666667</v>
      </c>
      <c r="E90" s="5">
        <f t="shared" si="8"/>
        <v>5485.9000000000005</v>
      </c>
      <c r="F90" s="5">
        <f t="shared" si="6"/>
        <v>5562.8448110576765</v>
      </c>
      <c r="G90" s="5">
        <f t="shared" si="7"/>
        <v>5424.8712826227274</v>
      </c>
    </row>
    <row r="91" spans="1:7" x14ac:dyDescent="0.3">
      <c r="A91" s="19">
        <v>2024</v>
      </c>
      <c r="B91" s="2" t="s">
        <v>14</v>
      </c>
      <c r="C91" s="2">
        <v>5525</v>
      </c>
      <c r="D91" s="5">
        <f t="shared" si="9"/>
        <v>5525.5</v>
      </c>
      <c r="E91" s="5">
        <f t="shared" si="8"/>
        <v>5477.9</v>
      </c>
      <c r="F91" s="5">
        <f t="shared" si="6"/>
        <v>5548.3836082932576</v>
      </c>
      <c r="G91" s="5">
        <f t="shared" si="7"/>
        <v>5484.9678206556819</v>
      </c>
    </row>
    <row r="92" spans="1:7" x14ac:dyDescent="0.3">
      <c r="A92" s="19">
        <v>2024</v>
      </c>
      <c r="B92" s="2" t="s">
        <v>15</v>
      </c>
      <c r="C92" s="2">
        <v>5502</v>
      </c>
      <c r="D92" s="5">
        <f t="shared" si="9"/>
        <v>5521.666666666667</v>
      </c>
      <c r="E92" s="5">
        <f t="shared" si="8"/>
        <v>5496</v>
      </c>
      <c r="F92" s="5">
        <f t="shared" si="6"/>
        <v>5542.5377062199432</v>
      </c>
      <c r="G92" s="5">
        <f t="shared" si="7"/>
        <v>5514.9919551639205</v>
      </c>
    </row>
    <row r="93" spans="1:7" x14ac:dyDescent="0.3">
      <c r="A93" s="19">
        <v>2024</v>
      </c>
      <c r="B93" s="2" t="s">
        <v>16</v>
      </c>
      <c r="C93" s="2">
        <v>5591</v>
      </c>
      <c r="D93" s="5">
        <f t="shared" si="9"/>
        <v>5491</v>
      </c>
      <c r="E93" s="5">
        <f t="shared" si="8"/>
        <v>5497</v>
      </c>
      <c r="F93" s="5">
        <f t="shared" si="6"/>
        <v>5532.4032796649572</v>
      </c>
      <c r="G93" s="5">
        <f t="shared" si="7"/>
        <v>5505.2479887909803</v>
      </c>
    </row>
    <row r="94" spans="1:7" x14ac:dyDescent="0.3">
      <c r="A94" s="19">
        <v>2024</v>
      </c>
      <c r="B94" s="2" t="s">
        <v>17</v>
      </c>
      <c r="C94" s="2">
        <v>5781</v>
      </c>
      <c r="D94" s="5">
        <f t="shared" si="9"/>
        <v>5515.166666666667</v>
      </c>
      <c r="E94" s="5">
        <f t="shared" si="8"/>
        <v>5542.5</v>
      </c>
      <c r="F94" s="5">
        <f t="shared" si="6"/>
        <v>5547.0524597487183</v>
      </c>
      <c r="G94" s="5">
        <f t="shared" si="7"/>
        <v>5569.5619971977449</v>
      </c>
    </row>
    <row r="95" spans="1:7" x14ac:dyDescent="0.3">
      <c r="A95" s="19">
        <v>2024</v>
      </c>
      <c r="B95" s="2" t="s">
        <v>18</v>
      </c>
      <c r="C95" s="2">
        <v>6072</v>
      </c>
      <c r="D95" s="5">
        <f t="shared" si="9"/>
        <v>5546.833333333333</v>
      </c>
      <c r="E95" s="5">
        <f t="shared" si="8"/>
        <v>5642.6</v>
      </c>
      <c r="F95" s="5">
        <f t="shared" si="6"/>
        <v>5605.5393448115392</v>
      </c>
      <c r="G95" s="5">
        <f t="shared" si="7"/>
        <v>5728.1404992994358</v>
      </c>
    </row>
    <row r="96" spans="1:7" x14ac:dyDescent="0.3">
      <c r="A96" s="19">
        <v>2024</v>
      </c>
      <c r="B96" s="2" t="s">
        <v>19</v>
      </c>
      <c r="C96" s="2">
        <v>5700</v>
      </c>
      <c r="D96" s="5">
        <f t="shared" si="9"/>
        <v>5662.666666666667</v>
      </c>
      <c r="E96" s="5">
        <f t="shared" si="8"/>
        <v>5831.5</v>
      </c>
      <c r="F96" s="5">
        <f t="shared" si="6"/>
        <v>5722.1545086086544</v>
      </c>
      <c r="G96" s="5">
        <f t="shared" si="7"/>
        <v>5986.0351248248589</v>
      </c>
    </row>
    <row r="97" spans="1:7" x14ac:dyDescent="0.3">
      <c r="A97" s="19">
        <v>2024</v>
      </c>
      <c r="B97" s="2" t="s">
        <v>20</v>
      </c>
      <c r="C97" s="2">
        <v>5465</v>
      </c>
      <c r="D97" s="5">
        <f t="shared" si="9"/>
        <v>5695.166666666667</v>
      </c>
      <c r="E97" s="5">
        <f t="shared" si="8"/>
        <v>5816.9</v>
      </c>
      <c r="F97" s="5">
        <f t="shared" si="6"/>
        <v>5716.6158814564906</v>
      </c>
      <c r="G97" s="5">
        <f t="shared" si="7"/>
        <v>5771.5087812062147</v>
      </c>
    </row>
    <row r="98" spans="1:7" x14ac:dyDescent="0.3">
      <c r="A98" s="19">
        <v>2024</v>
      </c>
      <c r="B98" s="2" t="s">
        <v>21</v>
      </c>
      <c r="C98" s="2">
        <v>5610</v>
      </c>
      <c r="D98" s="5">
        <f t="shared" si="9"/>
        <v>5685.166666666667</v>
      </c>
      <c r="E98" s="5">
        <f t="shared" si="8"/>
        <v>5688.5</v>
      </c>
      <c r="F98" s="5">
        <f t="shared" si="6"/>
        <v>5653.7119110923677</v>
      </c>
      <c r="G98" s="5">
        <f t="shared" si="7"/>
        <v>5541.6271953015539</v>
      </c>
    </row>
    <row r="99" spans="1:7" x14ac:dyDescent="0.3">
      <c r="A99" s="19">
        <v>2025</v>
      </c>
      <c r="B99" s="2" t="s">
        <v>10</v>
      </c>
      <c r="C99" s="2">
        <v>5503</v>
      </c>
      <c r="D99" s="5">
        <f t="shared" si="9"/>
        <v>5703.166666666667</v>
      </c>
      <c r="E99" s="5">
        <f t="shared" si="8"/>
        <v>5630.7</v>
      </c>
      <c r="F99" s="5">
        <f t="shared" si="6"/>
        <v>5642.783933319276</v>
      </c>
      <c r="G99" s="5">
        <f t="shared" si="7"/>
        <v>5592.9067988253883</v>
      </c>
    </row>
    <row r="100" spans="1:7" x14ac:dyDescent="0.3">
      <c r="A100" s="19">
        <v>2025</v>
      </c>
      <c r="B100" s="2" t="s">
        <v>11</v>
      </c>
      <c r="C100" s="2">
        <v>5569</v>
      </c>
      <c r="D100" s="5">
        <f t="shared" si="9"/>
        <v>5688.5</v>
      </c>
      <c r="E100" s="5">
        <f t="shared" si="8"/>
        <v>5547.2000000000007</v>
      </c>
      <c r="F100" s="5">
        <f t="shared" si="6"/>
        <v>5607.8379499894572</v>
      </c>
      <c r="G100" s="5">
        <f t="shared" si="7"/>
        <v>5525.4766997063471</v>
      </c>
    </row>
    <row r="101" spans="1:7" x14ac:dyDescent="0.3">
      <c r="A101" s="19">
        <v>2025</v>
      </c>
      <c r="B101" s="2" t="s">
        <v>12</v>
      </c>
      <c r="C101" s="2">
        <v>5297</v>
      </c>
      <c r="D101" s="5">
        <f t="shared" si="9"/>
        <v>5653.166666666667</v>
      </c>
      <c r="E101" s="5">
        <f t="shared" si="8"/>
        <v>5547</v>
      </c>
      <c r="F101" s="5">
        <f t="shared" si="6"/>
        <v>5598.1284624920927</v>
      </c>
      <c r="G101" s="5">
        <f t="shared" si="7"/>
        <v>5558.1191749265872</v>
      </c>
    </row>
    <row r="102" spans="1:7" x14ac:dyDescent="0.3">
      <c r="A102" s="19">
        <v>2025</v>
      </c>
      <c r="B102" s="2" t="s">
        <v>13</v>
      </c>
      <c r="C102" s="2">
        <v>5530</v>
      </c>
      <c r="D102" s="5">
        <f t="shared" si="9"/>
        <v>5524</v>
      </c>
      <c r="E102" s="5">
        <f t="shared" si="8"/>
        <v>5451.1</v>
      </c>
      <c r="F102" s="5">
        <f t="shared" si="6"/>
        <v>5522.8463468690697</v>
      </c>
      <c r="G102" s="5">
        <f t="shared" si="7"/>
        <v>5362.2797937316464</v>
      </c>
    </row>
    <row r="103" spans="1:7" x14ac:dyDescent="0.3">
      <c r="A103" s="19">
        <v>2025</v>
      </c>
      <c r="B103" s="2" t="s">
        <v>14</v>
      </c>
      <c r="C103" s="2">
        <v>5401</v>
      </c>
      <c r="D103" s="5">
        <f t="shared" si="9"/>
        <v>5495.666666666667</v>
      </c>
      <c r="E103" s="5">
        <f t="shared" si="8"/>
        <v>5465.2</v>
      </c>
      <c r="F103" s="5">
        <f t="shared" si="6"/>
        <v>5524.6347601518028</v>
      </c>
      <c r="G103" s="5">
        <f t="shared" si="7"/>
        <v>5488.0699484329116</v>
      </c>
    </row>
    <row r="104" spans="1:7" x14ac:dyDescent="0.3">
      <c r="A104" s="19">
        <v>2025</v>
      </c>
      <c r="B104" s="2" t="s">
        <v>15</v>
      </c>
      <c r="C104" s="2">
        <v>5532</v>
      </c>
      <c r="D104" s="5">
        <f t="shared" si="9"/>
        <v>5485</v>
      </c>
      <c r="E104" s="5">
        <f t="shared" si="8"/>
        <v>5435.7000000000007</v>
      </c>
      <c r="F104" s="5">
        <f t="shared" si="6"/>
        <v>5493.7260701138521</v>
      </c>
      <c r="G104" s="5">
        <f t="shared" si="7"/>
        <v>5422.7674871082281</v>
      </c>
    </row>
    <row r="105" spans="1:7" x14ac:dyDescent="0.3">
      <c r="A105" s="19">
        <v>2025</v>
      </c>
      <c r="B105" s="2" t="s">
        <v>16</v>
      </c>
      <c r="C105" s="2">
        <v>5495</v>
      </c>
      <c r="D105" s="5">
        <f t="shared" si="9"/>
        <v>5472</v>
      </c>
      <c r="E105" s="5">
        <f t="shared" si="8"/>
        <v>5468.8</v>
      </c>
      <c r="F105" s="5">
        <f t="shared" si="6"/>
        <v>5503.2945525853893</v>
      </c>
      <c r="G105" s="5">
        <f t="shared" si="7"/>
        <v>5504.6918717770568</v>
      </c>
    </row>
    <row r="106" spans="1:7" x14ac:dyDescent="0.3">
      <c r="A106" s="19">
        <v>2025</v>
      </c>
      <c r="B106" s="2" t="s">
        <v>17</v>
      </c>
      <c r="C106" s="2">
        <v>5805</v>
      </c>
      <c r="D106" s="5">
        <f t="shared" si="9"/>
        <v>5470.666666666667</v>
      </c>
      <c r="E106" s="5">
        <f t="shared" si="8"/>
        <v>5490.8</v>
      </c>
      <c r="F106" s="5">
        <f t="shared" si="6"/>
        <v>5501.2209144390417</v>
      </c>
      <c r="G106" s="5">
        <f t="shared" si="7"/>
        <v>5497.4229679442642</v>
      </c>
    </row>
    <row r="107" spans="1:7" x14ac:dyDescent="0.3">
      <c r="A107" s="19">
        <v>2025</v>
      </c>
      <c r="B107" s="2" t="s">
        <v>18</v>
      </c>
      <c r="C107" s="2">
        <v>5999</v>
      </c>
      <c r="D107" s="5">
        <f t="shared" si="9"/>
        <v>5510</v>
      </c>
      <c r="E107" s="5">
        <f t="shared" si="8"/>
        <v>5617</v>
      </c>
      <c r="F107" s="5">
        <f t="shared" si="6"/>
        <v>5577.1656858292808</v>
      </c>
      <c r="G107" s="5">
        <f t="shared" si="7"/>
        <v>5728.1057419860663</v>
      </c>
    </row>
    <row r="108" spans="1:7" x14ac:dyDescent="0.3">
      <c r="A108" s="19">
        <v>2025</v>
      </c>
      <c r="B108" s="2" t="s">
        <v>19</v>
      </c>
      <c r="C108" s="2">
        <v>5538</v>
      </c>
      <c r="D108" s="5">
        <f t="shared" si="9"/>
        <v>5627</v>
      </c>
      <c r="E108" s="5">
        <f t="shared" si="8"/>
        <v>5793.2999999999993</v>
      </c>
      <c r="F108" s="5">
        <f t="shared" si="6"/>
        <v>5682.6242643719606</v>
      </c>
      <c r="G108" s="5">
        <f t="shared" si="7"/>
        <v>5931.2764354965166</v>
      </c>
    </row>
    <row r="109" spans="1:7" x14ac:dyDescent="0.3">
      <c r="A109" s="19">
        <v>2025</v>
      </c>
      <c r="B109" s="2" t="s">
        <v>20</v>
      </c>
      <c r="C109" s="2">
        <v>5445</v>
      </c>
      <c r="D109" s="5">
        <f t="shared" si="9"/>
        <v>5628.333333333333</v>
      </c>
      <c r="E109" s="5">
        <f t="shared" si="8"/>
        <v>5725.4</v>
      </c>
      <c r="F109" s="5">
        <f t="shared" si="6"/>
        <v>5646.4681982789707</v>
      </c>
      <c r="G109" s="5">
        <f t="shared" si="7"/>
        <v>5636.3191088741296</v>
      </c>
    </row>
    <row r="110" spans="1:7" x14ac:dyDescent="0.3">
      <c r="A110" s="19">
        <v>2025</v>
      </c>
      <c r="B110" s="2" t="s">
        <v>21</v>
      </c>
      <c r="C110" s="2">
        <v>5535</v>
      </c>
      <c r="D110" s="5">
        <f>AVERAGE(C104:C109)</f>
        <v>5635.666666666667</v>
      </c>
      <c r="E110" s="5">
        <f>C106*0.1+C107*0.2+C108*0.3+C109*0.4</f>
        <v>5619.7</v>
      </c>
      <c r="F110" s="5">
        <f>F$2*$C109+(1-F$2)*F109</f>
        <v>5596.1011487092283</v>
      </c>
      <c r="G110" s="5">
        <f>G$2*$C109+(1-G$2)*G109</f>
        <v>5492.8297772185324</v>
      </c>
    </row>
  </sheetData>
  <mergeCells count="12">
    <mergeCell ref="A99:A110"/>
    <mergeCell ref="A1:A2"/>
    <mergeCell ref="B1:B2"/>
    <mergeCell ref="C1:C2"/>
    <mergeCell ref="A3:A14"/>
    <mergeCell ref="A15:A26"/>
    <mergeCell ref="A27:A38"/>
    <mergeCell ref="A39:A50"/>
    <mergeCell ref="A51:A62"/>
    <mergeCell ref="A63:A74"/>
    <mergeCell ref="A75:A86"/>
    <mergeCell ref="A87:A9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tabSelected="1" topLeftCell="A28" zoomScale="115" zoomScaleNormal="115" workbookViewId="0">
      <selection activeCell="D28" sqref="D28"/>
    </sheetView>
  </sheetViews>
  <sheetFormatPr baseColWidth="10" defaultColWidth="8.6640625" defaultRowHeight="14.4" x14ac:dyDescent="0.3"/>
  <cols>
    <col min="1" max="1" width="7.88671875" customWidth="1"/>
    <col min="2" max="2" width="9.88671875" bestFit="1" customWidth="1"/>
    <col min="3" max="3" width="11.33203125" customWidth="1"/>
    <col min="4" max="7" width="26.88671875" customWidth="1"/>
  </cols>
  <sheetData>
    <row r="1" spans="1:7" x14ac:dyDescent="0.3">
      <c r="A1" s="12" t="s">
        <v>138</v>
      </c>
    </row>
    <row r="2" spans="1:7" x14ac:dyDescent="0.3">
      <c r="A2" s="18" t="s">
        <v>131</v>
      </c>
      <c r="B2" s="18" t="s">
        <v>0</v>
      </c>
      <c r="C2" s="18" t="s">
        <v>22</v>
      </c>
      <c r="D2" s="4" t="s">
        <v>142</v>
      </c>
      <c r="E2" s="4" t="s">
        <v>135</v>
      </c>
      <c r="F2" s="4" t="s">
        <v>136</v>
      </c>
      <c r="G2" s="4" t="s">
        <v>136</v>
      </c>
    </row>
    <row r="3" spans="1:7" x14ac:dyDescent="0.3">
      <c r="A3" s="18"/>
      <c r="B3" s="18"/>
      <c r="C3" s="18"/>
      <c r="D3" s="4" t="s">
        <v>133</v>
      </c>
      <c r="E3" s="4" t="s">
        <v>134</v>
      </c>
      <c r="F3" s="1">
        <v>0.25</v>
      </c>
      <c r="G3" s="1">
        <v>0.75</v>
      </c>
    </row>
    <row r="4" spans="1:7" x14ac:dyDescent="0.3">
      <c r="A4" s="19">
        <v>2025</v>
      </c>
      <c r="B4" s="2" t="s">
        <v>10</v>
      </c>
      <c r="C4" s="2">
        <v>5503</v>
      </c>
      <c r="D4" s="8">
        <f>ROUND('Q3 - Prévisions non arrondies'!D99,0)</f>
        <v>5703</v>
      </c>
      <c r="E4" s="8">
        <f>ROUND('Q3 - Prévisions non arrondies'!E99,0)</f>
        <v>5631</v>
      </c>
      <c r="F4" s="8">
        <f>ROUND('Q3 - Prévisions non arrondies'!F99,0)</f>
        <v>5643</v>
      </c>
      <c r="G4" s="8">
        <f>ROUND('Q3 - Prévisions non arrondies'!G99,0)</f>
        <v>5593</v>
      </c>
    </row>
    <row r="5" spans="1:7" x14ac:dyDescent="0.3">
      <c r="A5" s="19"/>
      <c r="B5" s="2" t="s">
        <v>11</v>
      </c>
      <c r="C5" s="2">
        <v>5569</v>
      </c>
      <c r="D5" s="8">
        <f>ROUND('Q3 - Prévisions non arrondies'!D100,0)</f>
        <v>5689</v>
      </c>
      <c r="E5" s="8">
        <f>ROUND('Q3 - Prévisions non arrondies'!E100,0)</f>
        <v>5547</v>
      </c>
      <c r="F5" s="8">
        <f>ROUND('Q3 - Prévisions non arrondies'!F100,0)</f>
        <v>5608</v>
      </c>
      <c r="G5" s="8">
        <f>ROUND('Q3 - Prévisions non arrondies'!G100,0)</f>
        <v>5525</v>
      </c>
    </row>
    <row r="6" spans="1:7" x14ac:dyDescent="0.3">
      <c r="A6" s="19"/>
      <c r="B6" s="2" t="s">
        <v>12</v>
      </c>
      <c r="C6" s="2">
        <v>5297</v>
      </c>
      <c r="D6" s="8">
        <f>ROUND('Q3 - Prévisions non arrondies'!D101,0)</f>
        <v>5653</v>
      </c>
      <c r="E6" s="8">
        <f>ROUND('Q3 - Prévisions non arrondies'!E101,0)</f>
        <v>5547</v>
      </c>
      <c r="F6" s="8">
        <f>ROUND('Q3 - Prévisions non arrondies'!F101,0)</f>
        <v>5598</v>
      </c>
      <c r="G6" s="8">
        <f>ROUND('Q3 - Prévisions non arrondies'!G101,0)</f>
        <v>5558</v>
      </c>
    </row>
    <row r="7" spans="1:7" x14ac:dyDescent="0.3">
      <c r="A7" s="19"/>
      <c r="B7" s="2" t="s">
        <v>13</v>
      </c>
      <c r="C7" s="2">
        <v>5530</v>
      </c>
      <c r="D7" s="8">
        <f>ROUND('Q3 - Prévisions non arrondies'!D102,0)</f>
        <v>5524</v>
      </c>
      <c r="E7" s="8">
        <f>ROUND('Q3 - Prévisions non arrondies'!E102,0)</f>
        <v>5451</v>
      </c>
      <c r="F7" s="8">
        <f>ROUND('Q3 - Prévisions non arrondies'!F102,0)</f>
        <v>5523</v>
      </c>
      <c r="G7" s="8">
        <f>ROUND('Q3 - Prévisions non arrondies'!G102,0)</f>
        <v>5362</v>
      </c>
    </row>
    <row r="8" spans="1:7" x14ac:dyDescent="0.3">
      <c r="A8" s="19"/>
      <c r="B8" s="2" t="s">
        <v>14</v>
      </c>
      <c r="C8" s="2">
        <v>5401</v>
      </c>
      <c r="D8" s="8">
        <f>ROUND('Q3 - Prévisions non arrondies'!D103,0)</f>
        <v>5496</v>
      </c>
      <c r="E8" s="8">
        <f>ROUND('Q3 - Prévisions non arrondies'!E103,0)</f>
        <v>5465</v>
      </c>
      <c r="F8" s="8">
        <f>ROUND('Q3 - Prévisions non arrondies'!F103,0)</f>
        <v>5525</v>
      </c>
      <c r="G8" s="8">
        <f>ROUND('Q3 - Prévisions non arrondies'!G103,0)</f>
        <v>5488</v>
      </c>
    </row>
    <row r="9" spans="1:7" x14ac:dyDescent="0.3">
      <c r="A9" s="19"/>
      <c r="B9" s="2" t="s">
        <v>15</v>
      </c>
      <c r="C9" s="2">
        <v>5532</v>
      </c>
      <c r="D9" s="8">
        <f>ROUND('Q3 - Prévisions non arrondies'!D104,0)</f>
        <v>5485</v>
      </c>
      <c r="E9" s="8">
        <f>ROUND('Q3 - Prévisions non arrondies'!E104,0)</f>
        <v>5436</v>
      </c>
      <c r="F9" s="8">
        <f>ROUND('Q3 - Prévisions non arrondies'!F104,0)</f>
        <v>5494</v>
      </c>
      <c r="G9" s="8">
        <f>ROUND('Q3 - Prévisions non arrondies'!G104,0)</f>
        <v>5423</v>
      </c>
    </row>
    <row r="10" spans="1:7" x14ac:dyDescent="0.3">
      <c r="A10" s="19"/>
      <c r="B10" s="2" t="s">
        <v>16</v>
      </c>
      <c r="C10" s="2">
        <v>5495</v>
      </c>
      <c r="D10" s="8">
        <f>ROUND('Q3 - Prévisions non arrondies'!D105,0)</f>
        <v>5472</v>
      </c>
      <c r="E10" s="8">
        <f>ROUND('Q3 - Prévisions non arrondies'!E105,0)</f>
        <v>5469</v>
      </c>
      <c r="F10" s="8">
        <f>ROUND('Q3 - Prévisions non arrondies'!F105,0)</f>
        <v>5503</v>
      </c>
      <c r="G10" s="8">
        <f>ROUND('Q3 - Prévisions non arrondies'!G105,0)</f>
        <v>5505</v>
      </c>
    </row>
    <row r="11" spans="1:7" x14ac:dyDescent="0.3">
      <c r="A11" s="19"/>
      <c r="B11" s="2" t="s">
        <v>17</v>
      </c>
      <c r="C11" s="2">
        <v>5805</v>
      </c>
      <c r="D11" s="8">
        <f>ROUND('Q3 - Prévisions non arrondies'!D106,0)</f>
        <v>5471</v>
      </c>
      <c r="E11" s="8">
        <f>ROUND('Q3 - Prévisions non arrondies'!E106,0)</f>
        <v>5491</v>
      </c>
      <c r="F11" s="8">
        <f>ROUND('Q3 - Prévisions non arrondies'!F106,0)</f>
        <v>5501</v>
      </c>
      <c r="G11" s="8">
        <f>ROUND('Q3 - Prévisions non arrondies'!G106,0)</f>
        <v>5497</v>
      </c>
    </row>
    <row r="12" spans="1:7" x14ac:dyDescent="0.3">
      <c r="A12" s="19"/>
      <c r="B12" s="2" t="s">
        <v>18</v>
      </c>
      <c r="C12" s="2">
        <v>5999</v>
      </c>
      <c r="D12" s="8">
        <f>ROUND('Q3 - Prévisions non arrondies'!D107,0)</f>
        <v>5510</v>
      </c>
      <c r="E12" s="8">
        <f>ROUND('Q3 - Prévisions non arrondies'!E107,0)</f>
        <v>5617</v>
      </c>
      <c r="F12" s="8">
        <f>ROUND('Q3 - Prévisions non arrondies'!F107,0)</f>
        <v>5577</v>
      </c>
      <c r="G12" s="8">
        <f>ROUND('Q3 - Prévisions non arrondies'!G107,0)</f>
        <v>5728</v>
      </c>
    </row>
    <row r="13" spans="1:7" x14ac:dyDescent="0.3">
      <c r="A13" s="19"/>
      <c r="B13" s="2" t="s">
        <v>19</v>
      </c>
      <c r="C13" s="2">
        <v>5538</v>
      </c>
      <c r="D13" s="8">
        <f>ROUND('Q3 - Prévisions non arrondies'!D108,0)</f>
        <v>5627</v>
      </c>
      <c r="E13" s="8">
        <f>ROUND('Q3 - Prévisions non arrondies'!E108,0)</f>
        <v>5793</v>
      </c>
      <c r="F13" s="8">
        <f>ROUND('Q3 - Prévisions non arrondies'!F108,0)</f>
        <v>5683</v>
      </c>
      <c r="G13" s="8">
        <f>ROUND('Q3 - Prévisions non arrondies'!G108,0)</f>
        <v>5931</v>
      </c>
    </row>
    <row r="14" spans="1:7" x14ac:dyDescent="0.3">
      <c r="A14" s="19"/>
      <c r="B14" s="2" t="s">
        <v>20</v>
      </c>
      <c r="C14" s="2">
        <v>5445</v>
      </c>
      <c r="D14" s="8">
        <f>ROUND('Q3 - Prévisions non arrondies'!D109,0)</f>
        <v>5628</v>
      </c>
      <c r="E14" s="8">
        <f>ROUND('Q3 - Prévisions non arrondies'!E109,0)</f>
        <v>5725</v>
      </c>
      <c r="F14" s="8">
        <f>ROUND('Q3 - Prévisions non arrondies'!F109,0)</f>
        <v>5646</v>
      </c>
      <c r="G14" s="8">
        <f>ROUND('Q3 - Prévisions non arrondies'!G109,0)</f>
        <v>5636</v>
      </c>
    </row>
    <row r="15" spans="1:7" x14ac:dyDescent="0.3">
      <c r="A15" s="19"/>
      <c r="B15" s="2" t="s">
        <v>21</v>
      </c>
      <c r="C15" s="2">
        <v>5535</v>
      </c>
      <c r="D15" s="8">
        <f>ROUND('Q3 - Prévisions non arrondies'!D110,0)</f>
        <v>5636</v>
      </c>
      <c r="E15" s="8">
        <f>ROUND('Q3 - Prévisions non arrondies'!E110,0)</f>
        <v>5620</v>
      </c>
      <c r="F15" s="8">
        <f>ROUND('Q3 - Prévisions non arrondies'!F110,0)</f>
        <v>5596</v>
      </c>
      <c r="G15" s="8">
        <f>ROUND('Q3 - Prévisions non arrondies'!G110,0)</f>
        <v>5493</v>
      </c>
    </row>
    <row r="18" spans="1:7" x14ac:dyDescent="0.3">
      <c r="A18" s="12" t="s">
        <v>139</v>
      </c>
    </row>
    <row r="19" spans="1:7" x14ac:dyDescent="0.3">
      <c r="A19" s="18" t="s">
        <v>131</v>
      </c>
      <c r="B19" s="18" t="s">
        <v>0</v>
      </c>
      <c r="C19" s="18" t="s">
        <v>22</v>
      </c>
      <c r="D19" s="4" t="s">
        <v>142</v>
      </c>
      <c r="E19" s="4" t="s">
        <v>135</v>
      </c>
      <c r="F19" s="4" t="s">
        <v>136</v>
      </c>
      <c r="G19" s="4" t="s">
        <v>136</v>
      </c>
    </row>
    <row r="20" spans="1:7" x14ac:dyDescent="0.3">
      <c r="A20" s="18"/>
      <c r="B20" s="18"/>
      <c r="C20" s="18"/>
      <c r="D20" s="4" t="s">
        <v>133</v>
      </c>
      <c r="E20" s="4" t="s">
        <v>134</v>
      </c>
      <c r="F20" s="1">
        <v>0.25</v>
      </c>
      <c r="G20" s="1">
        <v>0.75</v>
      </c>
    </row>
    <row r="21" spans="1:7" x14ac:dyDescent="0.3">
      <c r="A21" s="19">
        <v>2025</v>
      </c>
      <c r="B21" s="2" t="s">
        <v>10</v>
      </c>
      <c r="C21" s="2">
        <v>5503</v>
      </c>
      <c r="D21" s="13">
        <f>($C21-D4)</f>
        <v>-200</v>
      </c>
      <c r="E21" s="13">
        <f t="shared" ref="E21:G21" si="0">($C21-E4)</f>
        <v>-128</v>
      </c>
      <c r="F21" s="13">
        <f t="shared" si="0"/>
        <v>-140</v>
      </c>
      <c r="G21" s="13">
        <f t="shared" si="0"/>
        <v>-90</v>
      </c>
    </row>
    <row r="22" spans="1:7" x14ac:dyDescent="0.3">
      <c r="A22" s="19"/>
      <c r="B22" s="2" t="s">
        <v>11</v>
      </c>
      <c r="C22" s="2">
        <v>5569</v>
      </c>
      <c r="D22" s="13">
        <f t="shared" ref="D22:G22" si="1">($C22-D5)</f>
        <v>-120</v>
      </c>
      <c r="E22" s="13">
        <f t="shared" si="1"/>
        <v>22</v>
      </c>
      <c r="F22" s="13">
        <f t="shared" si="1"/>
        <v>-39</v>
      </c>
      <c r="G22" s="13">
        <f t="shared" si="1"/>
        <v>44</v>
      </c>
    </row>
    <row r="23" spans="1:7" x14ac:dyDescent="0.3">
      <c r="A23" s="19"/>
      <c r="B23" s="2" t="s">
        <v>12</v>
      </c>
      <c r="C23" s="2">
        <v>5297</v>
      </c>
      <c r="D23" s="13">
        <f t="shared" ref="D23:G23" si="2">($C23-D6)</f>
        <v>-356</v>
      </c>
      <c r="E23" s="13">
        <f t="shared" si="2"/>
        <v>-250</v>
      </c>
      <c r="F23" s="13">
        <f t="shared" si="2"/>
        <v>-301</v>
      </c>
      <c r="G23" s="13">
        <f t="shared" si="2"/>
        <v>-261</v>
      </c>
    </row>
    <row r="24" spans="1:7" x14ac:dyDescent="0.3">
      <c r="A24" s="19"/>
      <c r="B24" s="2" t="s">
        <v>13</v>
      </c>
      <c r="C24" s="2">
        <v>5530</v>
      </c>
      <c r="D24" s="13">
        <f t="shared" ref="D24:G24" si="3">($C24-D7)</f>
        <v>6</v>
      </c>
      <c r="E24" s="13">
        <f t="shared" si="3"/>
        <v>79</v>
      </c>
      <c r="F24" s="13">
        <f t="shared" si="3"/>
        <v>7</v>
      </c>
      <c r="G24" s="13">
        <f t="shared" si="3"/>
        <v>168</v>
      </c>
    </row>
    <row r="25" spans="1:7" x14ac:dyDescent="0.3">
      <c r="A25" s="19"/>
      <c r="B25" s="2" t="s">
        <v>14</v>
      </c>
      <c r="C25" s="2">
        <v>5401</v>
      </c>
      <c r="D25" s="13">
        <f t="shared" ref="D25:G25" si="4">($C25-D8)</f>
        <v>-95</v>
      </c>
      <c r="E25" s="13">
        <f t="shared" si="4"/>
        <v>-64</v>
      </c>
      <c r="F25" s="13">
        <f t="shared" si="4"/>
        <v>-124</v>
      </c>
      <c r="G25" s="13">
        <f t="shared" si="4"/>
        <v>-87</v>
      </c>
    </row>
    <row r="26" spans="1:7" x14ac:dyDescent="0.3">
      <c r="A26" s="19"/>
      <c r="B26" s="2" t="s">
        <v>15</v>
      </c>
      <c r="C26" s="2">
        <v>5532</v>
      </c>
      <c r="D26" s="13">
        <f t="shared" ref="D26:G26" si="5">($C26-D9)</f>
        <v>47</v>
      </c>
      <c r="E26" s="13">
        <f t="shared" si="5"/>
        <v>96</v>
      </c>
      <c r="F26" s="13">
        <f t="shared" si="5"/>
        <v>38</v>
      </c>
      <c r="G26" s="13">
        <f t="shared" si="5"/>
        <v>109</v>
      </c>
    </row>
    <row r="27" spans="1:7" x14ac:dyDescent="0.3">
      <c r="A27" s="19"/>
      <c r="B27" s="2" t="s">
        <v>16</v>
      </c>
      <c r="C27" s="2">
        <v>5495</v>
      </c>
      <c r="D27" s="13">
        <f t="shared" ref="D27:G27" si="6">($C27-D10)</f>
        <v>23</v>
      </c>
      <c r="E27" s="13">
        <f t="shared" si="6"/>
        <v>26</v>
      </c>
      <c r="F27" s="13">
        <f t="shared" si="6"/>
        <v>-8</v>
      </c>
      <c r="G27" s="13">
        <f t="shared" si="6"/>
        <v>-10</v>
      </c>
    </row>
    <row r="28" spans="1:7" x14ac:dyDescent="0.3">
      <c r="A28" s="19"/>
      <c r="B28" s="2" t="s">
        <v>17</v>
      </c>
      <c r="C28" s="2">
        <v>5805</v>
      </c>
      <c r="D28" s="13">
        <f t="shared" ref="D28:G28" si="7">($C28-D11)</f>
        <v>334</v>
      </c>
      <c r="E28" s="13">
        <f t="shared" si="7"/>
        <v>314</v>
      </c>
      <c r="F28" s="13">
        <f t="shared" si="7"/>
        <v>304</v>
      </c>
      <c r="G28" s="13">
        <f t="shared" si="7"/>
        <v>308</v>
      </c>
    </row>
    <row r="29" spans="1:7" x14ac:dyDescent="0.3">
      <c r="A29" s="19"/>
      <c r="B29" s="2" t="s">
        <v>18</v>
      </c>
      <c r="C29" s="2">
        <v>5999</v>
      </c>
      <c r="D29" s="13">
        <f t="shared" ref="D29:G29" si="8">($C29-D12)</f>
        <v>489</v>
      </c>
      <c r="E29" s="13">
        <f t="shared" si="8"/>
        <v>382</v>
      </c>
      <c r="F29" s="13">
        <f t="shared" si="8"/>
        <v>422</v>
      </c>
      <c r="G29" s="13">
        <f t="shared" si="8"/>
        <v>271</v>
      </c>
    </row>
    <row r="30" spans="1:7" x14ac:dyDescent="0.3">
      <c r="A30" s="19"/>
      <c r="B30" s="2" t="s">
        <v>19</v>
      </c>
      <c r="C30" s="2">
        <v>5538</v>
      </c>
      <c r="D30" s="13">
        <f t="shared" ref="D30:G30" si="9">($C30-D13)</f>
        <v>-89</v>
      </c>
      <c r="E30" s="13">
        <f t="shared" si="9"/>
        <v>-255</v>
      </c>
      <c r="F30" s="13">
        <f t="shared" si="9"/>
        <v>-145</v>
      </c>
      <c r="G30" s="13">
        <f t="shared" si="9"/>
        <v>-393</v>
      </c>
    </row>
    <row r="31" spans="1:7" x14ac:dyDescent="0.3">
      <c r="A31" s="19"/>
      <c r="B31" s="2" t="s">
        <v>20</v>
      </c>
      <c r="C31" s="2">
        <v>5445</v>
      </c>
      <c r="D31" s="13">
        <f t="shared" ref="D31:G31" si="10">($C31-D14)</f>
        <v>-183</v>
      </c>
      <c r="E31" s="13">
        <f t="shared" si="10"/>
        <v>-280</v>
      </c>
      <c r="F31" s="13">
        <f t="shared" si="10"/>
        <v>-201</v>
      </c>
      <c r="G31" s="13">
        <f t="shared" si="10"/>
        <v>-191</v>
      </c>
    </row>
    <row r="32" spans="1:7" x14ac:dyDescent="0.3">
      <c r="A32" s="19"/>
      <c r="B32" s="2" t="s">
        <v>21</v>
      </c>
      <c r="C32" s="2">
        <v>5535</v>
      </c>
      <c r="D32" s="13">
        <f t="shared" ref="D32:G32" si="11">($C32-D15)</f>
        <v>-101</v>
      </c>
      <c r="E32" s="13">
        <f t="shared" si="11"/>
        <v>-85</v>
      </c>
      <c r="F32" s="13">
        <f t="shared" si="11"/>
        <v>-61</v>
      </c>
      <c r="G32" s="13">
        <f t="shared" si="11"/>
        <v>42</v>
      </c>
    </row>
    <row r="33" spans="1:7" x14ac:dyDescent="0.3">
      <c r="A33" s="20" t="s">
        <v>141</v>
      </c>
      <c r="B33" s="20"/>
      <c r="C33" s="20"/>
      <c r="D33" s="14">
        <f>AVERAGE(D21:D32)</f>
        <v>-20.416666666666668</v>
      </c>
      <c r="E33" s="14">
        <f t="shared" ref="E33:G33" si="12">AVERAGE(E21:E32)</f>
        <v>-11.916666666666666</v>
      </c>
      <c r="F33" s="15">
        <f t="shared" si="12"/>
        <v>-20.666666666666668</v>
      </c>
      <c r="G33" s="14">
        <f t="shared" si="12"/>
        <v>-7.5</v>
      </c>
    </row>
    <row r="36" spans="1:7" x14ac:dyDescent="0.3">
      <c r="A36" s="12" t="s">
        <v>140</v>
      </c>
    </row>
    <row r="37" spans="1:7" x14ac:dyDescent="0.3">
      <c r="A37" s="18" t="s">
        <v>131</v>
      </c>
      <c r="B37" s="18" t="s">
        <v>0</v>
      </c>
      <c r="C37" s="18" t="s">
        <v>22</v>
      </c>
      <c r="D37" s="4" t="s">
        <v>142</v>
      </c>
      <c r="E37" s="4" t="s">
        <v>135</v>
      </c>
      <c r="F37" s="4" t="s">
        <v>136</v>
      </c>
      <c r="G37" s="4" t="s">
        <v>136</v>
      </c>
    </row>
    <row r="38" spans="1:7" x14ac:dyDescent="0.3">
      <c r="A38" s="18"/>
      <c r="B38" s="18"/>
      <c r="C38" s="18"/>
      <c r="D38" s="4" t="s">
        <v>133</v>
      </c>
      <c r="E38" s="4" t="s">
        <v>134</v>
      </c>
      <c r="F38" s="1">
        <v>0.25</v>
      </c>
      <c r="G38" s="1">
        <v>0.75</v>
      </c>
    </row>
    <row r="39" spans="1:7" x14ac:dyDescent="0.3">
      <c r="A39" s="19">
        <v>2025</v>
      </c>
      <c r="B39" s="2" t="s">
        <v>10</v>
      </c>
      <c r="C39" s="2">
        <v>5503</v>
      </c>
      <c r="D39" s="13">
        <f>D21*D21</f>
        <v>40000</v>
      </c>
      <c r="E39" s="13">
        <f t="shared" ref="E39:G39" si="13">E21*E21</f>
        <v>16384</v>
      </c>
      <c r="F39" s="13">
        <f t="shared" si="13"/>
        <v>19600</v>
      </c>
      <c r="G39" s="13">
        <f t="shared" si="13"/>
        <v>8100</v>
      </c>
    </row>
    <row r="40" spans="1:7" x14ac:dyDescent="0.3">
      <c r="A40" s="19"/>
      <c r="B40" s="2" t="s">
        <v>11</v>
      </c>
      <c r="C40" s="2">
        <v>5569</v>
      </c>
      <c r="D40" s="13">
        <f t="shared" ref="D40:G40" si="14">D22*D22</f>
        <v>14400</v>
      </c>
      <c r="E40" s="13">
        <f t="shared" si="14"/>
        <v>484</v>
      </c>
      <c r="F40" s="13">
        <f t="shared" si="14"/>
        <v>1521</v>
      </c>
      <c r="G40" s="13">
        <f t="shared" si="14"/>
        <v>1936</v>
      </c>
    </row>
    <row r="41" spans="1:7" x14ac:dyDescent="0.3">
      <c r="A41" s="19"/>
      <c r="B41" s="2" t="s">
        <v>12</v>
      </c>
      <c r="C41" s="2">
        <v>5297</v>
      </c>
      <c r="D41" s="13">
        <f t="shared" ref="D41:G41" si="15">D23*D23</f>
        <v>126736</v>
      </c>
      <c r="E41" s="13">
        <f t="shared" si="15"/>
        <v>62500</v>
      </c>
      <c r="F41" s="13">
        <f t="shared" si="15"/>
        <v>90601</v>
      </c>
      <c r="G41" s="13">
        <f t="shared" si="15"/>
        <v>68121</v>
      </c>
    </row>
    <row r="42" spans="1:7" x14ac:dyDescent="0.3">
      <c r="A42" s="19"/>
      <c r="B42" s="2" t="s">
        <v>13</v>
      </c>
      <c r="C42" s="2">
        <v>5530</v>
      </c>
      <c r="D42" s="13">
        <f t="shared" ref="D42:G42" si="16">D24*D24</f>
        <v>36</v>
      </c>
      <c r="E42" s="13">
        <f t="shared" si="16"/>
        <v>6241</v>
      </c>
      <c r="F42" s="13">
        <f t="shared" si="16"/>
        <v>49</v>
      </c>
      <c r="G42" s="13">
        <f t="shared" si="16"/>
        <v>28224</v>
      </c>
    </row>
    <row r="43" spans="1:7" x14ac:dyDescent="0.3">
      <c r="A43" s="19"/>
      <c r="B43" s="2" t="s">
        <v>14</v>
      </c>
      <c r="C43" s="2">
        <v>5401</v>
      </c>
      <c r="D43" s="13">
        <f t="shared" ref="D43:G43" si="17">D25*D25</f>
        <v>9025</v>
      </c>
      <c r="E43" s="13">
        <f t="shared" si="17"/>
        <v>4096</v>
      </c>
      <c r="F43" s="13">
        <f t="shared" si="17"/>
        <v>15376</v>
      </c>
      <c r="G43" s="13">
        <f t="shared" si="17"/>
        <v>7569</v>
      </c>
    </row>
    <row r="44" spans="1:7" x14ac:dyDescent="0.3">
      <c r="A44" s="19"/>
      <c r="B44" s="2" t="s">
        <v>15</v>
      </c>
      <c r="C44" s="2">
        <v>5532</v>
      </c>
      <c r="D44" s="13">
        <f t="shared" ref="D44:G44" si="18">D26*D26</f>
        <v>2209</v>
      </c>
      <c r="E44" s="13">
        <f t="shared" si="18"/>
        <v>9216</v>
      </c>
      <c r="F44" s="13">
        <f t="shared" si="18"/>
        <v>1444</v>
      </c>
      <c r="G44" s="13">
        <f t="shared" si="18"/>
        <v>11881</v>
      </c>
    </row>
    <row r="45" spans="1:7" x14ac:dyDescent="0.3">
      <c r="A45" s="19"/>
      <c r="B45" s="2" t="s">
        <v>16</v>
      </c>
      <c r="C45" s="2">
        <v>5495</v>
      </c>
      <c r="D45" s="13">
        <f t="shared" ref="D45:G45" si="19">D27*D27</f>
        <v>529</v>
      </c>
      <c r="E45" s="13">
        <f t="shared" si="19"/>
        <v>676</v>
      </c>
      <c r="F45" s="13">
        <f t="shared" si="19"/>
        <v>64</v>
      </c>
      <c r="G45" s="13">
        <f t="shared" si="19"/>
        <v>100</v>
      </c>
    </row>
    <row r="46" spans="1:7" x14ac:dyDescent="0.3">
      <c r="A46" s="19"/>
      <c r="B46" s="2" t="s">
        <v>17</v>
      </c>
      <c r="C46" s="2">
        <v>5805</v>
      </c>
      <c r="D46" s="13">
        <f t="shared" ref="D46:G46" si="20">D28*D28</f>
        <v>111556</v>
      </c>
      <c r="E46" s="13">
        <f t="shared" si="20"/>
        <v>98596</v>
      </c>
      <c r="F46" s="13">
        <f t="shared" si="20"/>
        <v>92416</v>
      </c>
      <c r="G46" s="13">
        <f t="shared" si="20"/>
        <v>94864</v>
      </c>
    </row>
    <row r="47" spans="1:7" x14ac:dyDescent="0.3">
      <c r="A47" s="19"/>
      <c r="B47" s="2" t="s">
        <v>18</v>
      </c>
      <c r="C47" s="2">
        <v>5999</v>
      </c>
      <c r="D47" s="13">
        <f t="shared" ref="D47:G47" si="21">D29*D29</f>
        <v>239121</v>
      </c>
      <c r="E47" s="13">
        <f t="shared" si="21"/>
        <v>145924</v>
      </c>
      <c r="F47" s="13">
        <f t="shared" si="21"/>
        <v>178084</v>
      </c>
      <c r="G47" s="13">
        <f t="shared" si="21"/>
        <v>73441</v>
      </c>
    </row>
    <row r="48" spans="1:7" x14ac:dyDescent="0.3">
      <c r="A48" s="19"/>
      <c r="B48" s="2" t="s">
        <v>19</v>
      </c>
      <c r="C48" s="2">
        <v>5538</v>
      </c>
      <c r="D48" s="13">
        <f t="shared" ref="D48:G48" si="22">D30*D30</f>
        <v>7921</v>
      </c>
      <c r="E48" s="13">
        <f t="shared" si="22"/>
        <v>65025</v>
      </c>
      <c r="F48" s="13">
        <f t="shared" si="22"/>
        <v>21025</v>
      </c>
      <c r="G48" s="13">
        <f t="shared" si="22"/>
        <v>154449</v>
      </c>
    </row>
    <row r="49" spans="1:7" x14ac:dyDescent="0.3">
      <c r="A49" s="19"/>
      <c r="B49" s="2" t="s">
        <v>20</v>
      </c>
      <c r="C49" s="2">
        <v>5445</v>
      </c>
      <c r="D49" s="13">
        <f t="shared" ref="D49:G49" si="23">D31*D31</f>
        <v>33489</v>
      </c>
      <c r="E49" s="13">
        <f t="shared" si="23"/>
        <v>78400</v>
      </c>
      <c r="F49" s="13">
        <f t="shared" si="23"/>
        <v>40401</v>
      </c>
      <c r="G49" s="13">
        <f t="shared" si="23"/>
        <v>36481</v>
      </c>
    </row>
    <row r="50" spans="1:7" x14ac:dyDescent="0.3">
      <c r="A50" s="19"/>
      <c r="B50" s="2" t="s">
        <v>21</v>
      </c>
      <c r="C50" s="2">
        <v>5535</v>
      </c>
      <c r="D50" s="13">
        <f t="shared" ref="D50:G50" si="24">D32*D32</f>
        <v>10201</v>
      </c>
      <c r="E50" s="13">
        <f t="shared" si="24"/>
        <v>7225</v>
      </c>
      <c r="F50" s="13">
        <f t="shared" si="24"/>
        <v>3721</v>
      </c>
      <c r="G50" s="13">
        <f t="shared" si="24"/>
        <v>1764</v>
      </c>
    </row>
    <row r="51" spans="1:7" x14ac:dyDescent="0.3">
      <c r="A51" s="20" t="s">
        <v>132</v>
      </c>
      <c r="B51" s="20"/>
      <c r="C51" s="20"/>
      <c r="D51" s="17">
        <f>AVERAGE(D39:D50)</f>
        <v>49601.916666666664</v>
      </c>
      <c r="E51" s="14">
        <f t="shared" ref="E51:G51" si="25">AVERAGE(E39:E50)</f>
        <v>41230.583333333336</v>
      </c>
      <c r="F51" s="16">
        <f t="shared" si="25"/>
        <v>38691.833333333336</v>
      </c>
      <c r="G51" s="14">
        <f t="shared" si="25"/>
        <v>40577.5</v>
      </c>
    </row>
  </sheetData>
  <mergeCells count="14">
    <mergeCell ref="A21:A32"/>
    <mergeCell ref="A33:C33"/>
    <mergeCell ref="A4:A15"/>
    <mergeCell ref="A2:A3"/>
    <mergeCell ref="B2:B3"/>
    <mergeCell ref="C2:C3"/>
    <mergeCell ref="A19:A20"/>
    <mergeCell ref="B19:B20"/>
    <mergeCell ref="C19:C20"/>
    <mergeCell ref="A37:A38"/>
    <mergeCell ref="B37:B38"/>
    <mergeCell ref="C37:C38"/>
    <mergeCell ref="A39:A50"/>
    <mergeCell ref="A51:C5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A47EBC066B745A5CD7C315910EB78" ma:contentTypeVersion="3" ma:contentTypeDescription="Create a new document." ma:contentTypeScope="" ma:versionID="3c475ebf5c37c9908ef278591141ee10">
  <xsd:schema xmlns:xsd="http://www.w3.org/2001/XMLSchema" xmlns:xs="http://www.w3.org/2001/XMLSchema" xmlns:p="http://schemas.microsoft.com/office/2006/metadata/properties" xmlns:ns2="abcda3d6-2d03-49e1-9293-8daf0cc773fd" targetNamespace="http://schemas.microsoft.com/office/2006/metadata/properties" ma:root="true" ma:fieldsID="f940d8203d3249c8262e44e123d73b5d" ns2:_="">
    <xsd:import namespace="abcda3d6-2d03-49e1-9293-8daf0cc77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da3d6-2d03-49e1-9293-8daf0cc77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04744B-3DE9-4F62-8E1B-BF8ACAE7FAAD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abcda3d6-2d03-49e1-9293-8daf0cc773f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B52B653-757F-4096-A217-FD038CA370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cda3d6-2d03-49e1-9293-8daf0cc77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80BCC5-79AC-417E-9142-D9C3DA9B30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2</vt:i4>
      </vt:variant>
    </vt:vector>
  </HeadingPairs>
  <TitlesOfParts>
    <vt:vector size="5" baseType="lpstr">
      <vt:lpstr>Données</vt:lpstr>
      <vt:lpstr>Q3 - Prévisions non arrondies</vt:lpstr>
      <vt:lpstr>Q3 - Q4 - Prévisions arrondies</vt:lpstr>
      <vt:lpstr>Q1 - Graphique 1</vt:lpstr>
      <vt:lpstr>Q1 - Graphique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Claire Poitras</cp:lastModifiedBy>
  <cp:revision/>
  <dcterms:created xsi:type="dcterms:W3CDTF">2026-05-13T15:43:04Z</dcterms:created>
  <dcterms:modified xsi:type="dcterms:W3CDTF">2026-06-15T15:00:50Z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0x0101001CBA47EBC066B745A5CD7C315910EB78</vt:lpwstr>
  </property>
</Properties>
</file>